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b232c69d8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xecutive_Summary" sheetId="1" r:id="R8f5bc26b6f954d90"/>
    <x:sheet xmlns:r="http://schemas.openxmlformats.org/officeDocument/2006/relationships" name="01_Method_Map" sheetId="2" r:id="R4ff9c315d5ba476d"/>
    <x:sheet xmlns:r="http://schemas.openxmlformats.org/officeDocument/2006/relationships" name="02_Paper_Library" sheetId="3" r:id="R2591cf601abb4729"/>
    <x:sheet xmlns:r="http://schemas.openxmlformats.org/officeDocument/2006/relationships" name="03_Targets_Features" sheetId="4" r:id="R3bbde21eba224cc9"/>
    <x:sheet xmlns:r="http://schemas.openxmlformats.org/officeDocument/2006/relationships" name="04_Evaluation" sheetId="5" r:id="R28bcc0b4ac55466a"/>
    <x:sheet xmlns:r="http://schemas.openxmlformats.org/officeDocument/2006/relationships" name="05_Experiment_Plan" sheetId="6" r:id="R5b07ebc8c8b0488e"/>
    <x:sheet xmlns:r="http://schemas.openxmlformats.org/officeDocument/2006/relationships" name="06_Source_Index" sheetId="7" r:id="Rd6d44ff07083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sz val="9"/>
      <x:color rgb="FF6B7280"/>
      <x:name val="Carlito"/>
    </x:font>
    <x:font>
      <x:b/>
      <x:sz val="9"/>
      <x:color rgb="FFFFFFFF"/>
      <x:name val="Carlito"/>
    </x:font>
    <x:font>
      <x:sz val="9"/>
      <x:color rgb="FF111827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17365D"/>
      <x:name val="Carlito"/>
    </x:font>
    <x:font>
      <x:b/>
      <x:sz val="14"/>
      <x:color rgb="FF0F766E"/>
      <x:name val="Carlito"/>
    </x:font>
    <x:font>
      <x:sz val="10"/>
      <x:color rgb="FF111827"/>
      <x:name val="Carlito"/>
    </x:font>
    <x:font>
      <x:b/>
      <x:sz val="9"/>
      <x:color rgb="FF9A341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4F6"/>
      </x:patternFill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EAF1F8"/>
      </x:patternFill>
    </x:fill>
    <x:fill>
      <x:patternFill patternType="solid">
        <x:fgColor rgb="FFF8FAFC"/>
      </x:patternFill>
    </x:fill>
    <x:fill>
      <x:patternFill patternType="solid">
        <x:fgColor rgb="FF7C3AED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01b6cf68449af" /><Relationship Type="http://schemas.openxmlformats.org/officeDocument/2006/relationships/theme" Target="/xl/theme/theme1.xml" Id="R2161a4518e1f40a0" /><Relationship Type="http://schemas.openxmlformats.org/officeDocument/2006/relationships/sharedStrings" Target="/xl/sharedStrings.xml" Id="R1763ccdf6db34382" /><Relationship Type="http://schemas.openxmlformats.org/officeDocument/2006/relationships/worksheet" Target="/xl/worksheets/sheet1.xml" Id="R8f5bc26b6f954d90" /><Relationship Type="http://schemas.openxmlformats.org/officeDocument/2006/relationships/worksheet" Target="/xl/worksheets/sheet2.xml" Id="R4ff9c315d5ba476d" /><Relationship Type="http://schemas.openxmlformats.org/officeDocument/2006/relationships/worksheet" Target="/xl/worksheets/sheet3.xml" Id="R2591cf601abb4729" /><Relationship Type="http://schemas.openxmlformats.org/officeDocument/2006/relationships/worksheet" Target="/xl/worksheets/sheet4.xml" Id="R3bbde21eba224cc9" /><Relationship Type="http://schemas.openxmlformats.org/officeDocument/2006/relationships/worksheet" Target="/xl/worksheets/sheet5.xml" Id="R28bcc0b4ac55466a" /><Relationship Type="http://schemas.openxmlformats.org/officeDocument/2006/relationships/worksheet" Target="/xl/worksheets/sheet6.xml" Id="R5b07ebc8c8b0488e" /><Relationship Type="http://schemas.openxmlformats.org/officeDocument/2006/relationships/worksheet" Target="/xl/worksheets/sheet7.xml" Id="Rd6d44ff070834c88" /></Relationships>
</file>

<file path=xl/tables/table1.xml><?xml version="1.0" encoding="utf-8"?>
<x:table xmlns:x="http://schemas.openxmlformats.org/spreadsheetml/2006/main" id="1" name="MethodMapTable" displayName="MethodMapTable" ref="A3:X69" headerRowCount="1" totalsRowCount="0" totalsRowShown="0">
  <x:tableColumns count="24">
    <x:tableColumn id="1" name="ID"/>
    <x:tableColumn id="2" name="大类"/>
    <x:tableColumn id="3" name="子类"/>
    <x:tableColumn id="4" name="方法"/>
    <x:tableColumn id="5" name="定位"/>
    <x:tableColumn id="6" name="预测输出"/>
    <x:tableColumn id="7" name="核心思想"/>
    <x:tableColumn id="8" name="推荐输入"/>
    <x:tableColumn id="9" name="5m适配"/>
    <x:tableColumn id="10" name="Alpha潜力"/>
    <x:tableColumn id="11" name="稳健性"/>
    <x:tableColumn id="12" name="实现复杂度"/>
    <x:tableColumn id="13" name="延迟友好"/>
    <x:tableColumn id="14" name="可解释性"/>
    <x:tableColumn id="15" name="低估程度"/>
    <x:tableColumn id="16" name="综合分数"/>
    <x:tableColumn id="17" name="优先级"/>
    <x:tableColumn id="18" name="BTC 5m最佳用法"/>
    <x:tableColumn id="19" name="主要失败模式"/>
    <x:tableColumn id="20" name="关键论文"/>
    <x:tableColumn id="21" name="年份"/>
    <x:tableColumn id="22" name="论文/来源URL"/>
    <x:tableColumn id="23" name="代码URL"/>
    <x:tableColumn id="2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perLibraryTable" displayName="PaperLibraryTable" ref="A3:M55" headerRowCount="1" totalsRowCount="0" totalsRowShown="0">
  <x:tableColumns count="13">
    <x:tableColumn id="1" name="ID"/>
    <x:tableColumn id="2" name="论文"/>
    <x:tableColumn id="3" name="作者"/>
    <x:tableColumn id="4" name="年份"/>
    <x:tableColumn id="5" name="Venue"/>
    <x:tableColumn id="6" name="方法家族"/>
    <x:tableColumn id="7" name="核心贡献"/>
    <x:tableColumn id="8" name="影响力"/>
    <x:tableColumn id="9" name="证据类型"/>
    <x:tableColumn id="10" name="BTC 5m相关性"/>
    <x:tableColumn id="11" name="论文URL"/>
    <x:tableColumn id="12" name="代码URL"/>
    <x:tableColumn id="13" name="我的评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rgetTable" displayName="TargetTable" ref="A3:G13" headerRowCount="1" totalsRowCount="0" totalsRowShown="0">
  <x:tableColumns count="7">
    <x:tableColumn id="1" name="ID"/>
    <x:tableColumn id="2" name="预测目标"/>
    <x:tableColumn id="3" name="定义/标签"/>
    <x:tableColumn id="4" name="任务类型"/>
    <x:tableColumn id="5" name="优先级"/>
    <x:tableColumn id="6" name="为什么重要"/>
    <x:tableColumn id="7" name="主要评估指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eatureTable" displayName="FeatureTable" ref="A17:F56" headerRowCount="1" totalsRowCount="0" totalsRowShown="0">
  <x:tableColumns count="6">
    <x:tableColumn id="1" name="特征组"/>
    <x:tableColumn id="2" name="特征"/>
    <x:tableColumn id="3" name="定义/计算"/>
    <x:tableColumn id="4" name="优先级"/>
    <x:tableColumn id="5" name="适用目标"/>
    <x:tableColumn id="6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aluationTable" displayName="EvaluationTable" ref="A3:E23" headerRowCount="1" totalsRowCount="0" totalsRowShown="0">
  <x:tableColumns count="5">
    <x:tableColumn id="1" name="模块"/>
    <x:tableColumn id="2" name="检查项"/>
    <x:tableColumn id="3" name="建议规则"/>
    <x:tableColumn id="4" name="优先级"/>
    <x:tableColumn id="5" name="为什么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perimentPlanTable" displayName="ExperimentPlanTable" ref="A3:J25" headerRowCount="1" totalsRowCount="0" totalsRowShown="0">
  <x:tableColumns count="10">
    <x:tableColumn id="1" name="ID"/>
    <x:tableColumn id="2" name="实验"/>
    <x:tableColumn id="3" name="数据需求"/>
    <x:tableColumn id="4" name="目的"/>
    <x:tableColumn id="5" name="Alpha潜力"/>
    <x:tableColumn id="6" name="稳健性"/>
    <x:tableColumn id="7" name="易实现"/>
    <x:tableColumn id="8" name="数据就绪度"/>
    <x:tableColumn id="9" name="优先分数"/>
    <x:tableColumn id="10" name="建议/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IndexTable" displayName="SourceIndexTable" ref="A3:G75" headerRowCount="1" totalsRowCount="0" totalsRowShown="0">
  <x:tableColumns count="7">
    <x:tableColumn id="1" name="ID"/>
    <x:tableColumn id="2" name="类型"/>
    <x:tableColumn id="3" name="来源/论文"/>
    <x:tableColumn id="4" name="年份"/>
    <x:tableColumn id="5" name="方法家族"/>
    <x:tableColumn id="6" name="URL（明文）"/>
    <x:tableColumn id="7" name="对应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c3e83e059c47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6851a7dbce46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0dbcb9d383465f" /><Relationship Type="http://schemas.openxmlformats.org/officeDocument/2006/relationships/table" Target="/xl/tables/table4.xml" Id="R7a8669eca12b43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94d0ce0f414e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a9ce4bfb59e4c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83f2c90bc4340b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3" hidden="0" customWidth="1"/>
    <x:col min="3" max="3" width="31" hidden="0" customWidth="1"/>
    <x:col min="4" max="4" width="12" hidden="0" customWidth="1"/>
    <x:col min="5" max="5" width="25" hidden="0" customWidth="1"/>
    <x:col min="6" max="6" width="27" hidden="0" customWidth="1"/>
    <x:col min="7" max="7" width="27" hidden="0" customWidth="1"/>
    <x:col min="8" max="8" width="28" hidden="0" customWidth="1"/>
  </x:cols>
  <x:sheetData>
    <x:row r="1" ht="28" customHeight="1">
      <x:c r="A1" s="4" t="str">
        <x:v>BTC 5分钟时间序列预测：经典方法、前沿方法与论文地图</x:v>
      </x:c>
      <x:c r="B1" s="4"/>
      <x:c r="C1" s="4"/>
      <x:c r="D1" s="4"/>
      <x:c r="E1" s="4"/>
      <x:c r="F1" s="4"/>
      <x:c r="G1" s="4"/>
      <x:c r="H1" s="4"/>
    </x:row>
    <x:row r="2" ht="26" customHeight="1">
      <x:c r="A2" s="11" t="str">
        <x:v>研究整理日期：2026-08-09 ｜ 核心原则：优先预测未来 5m return / direction / volatility / quantiles，而不是直接回归 raw price level。</x:v>
      </x:c>
      <x:c r="B2" s="11"/>
      <x:c r="C2" s="11"/>
      <x:c r="D2" s="11"/>
      <x:c r="E2" s="11"/>
      <x:c r="F2" s="11"/>
      <x:c r="G2" s="11"/>
      <x:c r="H2" s="11"/>
    </x:row>
    <x:row r="4">
      <x:c r="A4" s="44" t="str">
        <x:v>方法库</x:v>
      </x:c>
      <x:c r="B4" s="48" t="n">
        <x:f>COUNTA('01_Method_Map'!D4:D69)</x:f>
        <x:v>66</x:v>
      </x:c>
      <x:c r="D4" s="35" t="str">
        <x:v>核心判断</x:v>
      </x:c>
      <x:c r="E4" s="35"/>
      <x:c r="F4" s="35"/>
      <x:c r="G4" s="35"/>
      <x:c r="H4" s="35"/>
    </x:row>
    <x:row r="5">
      <x:c r="A5" s="44" t="str">
        <x:v>论文库</x:v>
      </x:c>
      <x:c r="B5" s="48" t="n">
        <x:f>COUNTA('02_Paper_Library'!B4:B55)</x:f>
        <x:v>52</x:v>
      </x:c>
      <x:c r="D5" s="53" t="str">
        <x:v>5分钟级 BTC 的可交易信息通常来自“条件收益 + 波动率 + 市场状态 + 微观结构”，而不是价格水平本身。如果只有 5m K线，应先把统计/ML基线做扎实；如果有 L2/L3，OFI、queue imbalance、microprice 往往比单纯堆更深的网络更值得优先验证。前沿模型应作为增量实验，而不是跳过强基线。</x:v>
      </x:c>
      <x:c r="E5" s="53"/>
      <x:c r="F5" s="53"/>
      <x:c r="G5" s="53"/>
      <x:c r="H5" s="53"/>
    </x:row>
    <x:row r="6">
      <x:c r="A6" s="44" t="str">
        <x:v>2024+论文</x:v>
      </x:c>
      <x:c r="B6" s="48" t="n">
        <x:f>COUNTIF('02_Paper_Library'!D4:D55,"&gt;=2024")</x:f>
        <x:v>28</x:v>
      </x:c>
      <x:c r="D6" s="53"/>
      <x:c r="E6" s="53"/>
      <x:c r="F6" s="53"/>
      <x:c r="G6" s="53"/>
      <x:c r="H6" s="53"/>
    </x:row>
    <x:row r="7">
      <x:c r="A7" s="44" t="str">
        <x:v>P0方法</x:v>
      </x:c>
      <x:c r="B7" s="48" t="n">
        <x:f>COUNTIF('01_Method_Map'!Q4:Q69,"P0")</x:f>
        <x:v>36</x:v>
      </x:c>
      <x:c r="D7" s="53"/>
      <x:c r="E7" s="53"/>
      <x:c r="F7" s="53"/>
      <x:c r="G7" s="53"/>
      <x:c r="H7" s="53"/>
    </x:row>
    <x:row r="9">
      <x:c r="A9" s="58" t="str">
        <x:v>A. 经典方向：必须考虑</x:v>
      </x:c>
      <x:c r="B9" s="58"/>
      <x:c r="C9" s="58"/>
      <x:c r="D9" s="58"/>
      <x:c r="E9" s="35" t="str">
        <x:v>B. 前沿方向：值得系统验证</x:v>
      </x:c>
      <x:c r="F9" s="35"/>
      <x:c r="G9" s="35"/>
      <x:c r="H9" s="35"/>
    </x:row>
    <x:row r="10" ht="32" customHeight="1">
      <x:c r="A10" s="20" t="str">
        <x:v>方向</x:v>
      </x:c>
      <x:c r="B10" s="20" t="str">
        <x:v>代表方法</x:v>
      </x:c>
      <x:c r="C10" s="20" t="str">
        <x:v>5m用途</x:v>
      </x:c>
      <x:c r="D10" s="20" t="str">
        <x:v>优先级</x:v>
      </x:c>
      <x:c r="E10" s="20" t="str">
        <x:v>方向</x:v>
      </x:c>
      <x:c r="F10" s="20" t="str">
        <x:v>代表方法</x:v>
      </x:c>
      <x:c r="G10" s="20" t="str">
        <x:v>为什么值得看</x:v>
      </x:c>
      <x:c r="H10" s="20" t="str">
        <x:v>我的判断</x:v>
      </x:c>
    </x:row>
    <x:row r="11">
      <x:c r="A11" s="28" t="str">
        <x:v>不可省略基线</x:v>
      </x:c>
      <x:c r="B11" s="28" t="str">
        <x:v>Random Walk / Zero-return</x:v>
      </x:c>
      <x:c r="C11" s="28" t="str">
        <x:v>判断模型是否真正产生增量预测能力</x:v>
      </x:c>
      <x:c r="D11" s="28" t="str">
        <x:v>P0</x:v>
      </x:c>
      <x:c r="E11" s="28" t="str">
        <x:v>强非Transformer</x:v>
      </x:c>
      <x:c r="F11" s="28" t="str">
        <x:v>TCN / N-HiTS / DLinear</x:v>
      </x:c>
      <x:c r="G11" s="28" t="str">
        <x:v>参数效率高、训练稳定、常能挑战复杂模型</x:v>
      </x:c>
      <x:c r="H11" s="28" t="str">
        <x:v>优先做</x:v>
      </x:c>
    </x:row>
    <x:row r="12">
      <x:c r="A12" s="28" t="str">
        <x:v>线性/长记忆</x:v>
      </x:c>
      <x:c r="B12" s="28" t="str">
        <x:v>ARIMA / ARFIMA / ElasticNet</x:v>
      </x:c>
      <x:c r="C12" s="28" t="str">
        <x:v>收益、残差、特征筛选与稳定基线</x:v>
      </x:c>
      <x:c r="D12" s="28" t="str">
        <x:v>P0</x:v>
      </x:c>
      <x:c r="E12" s="28" t="str">
        <x:v>现代Transformer</x:v>
      </x:c>
      <x:c r="F12" s="28" t="str">
        <x:v>PatchTST / iTransformer / TimeMixer</x:v>
      </x:c>
      <x:c r="G12" s="28" t="str">
        <x:v>多变量依赖与多尺度建模成熟</x:v>
      </x:c>
      <x:c r="H12" s="28" t="str">
        <x:v>优先做</x:v>
      </x:c>
    </x:row>
    <x:row r="13">
      <x:c r="A13" s="28" t="str">
        <x:v>条件波动</x:v>
      </x:c>
      <x:c r="B13" s="28" t="str">
        <x:v>GARCH / EGARCH / HAR-RV</x:v>
      </x:c>
      <x:c r="C13" s="28" t="str">
        <x:v>风险缩放、动态阈值、波动率预测</x:v>
      </x:c>
      <x:c r="D13" s="28" t="str">
        <x:v>P0</x:v>
      </x:c>
      <x:c r="E13" s="28" t="str">
        <x:v>动态结构</x:v>
      </x:c>
      <x:c r="F13" s="28" t="str">
        <x:v>Koopa / S4 / Mamba</x:v>
      </x:c>
      <x:c r="G13" s="28" t="str">
        <x:v>更适合状态变化、长序列与非平稳结构</x:v>
      </x:c>
      <x:c r="H13" s="28" t="str">
        <x:v>研究优先</x:v>
      </x:c>
    </x:row>
    <x:row r="14">
      <x:c r="A14" s="28" t="str">
        <x:v>状态空间</x:v>
      </x:c>
      <x:c r="B14" s="28" t="str">
        <x:v>Kalman / Dynamic Linear Model</x:v>
      </x:c>
      <x:c r="C14" s="28" t="str">
        <x:v>动态 fair value、跨市场 beta、噪声过滤</x:v>
      </x:c>
      <x:c r="D14" s="28" t="str">
        <x:v>P0</x:v>
      </x:c>
      <x:c r="E14" s="28" t="str">
        <x:v>自监督</x:v>
      </x:c>
      <x:c r="F14" s="28" t="str">
        <x:v>TS2Vec / CoST</x:v>
      </x:c>
      <x:c r="G14" s="28" t="str">
        <x:v>先学表示、再接简单头；小标签场景有价值</x:v>
      </x:c>
      <x:c r="H14" s="28" t="str">
        <x:v>被低估</x:v>
      </x:c>
    </x:row>
    <x:row r="15">
      <x:c r="A15" s="28" t="str">
        <x:v>状态切换</x:v>
      </x:c>
      <x:c r="B15" s="28" t="str">
        <x:v>HMM / Markov Switching / BOCPD</x:v>
      </x:c>
      <x:c r="C15" s="28" t="str">
        <x:v>识别趋势/震荡/高波动 regime</x:v>
      </x:c>
      <x:c r="D15" s="28" t="str">
        <x:v>P0</x:v>
      </x:c>
      <x:c r="E15" s="28" t="str">
        <x:v>概率生成</x:v>
      </x:c>
      <x:c r="F15" s="28" t="str">
        <x:v>TimeDiff / TMDM / diffusion TS</x:v>
      </x:c>
      <x:c r="G15" s="28" t="str">
        <x:v>输出完整未来分布，更贴合交易风险管理</x:v>
      </x:c>
      <x:c r="H15" s="28" t="str">
        <x:v>研究优先</x:v>
      </x:c>
    </x:row>
    <x:row r="16">
      <x:c r="A16" s="28" t="str">
        <x:v>多变量</x:v>
      </x:c>
      <x:c r="B16" s="28" t="str">
        <x:v>VAR/VECM / cross-asset residual</x:v>
      </x:c>
      <x:c r="C16" s="28" t="str">
        <x:v>BTC-ETH、spot-perp、venue 间动态关系</x:v>
      </x:c>
      <x:c r="D16" s="28" t="str">
        <x:v>P1</x:v>
      </x:c>
      <x:c r="E16" s="28" t="str">
        <x:v>通用TS Foundation</x:v>
      </x:c>
      <x:c r="F16" s="28" t="str">
        <x:v>Chronos / TimesFM / Moirai / TTM</x:v>
      </x:c>
      <x:c r="G16" s="28" t="str">
        <x:v>zero/few-shot 与预训练迁移能力</x:v>
      </x:c>
      <x:c r="H16" s="28" t="str">
        <x:v>作为benchmark</x:v>
      </x:c>
    </x:row>
    <x:row r="17">
      <x:c r="A17" s="28" t="str">
        <x:v>概率预测</x:v>
      </x:c>
      <x:c r="B17" s="28" t="str">
        <x:v>Quantile Regression</x:v>
      </x:c>
      <x:c r="C17" s="28" t="str">
        <x:v>直接预测 tail / 分位数而非单点价格</x:v>
      </x:c>
      <x:c r="D17" s="28" t="str">
        <x:v>P1</x:v>
      </x:c>
      <x:c r="E17" s="28" t="str">
        <x:v>金融/LOB基础模型</x:v>
      </x:c>
      <x:c r="F17" s="28" t="str">
        <x:v>LOBERT / TradeFM / FinCast</x:v>
      </x:c>
      <x:c r="G17" s="28" t="str">
        <x:v>领域预训练比通用TSFM更可能形成增量</x:v>
      </x:c>
      <x:c r="H17" s="28" t="str">
        <x:v>前沿重点</x:v>
      </x:c>
    </x:row>
    <x:row r="18">
      <x:c r="A18" s="28" t="str">
        <x:v>微观结构（有LOB）</x:v>
      </x:c>
      <x:c r="B18" s="28" t="str">
        <x:v>OFI / Queue Imbalance / Microprice / Hawkes</x:v>
      </x:c>
      <x:c r="C18" s="28" t="str">
        <x:v>短期方向、流动性冲击、成交前 edge</x:v>
      </x:c>
      <x:c r="D18" s="28" t="str">
        <x:v>P0</x:v>
      </x:c>
      <x:c r="E18" s="28" t="str">
        <x:v>LOB专用深度模型</x:v>
      </x:c>
      <x:c r="F18" s="28" t="str">
        <x:v>DeepLOB / TLOB</x:v>
      </x:c>
      <x:c r="G18" s="28" t="str">
        <x:v>直接学习订单簿空间-时间结构</x:v>
      </x:c>
      <x:c r="H18" s="28" t="str">
        <x:v>有L2/L3时重点</x:v>
      </x:c>
    </x:row>
    <x:row r="19">
      <x:c r="A19" s="28" t="str">
        <x:v>树模型</x:v>
      </x:c>
      <x:c r="B19" s="28" t="str">
        <x:v>XGBoost / LightGBM / CatBoost</x:v>
      </x:c>
      <x:c r="C19" s="28" t="str">
        <x:v>非线性特征组合；高频实战强基线</x:v>
      </x:c>
      <x:c r="D19" s="28" t="str">
        <x:v>P0</x:v>
      </x:c>
      <x:c r="E19" s="28" t="str">
        <x:v>关系/专家选择</x:v>
      </x:c>
      <x:c r="F19" s="28" t="str">
        <x:v>TimeFilter / CMoS / TQNet</x:v>
      </x:c>
      <x:c r="G19" s="28" t="str">
        <x:v>动态变量关系、专家稀疏化与时序量化</x:v>
      </x:c>
      <x:c r="H19" s="28" t="str">
        <x:v>前沿跟踪</x:v>
      </x:c>
    </x:row>
    <x:row r="22">
      <x:c r="A22" s="61" t="str">
        <x:v>C. 我认为最被低估、但对 BTC 5m 实际很值得做的路线</x:v>
      </x:c>
      <x:c r="B22" s="61"/>
      <x:c r="C22" s="61"/>
      <x:c r="D22" s="61"/>
      <x:c r="E22" s="61"/>
      <x:c r="F22" s="61"/>
      <x:c r="G22" s="61"/>
      <x:c r="H22" s="61"/>
    </x:row>
    <x:row r="23" ht="32" customHeight="1">
      <x:c r="A23" s="20" t="str">
        <x:v>方法</x:v>
      </x:c>
      <x:c r="B23" s="20" t="str">
        <x:v>为什么被低估</x:v>
      </x:c>
      <x:c r="C23" s="20" t="str">
        <x:v>最适合的数据</x:v>
      </x:c>
      <x:c r="D23" s="20" t="str">
        <x:v>建议预测目标</x:v>
      </x:c>
      <x:c r="E23" s="20" t="str">
        <x:v>主要优势</x:v>
      </x:c>
      <x:c r="F23" s="20" t="str">
        <x:v>主要风险</x:v>
      </x:c>
      <x:c r="G23" s="20" t="str">
        <x:v>优先级</x:v>
      </x:c>
      <x:c r="H23" s="20" t="str">
        <x:v>备注</x:v>
      </x:c>
    </x:row>
    <x:row r="24">
      <x:c r="A24" s="28" t="str">
        <x:v>Kalman / DLM</x:v>
      </x:c>
      <x:c r="B24" s="28" t="str">
        <x:v>太“老”而常被忽略，但在线更新与 hidden fair value 非常适合高频金融</x:v>
      </x:c>
      <x:c r="C24" s="28" t="str">
        <x:v>多交易所价格/基差</x:v>
      </x:c>
      <x:c r="D24" s="28" t="str">
        <x:v>return residual / fair value gap</x:v>
      </x:c>
      <x:c r="E24" s="28" t="str">
        <x:v>低延迟、可解释、可在线</x:v>
      </x:c>
      <x:c r="F24" s="28" t="str">
        <x:v>线性高斯假设</x:v>
      </x:c>
      <x:c r="G24" s="28" t="str">
        <x:v>P0</x:v>
      </x:c>
      <x:c r="H24" s="28" t="str">
        <x:v>适合做其他模型的结构层</x:v>
      </x:c>
    </x:row>
    <x:row r="25">
      <x:c r="A25" s="28" t="str">
        <x:v>HAR-RV</x:v>
      </x:c>
      <x:c r="B25" s="28" t="str">
        <x:v>简单但对波动率的多尺度持续性极其契合</x:v>
      </x:c>
      <x:c r="C25" s="28" t="str">
        <x:v>OHLCV / 高频RV</x:v>
      </x:c>
      <x:c r="D25" s="28" t="str">
        <x:v>5m/15m/1h realized vol</x:v>
      </x:c>
      <x:c r="E25" s="28" t="str">
        <x:v>稳健、便宜、好校准</x:v>
      </x:c>
      <x:c r="F25" s="28" t="str">
        <x:v>不是方向alpha</x:v>
      </x:c>
      <x:c r="G25" s="28" t="str">
        <x:v>P0</x:v>
      </x:c>
      <x:c r="H25" s="28" t="str">
        <x:v>直接服务仓位和阈值</x:v>
      </x:c>
    </x:row>
    <x:row r="26">
      <x:c r="A26" s="28" t="str">
        <x:v>Queue Imbalance + Logistic</x:v>
      </x:c>
      <x:c r="B26" s="28" t="str">
        <x:v>极简单，却直接编码买卖盘压力</x:v>
      </x:c>
      <x:c r="C26" s="28" t="str">
        <x:v>L2/L3</x:v>
      </x:c>
      <x:c r="D26" s="28" t="str">
        <x:v>up/down/no-trade</x:v>
      </x:c>
      <x:c r="E26" s="28" t="str">
        <x:v>高解释、低延迟</x:v>
      </x:c>
      <x:c r="F26" s="28" t="str">
        <x:v>跨venue稳定性</x:v>
      </x:c>
      <x:c r="G26" s="28" t="str">
        <x:v>P0</x:v>
      </x:c>
      <x:c r="H26" s="28" t="str">
        <x:v>先于DeepLOB验证</x:v>
      </x:c>
    </x:row>
    <x:row r="27">
      <x:c r="A27" s="28" t="str">
        <x:v>Microprice</x:v>
      </x:c>
      <x:c r="B27" s="28" t="str">
        <x:v>本质是对 mid-price 的状态条件修正</x:v>
      </x:c>
      <x:c r="C27" s="28" t="str">
        <x:v>L2</x:v>
      </x:c>
      <x:c r="D27" s="28" t="str">
        <x:v>短期 fair-value move</x:v>
      </x:c>
      <x:c r="E27" s="28" t="str">
        <x:v>超低延迟、结构明确</x:v>
      </x:c>
      <x:c r="F27" s="28" t="str">
        <x:v>深度质量依赖</x:v>
      </x:c>
      <x:c r="G27" s="28" t="str">
        <x:v>P0</x:v>
      </x:c>
      <x:c r="H27" s="28" t="str">
        <x:v>适合 5m 内子周期信号</x:v>
      </x:c>
    </x:row>
    <x:row r="28">
      <x:c r="A28" s="28" t="str">
        <x:v>N-HiTS / DLinear</x:v>
      </x:c>
      <x:c r="B28" s="28" t="str">
        <x:v>没有“Transformer光环”，但强基线且难以被复杂模型稳定击败</x:v>
      </x:c>
      <x:c r="C28" s="28" t="str">
        <x:v>多尺度OHLCV+衍生品</x:v>
      </x:c>
      <x:c r="D28" s="28" t="str">
        <x:v>return/vol/quantiles</x:v>
      </x:c>
      <x:c r="E28" s="28" t="str">
        <x:v>训练稳定、参数效率</x:v>
      </x:c>
      <x:c r="F28" s="28" t="str">
        <x:v>复杂关系表达有限</x:v>
      </x:c>
      <x:c r="G28" s="28" t="str">
        <x:v>P0</x:v>
      </x:c>
      <x:c r="H28" s="28" t="str">
        <x:v>非常适合作为深度学习门槛</x:v>
      </x:c>
    </x:row>
    <x:row r="29">
      <x:c r="A29" s="28" t="str">
        <x:v>TimeMixer</x:v>
      </x:c>
      <x:c r="B29" s="28" t="str">
        <x:v>多尺度 mixing 对 5m→15m→1h 结构自然</x:v>
      </x:c>
      <x:c r="C29" s="28" t="str">
        <x:v>多变量时间序列</x:v>
      </x:c>
      <x:c r="D29" s="28" t="str">
        <x:v>return/vol</x:v>
      </x:c>
      <x:c r="E29" s="28" t="str">
        <x:v>效率与多尺度兼顾</x:v>
      </x:c>
      <x:c r="F29" s="28" t="str">
        <x:v>需严谨滚动验证</x:v>
      </x:c>
      <x:c r="G29" s="28" t="str">
        <x:v>P1</x:v>
      </x:c>
      <x:c r="H29" s="28" t="str">
        <x:v>比大Transformer更值得先试</x:v>
      </x:c>
    </x:row>
    <x:row r="30">
      <x:c r="A30" s="28" t="str">
        <x:v>Koopa + Change-point</x:v>
      </x:c>
      <x:c r="B30" s="28" t="str">
        <x:v>显式拆分可预测/非平稳动力成分</x:v>
      </x:c>
      <x:c r="C30" s="28" t="str">
        <x:v>OHLCV+cross-market</x:v>
      </x:c>
      <x:c r="D30" s="28" t="str">
        <x:v>return/regime</x:v>
      </x:c>
      <x:c r="E30" s="28" t="str">
        <x:v>贴近市场结构变化</x:v>
      </x:c>
      <x:c r="F30" s="28" t="str">
        <x:v>工程复杂度中等</x:v>
      </x:c>
      <x:c r="G30" s="28" t="str">
        <x:v>P1</x:v>
      </x:c>
      <x:c r="H30" s="28" t="str">
        <x:v>和 BOCPD/HMM 很搭</x:v>
      </x:c>
    </x:row>
    <x:row r="31">
      <x:c r="A31" s="28" t="str">
        <x:v>TS2Vec / CoST + simple head</x:v>
      </x:c>
      <x:c r="B31" s="28" t="str">
        <x:v>representation 学习后只用线性/树头，可降低监督过拟合</x:v>
      </x:c>
      <x:c r="C31" s="28" t="str">
        <x:v>长历史多资产</x:v>
      </x:c>
      <x:c r="D31" s="28" t="str">
        <x:v>direction/return</x:v>
      </x:c>
      <x:c r="E31" s="28" t="str">
        <x:v>迁移性、样本效率</x:v>
      </x:c>
      <x:c r="F31" s="28" t="str">
        <x:v>预训练目标未必对齐PnL</x:v>
      </x:c>
      <x:c r="G31" s="28" t="str">
        <x:v>P1</x:v>
      </x:c>
      <x:c r="H31" s="28" t="str">
        <x:v>比直接端到端大模型更稳健</x:v>
      </x:c>
    </x:row>
    <x:row r="32">
      <x:c r="A32" s="28" t="str">
        <x:v>Tiny Time Mixers (TTM)</x:v>
      </x:c>
      <x:c r="B32" s="28" t="str">
        <x:v>小型TSFM在算力/微调成本上很有优势</x:v>
      </x:c>
      <x:c r="C32" s="28" t="str">
        <x:v>多资产预训练序列</x:v>
      </x:c>
      <x:c r="D32" s="28" t="str">
        <x:v>multi-horizon forecast</x:v>
      </x:c>
      <x:c r="E32" s="28" t="str">
        <x:v>轻量、few-shot</x:v>
      </x:c>
      <x:c r="F32" s="28" t="str">
        <x:v>通用预训练未必有金融alpha</x:v>
      </x:c>
      <x:c r="G32" s="28" t="str">
        <x:v>P1</x:v>
      </x:c>
      <x:c r="H32" s="28" t="str">
        <x:v>优先于更大TSFM做迁移测试</x:v>
      </x:c>
    </x:row>
    <x:row r="34">
      <x:c r="A34" s="58" t="str">
        <x:v>D. 方法家族评分概览（来自 Method Map）</x:v>
      </x:c>
      <x:c r="B34" s="58"/>
      <x:c r="C34" s="58"/>
      <x:c r="D34" s="58"/>
      <x:c r="E34" s="35" t="str">
        <x:v>E. 推荐的实战研究栈</x:v>
      </x:c>
      <x:c r="F34" s="35"/>
      <x:c r="G34" s="35"/>
      <x:c r="H34" s="35"/>
    </x:row>
    <x:row r="35" ht="32" customHeight="1">
      <x:c r="A35" s="20" t="str">
        <x:v>方法家族</x:v>
      </x:c>
      <x:c r="B35" s="20" t="str">
        <x:v>数量</x:v>
      </x:c>
      <x:c r="C35" s="20" t="str">
        <x:v>平均综合分数</x:v>
      </x:c>
      <x:c r="E35" s="20" t="str">
        <x:v>阶段</x:v>
      </x:c>
      <x:c r="F35" s="20" t="str">
        <x:v>模块</x:v>
      </x:c>
      <x:c r="G35" s="20" t="str">
        <x:v>方法</x:v>
      </x:c>
      <x:c r="H35" s="20" t="str">
        <x:v>验收逻辑</x:v>
      </x:c>
    </x:row>
    <x:row r="36">
      <x:c r="A36" s="28" t="str">
        <x:v>经典统计</x:v>
      </x:c>
      <x:c r="B36" s="32" t="n">
        <x:f>COUNTIF('01_Method_Map'!B4:B69,A36)</x:f>
        <x:v>19</x:v>
      </x:c>
      <x:c r="C36" s="32" t="n">
        <x:f>IF(B36=0,0,ROUND(SUMIF('01_Method_Map'!B4:B69,A36,'01_Method_Map'!P4:P69)/B36,1))</x:f>
        <x:v>86.4</x:v>
      </x:c>
      <x:c r="E36" s="28" t="str">
        <x:v>Stage 1</x:v>
      </x:c>
      <x:c r="F36" s="28" t="str">
        <x:v>结构基线</x:v>
      </x:c>
      <x:c r="G36" s="28" t="str">
        <x:v>Zero-return + ElasticNet/XGB + GARCH/HAR</x:v>
      </x:c>
      <x:c r="H36" s="28" t="str">
        <x:v>先证明 OOS edge 和成本后可交易性</x:v>
      </x:c>
    </x:row>
    <x:row r="37">
      <x:c r="A37" s="28" t="str">
        <x:v>经典机器学习</x:v>
      </x:c>
      <x:c r="B37" s="32" t="n">
        <x:f>COUNTIF('01_Method_Map'!B4:B69,A37)</x:f>
        <x:v>6</x:v>
      </x:c>
      <x:c r="C37" s="32" t="n">
        <x:f>IF(B37=0,0,ROUND(SUMIF('01_Method_Map'!B4:B69,A37,'01_Method_Map'!P4:P69)/B37,1))</x:f>
        <x:v>81.8</x:v>
      </x:c>
      <x:c r="E37" s="28" t="str">
        <x:v>Stage 2</x:v>
      </x:c>
      <x:c r="F37" s="28" t="str">
        <x:v>状态层</x:v>
      </x:c>
      <x:c r="G37" s="28" t="str">
        <x:v>Kalman + HMM/BOCPD</x:v>
      </x:c>
      <x:c r="H37" s="28" t="str">
        <x:v>把模型按 regime 分层，而不是一个模型吃所有时期</x:v>
      </x:c>
    </x:row>
    <x:row r="38">
      <x:c r="A38" s="28" t="str">
        <x:v>深度学习</x:v>
      </x:c>
      <x:c r="B38" s="32" t="n">
        <x:f>COUNTIF('01_Method_Map'!B4:B69,A38)</x:f>
        <x:v>21</x:v>
      </x:c>
      <x:c r="C38" s="32" t="n">
        <x:f>IF(B38=0,0,ROUND(SUMIF('01_Method_Map'!B4:B69,A38,'01_Method_Map'!P4:P69)/B38,1))</x:f>
        <x:v>79.8</x:v>
      </x:c>
      <x:c r="E38" s="28" t="str">
        <x:v>Stage 3</x:v>
      </x:c>
      <x:c r="F38" s="28" t="str">
        <x:v>微观结构</x:v>
      </x:c>
      <x:c r="G38" s="28" t="str">
        <x:v>OFI + Queue Imbalance + Microprice + Hawkes</x:v>
      </x:c>
      <x:c r="H38" s="28" t="str">
        <x:v>如果能拿到 L2/L3，这是优先级最高的数据升级</x:v>
      </x:c>
    </x:row>
    <x:row r="39">
      <x:c r="A39" s="28" t="str">
        <x:v>时间序列基础模型</x:v>
      </x:c>
      <x:c r="B39" s="32" t="n">
        <x:f>COUNTIF('01_Method_Map'!B4:B69,A39)</x:f>
        <x:v>10</x:v>
      </x:c>
      <x:c r="C39" s="32" t="n">
        <x:f>IF(B39=0,0,ROUND(SUMIF('01_Method_Map'!B4:B69,A39,'01_Method_Map'!P4:P69)/B39,1))</x:f>
        <x:v>62.1</x:v>
      </x:c>
      <x:c r="E39" s="28" t="str">
        <x:v>Stage 4</x:v>
      </x:c>
      <x:c r="F39" s="28" t="str">
        <x:v>深度模型</x:v>
      </x:c>
      <x:c r="G39" s="28" t="str">
        <x:v>TCN/N-HiTS/DLinear → iTransformer/TimeMixer/Koopa</x:v>
      </x:c>
      <x:c r="H39" s="28" t="str">
        <x:v>逐级增加复杂度，每一级都要求显著增量</x:v>
      </x:c>
    </x:row>
    <x:row r="40">
      <x:c r="A40" s="28" t="str">
        <x:v>市场微观结构深度学习</x:v>
      </x:c>
      <x:c r="B40" s="32" t="n">
        <x:f>COUNTIF('01_Method_Map'!B4:B69,A40)</x:f>
        <x:v>5</x:v>
      </x:c>
      <x:c r="C40" s="32" t="n">
        <x:f>IF(B40=0,0,ROUND(SUMIF('01_Method_Map'!B4:B69,A40,'01_Method_Map'!P4:P69)/B40,1))</x:f>
        <x:v>73</x:v>
      </x:c>
      <x:c r="E40" s="28" t="str">
        <x:v>Stage 5</x:v>
      </x:c>
      <x:c r="F40" s="28" t="str">
        <x:v>概率/多任务</x:v>
      </x:c>
      <x:c r="G40" s="28" t="str">
        <x:v>return + direction + vol + quantiles</x:v>
      </x:c>
      <x:c r="H40" s="28" t="str">
        <x:v>让预测直接服务仓位、阈值和风险控制</x:v>
      </x:c>
    </x:row>
    <x:row r="41">
      <x:c r="A41" s="28" t="str">
        <x:v>混合/研究范式</x:v>
      </x:c>
      <x:c r="B41" s="32" t="n">
        <x:f>COUNTIF('01_Method_Map'!B4:B69,A41)</x:f>
        <x:v>5</x:v>
      </x:c>
      <x:c r="C41" s="32" t="n">
        <x:f>IF(B41=0,0,ROUND(SUMIF('01_Method_Map'!B4:B69,A41,'01_Method_Map'!P4:P69)/B41,1))</x:f>
        <x:v>89.4</x:v>
      </x:c>
      <x:c r="E41" s="28" t="str">
        <x:v>Stage 6</x:v>
      </x:c>
      <x:c r="F41" s="28" t="str">
        <x:v>前沿预训练</x:v>
      </x:c>
      <x:c r="G41" s="28" t="str">
        <x:v>TTM/Chronos/TimesFM/Moirai + LOBERT/TradeFM</x:v>
      </x:c>
      <x:c r="H41" s="28" t="str">
        <x:v>通用TSFM先做benchmark；领域预训练才是重点R&amp;D</x:v>
      </x:c>
    </x:row>
    <x:row r="44" ht="34" customHeight="1">
      <x:c r="A44" s="66" t="str">
        <x:v>验证底线：walk-forward / purged &amp; embargoed split / rolling scaler / fee+slippage / fill probability / adverse selection / regime breakdown。模型是否“先进”不是排序标准；能否在严格 OOS、成本后稳定增加信息比率才是。</x:v>
      </x:c>
      <x:c r="B44" s="66"/>
      <x:c r="C44" s="66"/>
      <x:c r="D44" s="66"/>
      <x:c r="E44" s="66"/>
      <x:c r="F44" s="66"/>
      <x:c r="G44" s="66"/>
      <x:c r="H44" s="66"/>
    </x:row>
  </x:sheetData>
  <x:mergeCells>
    <x:mergeCell ref="A1:H1"/>
    <x:mergeCell ref="A2:H2"/>
    <x:mergeCell ref="D4:H4"/>
    <x:mergeCell ref="D5:H7"/>
    <x:mergeCell ref="A9:D9"/>
    <x:mergeCell ref="E9:H9"/>
    <x:mergeCell ref="A22:H22"/>
    <x:mergeCell ref="A34:D34"/>
    <x:mergeCell ref="E34:H34"/>
    <x:mergeCell ref="A44:H44"/>
  </x:mergeCells>
  <x:conditionalFormatting sqref="C36:C4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{35EC3F00-C5FB-1556-BE27-7FBED4FEE95F}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5EC3F00-C5FB-1556-BE27-7FBED4FEE95F}">
            <x14:dataBar gradient="1">
              <x14:cfvo type="min"/>
              <x14:cfvo type="max"/>
              <x14:fillColor rgb="FF0F766E"/>
            </x14:dataBar>
          </x14:cfRule>
          <xm:sqref>C36:C41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16" hidden="0" customWidth="1"/>
    <x:col min="4" max="4" width="28" hidden="0" customWidth="1"/>
    <x:col min="5" max="5" width="14" hidden="0" customWidth="1"/>
    <x:col min="6" max="6" width="17" hidden="0" customWidth="1"/>
    <x:col min="7" max="7" width="40" hidden="0" customWidth="1"/>
    <x:col min="8" max="8" width="34" hidden="0" customWidth="1"/>
    <x:col min="9" max="9" width="9" hidden="0" customWidth="1"/>
    <x:col min="10" max="10" width="9" hidden="0" customWidth="1"/>
    <x:col min="11" max="11" width="9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8" hidden="0" customWidth="1"/>
    <x:col min="18" max="18" width="42" hidden="0" customWidth="1"/>
    <x:col min="19" max="19" width="42" hidden="0" customWidth="1"/>
    <x:col min="20" max="20" width="32" hidden="0" customWidth="1"/>
    <x:col min="21" max="21" width="8" hidden="0" customWidth="1"/>
    <x:col min="22" max="22" width="46" hidden="0" customWidth="1"/>
    <x:col min="23" max="23" width="42" hidden="0" customWidth="1"/>
    <x:col min="24" max="24" width="36" hidden="0" customWidth="1"/>
  </x:cols>
  <x:sheetData>
    <x:row r="1" ht="28" customHeight="1">
      <x:c r="A1" s="4" t="str">
        <x:v>BTC 5分钟预测方法地图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26" customHeight="1">
      <x:c r="A2" s="11" t="str">
        <x:v>评分均为 1–5；综合分数更偏重 5m 适配、潜在 alpha 与稳健性，同时惩罚实现复杂度。URL 均为可复制明文链接。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</x:row>
    <x:row r="3" ht="32" customHeight="1">
      <x:c r="A3" s="20" t="str">
        <x:v>ID</x:v>
      </x:c>
      <x:c r="B3" s="20" t="str">
        <x:v>大类</x:v>
      </x:c>
      <x:c r="C3" s="20" t="str">
        <x:v>子类</x:v>
      </x:c>
      <x:c r="D3" s="20" t="str">
        <x:v>方法</x:v>
      </x:c>
      <x:c r="E3" s="20" t="str">
        <x:v>定位</x:v>
      </x:c>
      <x:c r="F3" s="20" t="str">
        <x:v>预测输出</x:v>
      </x:c>
      <x:c r="G3" s="20" t="str">
        <x:v>核心思想</x:v>
      </x:c>
      <x:c r="H3" s="20" t="str">
        <x:v>推荐输入</x:v>
      </x:c>
      <x:c r="I3" s="20" t="str">
        <x:v>5m适配</x:v>
      </x:c>
      <x:c r="J3" s="20" t="str">
        <x:v>Alpha潜力</x:v>
      </x:c>
      <x:c r="K3" s="20" t="str">
        <x:v>稳健性</x:v>
      </x:c>
      <x:c r="L3" s="20" t="str">
        <x:v>实现复杂度</x:v>
      </x:c>
      <x:c r="M3" s="20" t="str">
        <x:v>延迟友好</x:v>
      </x:c>
      <x:c r="N3" s="20" t="str">
        <x:v>可解释性</x:v>
      </x:c>
      <x:c r="O3" s="20" t="str">
        <x:v>低估程度</x:v>
      </x:c>
      <x:c r="P3" s="20" t="str">
        <x:v>综合分数</x:v>
      </x:c>
      <x:c r="Q3" s="20" t="str">
        <x:v>优先级</x:v>
      </x:c>
      <x:c r="R3" s="20" t="str">
        <x:v>BTC 5m最佳用法</x:v>
      </x:c>
      <x:c r="S3" s="20" t="str">
        <x:v>主要失败模式</x:v>
      </x:c>
      <x:c r="T3" s="20" t="str">
        <x:v>关键论文</x:v>
      </x:c>
      <x:c r="U3" s="20" t="str">
        <x:v>年份</x:v>
      </x:c>
      <x:c r="V3" s="20" t="str">
        <x:v>论文/来源URL</x:v>
      </x:c>
      <x:c r="W3" s="20" t="str">
        <x:v>代码URL</x:v>
      </x:c>
      <x:c r="X3" s="20" t="str">
        <x:v>备注</x:v>
      </x:c>
    </x:row>
    <x:row r="4">
      <x:c r="A4" s="28" t="str">
        <x:v>M01</x:v>
      </x:c>
      <x:c r="B4" s="28" t="str">
        <x:v>经典统计</x:v>
      </x:c>
      <x:c r="C4" s="28" t="str">
        <x:v>基准</x:v>
      </x:c>
      <x:c r="D4" s="28" t="str">
        <x:v>Naive / Random Walk / Zero-return</x:v>
      </x:c>
      <x:c r="E4" s="28" t="str">
        <x:v>必跑基线</x:v>
      </x:c>
      <x:c r="F4" s="28" t="str">
        <x:v>收益均值/方向</x:v>
      </x:c>
      <x:c r="G4" s="28" t="str">
        <x:v>假设下一期收益为0或价格不变，用作所有模型的最低门槛。</x:v>
      </x:c>
      <x:c r="H4" s="28" t="str">
        <x:v>5m close / mid-price</x:v>
      </x:c>
      <x:c r="I4" s="32" t="n">
        <x:v>5</x:v>
      </x:c>
      <x:c r="J4" s="32" t="n">
        <x:v>1</x:v>
      </x:c>
      <x:c r="K4" s="32" t="n">
        <x:v>5</x:v>
      </x:c>
      <x:c r="L4" s="32" t="n">
        <x:v>1</x:v>
      </x:c>
      <x:c r="M4" s="32" t="n">
        <x:v>5</x:v>
      </x:c>
      <x:c r="N4" s="32" t="n">
        <x:v>5</x:v>
      </x:c>
      <x:c r="O4" s="32" t="n">
        <x:v>5</x:v>
      </x:c>
      <x:c r="P4" s="32" t="n">
        <x:f>ROUND(100*(0.25*I4+0.20*J4+0.20*K4+0.10*(6-L4)+0.10*M4+0.05*N4+0.10*O4)/5,0)</x:f>
        <x:v>84</x:v>
      </x:c>
      <x:c r="Q4" s="32" t="str">
        <x:f>IF(P4&gt;=80,"P0",IF(P4&gt;=70,"P1",IF(P4&gt;=60,"P2","P3")))</x:f>
        <x:v>P0</x:v>
      </x:c>
      <x:c r="R4" s="28" t="str">
        <x:v>作为所有回测的基准；任何模型必须在成本后显著超过它。</x:v>
      </x:c>
      <x:c r="S4" s="28" t="str">
        <x:v>原始价格水平上容易看起来“预测很好”，但没有可交易增量。</x:v>
      </x:c>
      <x:c r="T4" s="28" t="str">
        <x:v>—</x:v>
      </x:c>
      <x:c r="U4" s="28" t="str">
        <x:v>—</x:v>
      </x:c>
      <x:c r="V4" s="28" t="str"/>
      <x:c r="W4" s="28" t="str"/>
      <x:c r="X4" s="28" t="str">
        <x:v>不可省略。</x:v>
      </x:c>
    </x:row>
    <x:row r="5">
      <x:c r="A5" s="28" t="str">
        <x:v>M02</x:v>
      </x:c>
      <x:c r="B5" s="28" t="str">
        <x:v>经典统计</x:v>
      </x:c>
      <x:c r="C5" s="28" t="str">
        <x:v>线性</x:v>
      </x:c>
      <x:c r="D5" s="28" t="str">
        <x:v>AR / ARIMA</x:v>
      </x:c>
      <x:c r="E5" s="28" t="str">
        <x:v>必跑基线</x:v>
      </x:c>
      <x:c r="F5" s="28" t="str">
        <x:v>5m log return / residual</x:v>
      </x:c>
      <x:c r="G5" s="28" t="str">
        <x:v>用自身滞后项、差分与误差项描述短期自相关。</x:v>
      </x:c>
      <x:c r="H5" s="28" t="str">
        <x:v>returns, spread-adjusted returns</x:v>
      </x:c>
      <x:c r="I5" s="32" t="n">
        <x:v>4</x:v>
      </x:c>
      <x:c r="J5" s="32" t="n">
        <x:v>2</x:v>
      </x:c>
      <x:c r="K5" s="32" t="n">
        <x:v>4</x:v>
      </x:c>
      <x:c r="L5" s="32" t="n">
        <x:v>1</x:v>
      </x:c>
      <x:c r="M5" s="32" t="n">
        <x:v>5</x:v>
      </x:c>
      <x:c r="N5" s="32" t="n">
        <x:v>5</x:v>
      </x:c>
      <x:c r="O5" s="32" t="n">
        <x:v>4</x:v>
      </x:c>
      <x:c r="P5" s="32" t="n">
        <x:f>ROUND(100*(0.25*I5+0.20*J5+0.20*K5+0.10*(6-L5)+0.10*M5+0.05*N5+0.10*O5)/5,0)</x:f>
        <x:v>77</x:v>
      </x:c>
      <x:c r="Q5" s="32" t="str">
        <x:f>IF(P5&gt;=80,"P0",IF(P5&gt;=70,"P1",IF(P5&gt;=60,"P2","P3")))</x:f>
        <x:v>P1</x:v>
      </x:c>
      <x:c r="R5" s="28" t="str">
        <x:v>对收益、基差、价差、残差做短记忆基线。</x:v>
      </x:c>
      <x:c r="S5" s="28" t="str">
        <x:v>BTC 5m 均值可预测性弱；参数易随 regime 漂移。</x:v>
      </x:c>
      <x:c r="T5" s="28" t="str">
        <x:v>Box–Jenkins / ARIMA</x:v>
      </x:c>
      <x:c r="U5" s="28" t="str">
        <x:v>1970</x:v>
      </x:c>
      <x:c r="V5" s="28" t="str"/>
      <x:c r="W5" s="28" t="str"/>
      <x:c r="X5" s="28" t="str">
        <x:v>建议滚动重估而非一次拟合。</x:v>
      </x:c>
    </x:row>
    <x:row r="6">
      <x:c r="A6" s="28" t="str">
        <x:v>M03</x:v>
      </x:c>
      <x:c r="B6" s="28" t="str">
        <x:v>经典统计</x:v>
      </x:c>
      <x:c r="C6" s="28" t="str">
        <x:v>长记忆</x:v>
      </x:c>
      <x:c r="D6" s="28" t="str">
        <x:v>ARFIMA / Fractional Differencing</x:v>
      </x:c>
      <x:c r="E6" s="28" t="str">
        <x:v>条件候选</x:v>
      </x:c>
      <x:c r="F6" s="28" t="str">
        <x:v>收益/波动/基差</x:v>
      </x:c>
      <x:c r="G6" s="28" t="str">
        <x:v>用分数阶差分保留长记忆，同时降低非平稳性。</x:v>
      </x:c>
      <x:c r="H6" s="28" t="str">
        <x:v>returns, realized vol, basis</x:v>
      </x:c>
      <x:c r="I6" s="32" t="n">
        <x:v>4</x:v>
      </x:c>
      <x:c r="J6" s="32" t="n">
        <x:v>3</x:v>
      </x:c>
      <x:c r="K6" s="32" t="n">
        <x:v>4</x:v>
      </x:c>
      <x:c r="L6" s="32" t="n">
        <x:v>2</x:v>
      </x:c>
      <x:c r="M6" s="32" t="n">
        <x:v>5</x:v>
      </x:c>
      <x:c r="N6" s="32" t="n">
        <x:v>4</x:v>
      </x:c>
      <x:c r="O6" s="32" t="n">
        <x:v>5</x:v>
      </x:c>
      <x:c r="P6" s="32" t="n">
        <x:f>ROUND(100*(0.25*I6+0.20*J6+0.20*K6+0.10*(6-L6)+0.10*M6+0.05*N6+0.10*O6)/5,0)</x:f>
        <x:v>80</x:v>
      </x:c>
      <x:c r="Q6" s="32" t="str">
        <x:f>IF(P6&gt;=80,"P0",IF(P6&gt;=70,"P1",IF(P6&gt;=60,"P2","P3")))</x:f>
        <x:v>P0</x:v>
      </x:c>
      <x:c r="R6" s="28" t="str">
        <x:v>更适合波动率、成交量、基差等长记忆变量；也可作 fractional-diff 特征。</x:v>
      </x:c>
      <x:c r="S6" s="28" t="str">
        <x:v>d 参数时变；对均值收益本身未必有优势。</x:v>
      </x:c>
      <x:c r="T6" s="28" t="str">
        <x:v>Fractional Differencing</x:v>
      </x:c>
      <x:c r="U6" s="28" t="str">
        <x:v>1981</x:v>
      </x:c>
      <x:c r="V6" s="28" t="str">
        <x:v>https://doi.org/10.1093/biomet/68.1.165</x:v>
      </x:c>
      <x:c r="W6" s="28" t="str"/>
      <x:c r="X6" s="28" t="str">
        <x:v>比“直接一阶差分全部信息”更值得测试。</x:v>
      </x:c>
    </x:row>
    <x:row r="7">
      <x:c r="A7" s="28" t="str">
        <x:v>M04</x:v>
      </x:c>
      <x:c r="B7" s="28" t="str">
        <x:v>经典统计</x:v>
      </x:c>
      <x:c r="C7" s="28" t="str">
        <x:v>多变量</x:v>
      </x:c>
      <x:c r="D7" s="28" t="str">
        <x:v>VAR / VARX</x:v>
      </x:c>
      <x:c r="E7" s="28" t="str">
        <x:v>核心候选</x:v>
      </x:c>
      <x:c r="F7" s="28" t="str">
        <x:v>多变量5m收益</x:v>
      </x:c>
      <x:c r="G7" s="28" t="str">
        <x:v>同时建模 BTC、ETH、basis、OI、volume 等变量的滞后联动。</x:v>
      </x:c>
      <x:c r="H7" s="28" t="str">
        <x:v>BTC/ETH returns, basis, OI, volume, DXY proxies</x:v>
      </x:c>
      <x:c r="I7" s="32" t="n">
        <x:v>4</x:v>
      </x:c>
      <x:c r="J7" s="32" t="n">
        <x:v>3</x:v>
      </x:c>
      <x:c r="K7" s="32" t="n">
        <x:v>4</x:v>
      </x:c>
      <x:c r="L7" s="32" t="n">
        <x:v>2</x:v>
      </x:c>
      <x:c r="M7" s="32" t="n">
        <x:v>5</x:v>
      </x:c>
      <x:c r="N7" s="32" t="n">
        <x:v>4</x:v>
      </x:c>
      <x:c r="O7" s="32" t="n">
        <x:v>4</x:v>
      </x:c>
      <x:c r="P7" s="32" t="n">
        <x:f>ROUND(100*(0.25*I7+0.20*J7+0.20*K7+0.10*(6-L7)+0.10*M7+0.05*N7+0.10*O7)/5,0)</x:f>
        <x:v>78</x:v>
      </x:c>
      <x:c r="Q7" s="32" t="str">
        <x:f>IF(P7&gt;=80,"P0",IF(P7&gt;=70,"P1",IF(P7&gt;=60,"P2","P3")))</x:f>
        <x:v>P1</x:v>
      </x:c>
      <x:c r="R7" s="28" t="str">
        <x:v>作为多变量线性 benchmark；检查 lead-lag 是否真实存在。</x:v>
      </x:c>
      <x:c r="S7" s="28" t="str">
        <x:v>维度高时参数爆炸；非线性与 regime shift 处理弱。</x:v>
      </x:c>
      <x:c r="T7" s="28" t="str">
        <x:v>Macroeconomics and Reality</x:v>
      </x:c>
      <x:c r="U7" s="28" t="str">
        <x:v>1980</x:v>
      </x:c>
      <x:c r="V7" s="28" t="str">
        <x:v>https://doi.org/10.2307/1912017</x:v>
      </x:c>
      <x:c r="W7" s="28" t="str"/>
      <x:c r="X7" s="28" t="str">
        <x:v>高维时配合正则化 VAR。</x:v>
      </x:c>
    </x:row>
    <x:row r="8">
      <x:c r="A8" s="28" t="str">
        <x:v>M05</x:v>
      </x:c>
      <x:c r="B8" s="28" t="str">
        <x:v>经典统计</x:v>
      </x:c>
      <x:c r="C8" s="28" t="str">
        <x:v>协整</x:v>
      </x:c>
      <x:c r="D8" s="28" t="str">
        <x:v>VECM / Cointegration</x:v>
      </x:c>
      <x:c r="E8" s="28" t="str">
        <x:v>条件候选</x:v>
      </x:c>
      <x:c r="F8" s="28" t="str">
        <x:v>价差/基差均值回归</x:v>
      </x:c>
      <x:c r="G8" s="28" t="str">
        <x:v>对 spot-perp、跨交易所、BTC-ETF/CME 等长期共趋势关系建模误差修正。</x:v>
      </x:c>
      <x:c r="H8" s="28" t="str">
        <x:v>spot/perp/futures prices, cross-venue prices</x:v>
      </x:c>
      <x:c r="I8" s="32" t="n">
        <x:v>4</x:v>
      </x:c>
      <x:c r="J8" s="32" t="n">
        <x:v>4</x:v>
      </x:c>
      <x:c r="K8" s="32" t="n">
        <x:v>4</x:v>
      </x:c>
      <x:c r="L8" s="32" t="n">
        <x:v>2</x:v>
      </x:c>
      <x:c r="M8" s="32" t="n">
        <x:v>5</x:v>
      </x:c>
      <x:c r="N8" s="32" t="n">
        <x:v>5</x:v>
      </x:c>
      <x:c r="O8" s="32" t="n">
        <x:v>4</x:v>
      </x:c>
      <x:c r="P8" s="32" t="n">
        <x:f>ROUND(100*(0.25*I8+0.20*J8+0.20*K8+0.10*(6-L8)+0.10*M8+0.05*N8+0.10*O8)/5,0)</x:f>
        <x:v>83</x:v>
      </x:c>
      <x:c r="Q8" s="32" t="str">
        <x:f>IF(P8&gt;=80,"P0",IF(P8&gt;=70,"P1",IF(P8&gt;=60,"P2","P3")))</x:f>
        <x:v>P0</x:v>
      </x:c>
      <x:c r="R8" s="28" t="str">
        <x:v>预测跨市场价差、basis 回归通常比直接预测 BTC price 更有结构。</x:v>
      </x:c>
      <x:c r="S8" s="28" t="str">
        <x:v>协整关系会断裂；交易所微结构不同导致参数不稳定。</x:v>
      </x:c>
      <x:c r="T8" s="28" t="str">
        <x:v>Cointegration &amp; Error Correction</x:v>
      </x:c>
      <x:c r="U8" s="28" t="str">
        <x:v>1987</x:v>
      </x:c>
      <x:c r="V8" s="28" t="str"/>
      <x:c r="W8" s="28" t="str"/>
      <x:c r="X8" s="28" t="str">
        <x:v>对跨交易所/现货永续价差尤其重要。</x:v>
      </x:c>
    </x:row>
    <x:row r="9">
      <x:c r="A9" s="28" t="str">
        <x:v>M06</x:v>
      </x:c>
      <x:c r="B9" s="28" t="str">
        <x:v>经典统计</x:v>
      </x:c>
      <x:c r="C9" s="28" t="str">
        <x:v>状态空间</x:v>
      </x:c>
      <x:c r="D9" s="28" t="str">
        <x:v>Kalman Filter / Dynamic Linear Model</x:v>
      </x:c>
      <x:c r="E9" s="28" t="str">
        <x:v>核心候选</x:v>
      </x:c>
      <x:c r="F9" s="28" t="str">
        <x:v>latent fair value / return</x:v>
      </x:c>
      <x:c r="G9" s="28" t="str">
        <x:v>把可观测价格视为带噪声观测，递归估计潜在状态、趋势或跨市场 fair value。</x:v>
      </x:c>
      <x:c r="H9" s="28" t="str">
        <x:v>multi-venue prices, basis, microprice, returns</x:v>
      </x:c>
      <x:c r="I9" s="32" t="n">
        <x:v>5</x:v>
      </x:c>
      <x:c r="J9" s="32" t="n">
        <x:v>4</x:v>
      </x:c>
      <x:c r="K9" s="32" t="n">
        <x:v>5</x:v>
      </x:c>
      <x:c r="L9" s="32" t="n">
        <x:v>2</x:v>
      </x:c>
      <x:c r="M9" s="32" t="n">
        <x:v>5</x:v>
      </x:c>
      <x:c r="N9" s="32" t="n">
        <x:v>5</x:v>
      </x:c>
      <x:c r="O9" s="32" t="n">
        <x:v>5</x:v>
      </x:c>
      <x:c r="P9" s="32" t="n">
        <x:f>ROUND(100*(0.25*I9+0.20*J9+0.20*K9+0.10*(6-L9)+0.10*M9+0.05*N9+0.10*O9)/5,0)</x:f>
        <x:v>94</x:v>
      </x:c>
      <x:c r="Q9" s="32" t="str">
        <x:f>IF(P9&gt;=80,"P0",IF(P9&gt;=70,"P1",IF(P9&gt;=60,"P2","P3")))</x:f>
        <x:v>P0</x:v>
      </x:c>
      <x:c r="R9" s="28" t="str">
        <x:v>实时估计 fair value、动态 beta、lead-lag；可做其他模型的滤波层。</x:v>
      </x:c>
      <x:c r="S9" s="28" t="str">
        <x:v>线性高斯假设可能过强；状态方程设错会系统性偏差。</x:v>
      </x:c>
      <x:c r="T9" s="28" t="str">
        <x:v>A New Approach to Linear Filtering and Prediction Problems</x:v>
      </x:c>
      <x:c r="U9" s="28" t="str">
        <x:v>1960</x:v>
      </x:c>
      <x:c r="V9" s="28" t="str">
        <x:v>https://doi.org/10.1115/1.3662552</x:v>
      </x:c>
      <x:c r="W9" s="28" t="str"/>
      <x:c r="X9" s="28" t="str">
        <x:v>我认为是5m场景最被低估的基础设施之一。</x:v>
      </x:c>
    </x:row>
    <x:row r="10">
      <x:c r="A10" s="28" t="str">
        <x:v>M07</x:v>
      </x:c>
      <x:c r="B10" s="28" t="str">
        <x:v>经典统计</x:v>
      </x:c>
      <x:c r="C10" s="28" t="str">
        <x:v>波动率</x:v>
      </x:c>
      <x:c r="D10" s="28" t="str">
        <x:v>GARCH</x:v>
      </x:c>
      <x:c r="E10" s="28" t="str">
        <x:v>必跑基线</x:v>
      </x:c>
      <x:c r="F10" s="28" t="str">
        <x:v>条件波动率</x:v>
      </x:c>
      <x:c r="G10" s="28" t="str">
        <x:v>利用波动聚类预测下一期方差，而不是强行预测均值。</x:v>
      </x:c>
      <x:c r="H10" s="28" t="str">
        <x:v>5m returns</x:v>
      </x:c>
      <x:c r="I10" s="32" t="n">
        <x:v>5</x:v>
      </x:c>
      <x:c r="J10" s="32" t="n">
        <x:v>3</x:v>
      </x:c>
      <x:c r="K10" s="32" t="n">
        <x:v>5</x:v>
      </x:c>
      <x:c r="L10" s="32" t="n">
        <x:v>1</x:v>
      </x:c>
      <x:c r="M10" s="32" t="n">
        <x:v>5</x:v>
      </x:c>
      <x:c r="N10" s="32" t="n">
        <x:v>5</x:v>
      </x:c>
      <x:c r="O10" s="32" t="n">
        <x:v>4</x:v>
      </x:c>
      <x:c r="P10" s="32" t="n">
        <x:f>ROUND(100*(0.25*I10+0.20*J10+0.20*K10+0.10*(6-L10)+0.10*M10+0.05*N10+0.10*O10)/5,0)</x:f>
        <x:v>90</x:v>
      </x:c>
      <x:c r="Q10" s="32" t="str">
        <x:f>IF(P10&gt;=80,"P0",IF(P10&gt;=70,"P1",IF(P10&gt;=60,"P2","P3")))</x:f>
        <x:v>P0</x:v>
      </x:c>
      <x:c r="R10" s="28" t="str">
        <x:v>用于 position sizing、动态阈值、风险条件化。</x:v>
      </x:c>
      <x:c r="S10" s="28" t="str">
        <x:v>极端跳跃与结构突变时响应偏慢。</x:v>
      </x:c>
      <x:c r="T10" s="28" t="str">
        <x:v>Generalized Autoregressive Conditional Heteroskedasticity</x:v>
      </x:c>
      <x:c r="U10" s="28" t="str">
        <x:v>1986</x:v>
      </x:c>
      <x:c r="V10" s="28" t="str">
        <x:v>https://doi.org/10.1016/0304-4076(86)90063-1</x:v>
      </x:c>
      <x:c r="W10" s="28" t="str"/>
      <x:c r="X10" s="28" t="str">
        <x:v>均值模型弱时，vol 模型仍可产生经济价值。</x:v>
      </x:c>
    </x:row>
    <x:row r="11">
      <x:c r="A11" s="28" t="str">
        <x:v>M08</x:v>
      </x:c>
      <x:c r="B11" s="28" t="str">
        <x:v>经典统计</x:v>
      </x:c>
      <x:c r="C11" s="28" t="str">
        <x:v>波动率</x:v>
      </x:c>
      <x:c r="D11" s="28" t="str">
        <x:v>EGARCH / GJR-GARCH</x:v>
      </x:c>
      <x:c r="E11" s="28" t="str">
        <x:v>核心候选</x:v>
      </x:c>
      <x:c r="F11" s="28" t="str">
        <x:v>条件波动率/非对称波动</x:v>
      </x:c>
      <x:c r="G11" s="28" t="str">
        <x:v>允许正负冲击对未来波动影响不同，并改善正值约束。</x:v>
      </x:c>
      <x:c r="H11" s="28" t="str">
        <x:v>5m returns</x:v>
      </x:c>
      <x:c r="I11" s="32" t="n">
        <x:v>5</x:v>
      </x:c>
      <x:c r="J11" s="32" t="n">
        <x:v>3</x:v>
      </x:c>
      <x:c r="K11" s="32" t="n">
        <x:v>5</x:v>
      </x:c>
      <x:c r="L11" s="32" t="n">
        <x:v>2</x:v>
      </x:c>
      <x:c r="M11" s="32" t="n">
        <x:v>5</x:v>
      </x:c>
      <x:c r="N11" s="32" t="n">
        <x:v>4</x:v>
      </x:c>
      <x:c r="O11" s="32" t="n">
        <x:v>4</x:v>
      </x:c>
      <x:c r="P11" s="32" t="n">
        <x:f>ROUND(100*(0.25*I11+0.20*J11+0.20*K11+0.10*(6-L11)+0.10*M11+0.05*N11+0.10*O11)/5,0)</x:f>
        <x:v>87</x:v>
      </x:c>
      <x:c r="Q11" s="32" t="str">
        <x:f>IF(P11&gt;=80,"P0",IF(P11&gt;=70,"P1",IF(P11&gt;=60,"P2","P3")))</x:f>
        <x:v>P0</x:v>
      </x:c>
      <x:c r="R11" s="28" t="str">
        <x:v>在 crash / liquidation regime 下为仓位和止损提供状态变量。</x:v>
      </x:c>
      <x:c r="S11" s="28" t="str">
        <x:v>crypto 的非对称性随周期变化；参数需要滚动。</x:v>
      </x:c>
      <x:c r="T11" s="28" t="str">
        <x:v>EGARCH</x:v>
      </x:c>
      <x:c r="U11" s="28" t="str">
        <x:v>1991</x:v>
      </x:c>
      <x:c r="V11" s="28" t="str">
        <x:v>https://doi.org/10.2307/2938260</x:v>
      </x:c>
      <x:c r="W11" s="28" t="str"/>
      <x:c r="X11" s="28" t="str">
        <x:v>建议与 realized-vol 模型一起跑。</x:v>
      </x:c>
    </x:row>
    <x:row r="12">
      <x:c r="A12" s="28" t="str">
        <x:v>M09</x:v>
      </x:c>
      <x:c r="B12" s="28" t="str">
        <x:v>经典统计</x:v>
      </x:c>
      <x:c r="C12" s="28" t="str">
        <x:v>Realized Vol</x:v>
      </x:c>
      <x:c r="D12" s="28" t="str">
        <x:v>HAR-RV / HARQ</x:v>
      </x:c>
      <x:c r="E12" s="28" t="str">
        <x:v>核心候选</x:v>
      </x:c>
      <x:c r="F12" s="28" t="str">
        <x:v>未来5m/15m/1h realized volatility</x:v>
      </x:c>
      <x:c r="G12" s="28" t="str">
        <x:v>用多尺度（日内短/中/长）波动成分描述异质交易者与长记忆。</x:v>
      </x:c>
      <x:c r="H12" s="28" t="str">
        <x:v>realized variance, bipower variation, range</x:v>
      </x:c>
      <x:c r="I12" s="32" t="n">
        <x:v>5</x:v>
      </x:c>
      <x:c r="J12" s="32" t="n">
        <x:v>4</x:v>
      </x:c>
      <x:c r="K12" s="32" t="n">
        <x:v>5</x:v>
      </x:c>
      <x:c r="L12" s="32" t="n">
        <x:v>2</x:v>
      </x:c>
      <x:c r="M12" s="32" t="n">
        <x:v>5</x:v>
      </x:c>
      <x:c r="N12" s="32" t="n">
        <x:v>5</x:v>
      </x:c>
      <x:c r="O12" s="32" t="n">
        <x:v>5</x:v>
      </x:c>
      <x:c r="P12" s="32" t="n">
        <x:f>ROUND(100*(0.25*I12+0.20*J12+0.20*K12+0.10*(6-L12)+0.10*M12+0.05*N12+0.10*O12)/5,0)</x:f>
        <x:v>94</x:v>
      </x:c>
      <x:c r="Q12" s="32" t="str">
        <x:f>IF(P12&gt;=80,"P0",IF(P12&gt;=70,"P1",IF(P12&gt;=60,"P2","P3")))</x:f>
        <x:v>P0</x:v>
      </x:c>
      <x:c r="R12" s="28" t="str">
        <x:v>将1m/5m/30m/4h等尺度融合，给均值模型做 regime 和阈值输入。</x:v>
      </x:c>
      <x:c r="S12" s="28" t="str">
        <x:v>对跳跃、交易制度变化需额外项。</x:v>
      </x:c>
      <x:c r="T12" s="28" t="str">
        <x:v>A Simple Approximate Long-Memory Model of Realized Volatility</x:v>
      </x:c>
      <x:c r="U12" s="28" t="str">
        <x:v>2009</x:v>
      </x:c>
      <x:c r="V12" s="28" t="str">
        <x:v>https://doi.org/10.1093/jjfinec/nbp001</x:v>
      </x:c>
      <x:c r="W12" s="28" t="str"/>
      <x:c r="X12" s="28" t="str">
        <x:v>短周期预测里经常比花哨深度模型更稳定。</x:v>
      </x:c>
    </x:row>
    <x:row r="13">
      <x:c r="A13" s="28" t="str">
        <x:v>M10</x:v>
      </x:c>
      <x:c r="B13" s="28" t="str">
        <x:v>经典统计</x:v>
      </x:c>
      <x:c r="C13" s="28" t="str">
        <x:v>波动率</x:v>
      </x:c>
      <x:c r="D13" s="28" t="str">
        <x:v>Stochastic Volatility / Particle Filter</x:v>
      </x:c>
      <x:c r="E13" s="28" t="str">
        <x:v>条件候选</x:v>
      </x:c>
      <x:c r="F13" s="28" t="str">
        <x:v>隐含波动状态/分布</x:v>
      </x:c>
      <x:c r="G13" s="28" t="str">
        <x:v>把波动率当作潜在随机过程，使用滤波/采样估计。</x:v>
      </x:c>
      <x:c r="H13" s="28" t="str">
        <x:v>returns, option IV optional</x:v>
      </x:c>
      <x:c r="I13" s="32" t="n">
        <x:v>4</x:v>
      </x:c>
      <x:c r="J13" s="32" t="n">
        <x:v>3</x:v>
      </x:c>
      <x:c r="K13" s="32" t="n">
        <x:v>4</x:v>
      </x:c>
      <x:c r="L13" s="32" t="n">
        <x:v>4</x:v>
      </x:c>
      <x:c r="M13" s="32" t="n">
        <x:v>3</x:v>
      </x:c>
      <x:c r="N13" s="32" t="n">
        <x:v>4</x:v>
      </x:c>
      <x:c r="O13" s="32" t="n">
        <x:v>3</x:v>
      </x:c>
      <x:c r="P13" s="32" t="n">
        <x:f>ROUND(100*(0.25*I13+0.20*J13+0.20*K13+0.10*(6-L13)+0.10*M13+0.05*N13+0.10*O13)/5,0)</x:f>
        <x:v>68</x:v>
      </x:c>
      <x:c r="Q13" s="32" t="str">
        <x:f>IF(P13&gt;=80,"P0",IF(P13&gt;=70,"P1",IF(P13&gt;=60,"P2","P3")))</x:f>
        <x:v>P2</x:v>
      </x:c>
      <x:c r="R13" s="28" t="str">
        <x:v>用于概率预测、尾部风险、regime 辨识。</x:v>
      </x:c>
      <x:c r="S13" s="28" t="str">
        <x:v>实现复杂且实时参数漂移明显。</x:v>
      </x:c>
      <x:c r="T13" s="28" t="str">
        <x:v>Stochastic Volatility Models</x:v>
      </x:c>
      <x:c r="U13" s="28" t="str">
        <x:v>—</x:v>
      </x:c>
      <x:c r="V13" s="28" t="str"/>
      <x:c r="W13" s="28" t="str"/>
      <x:c r="X13" s="28" t="str">
        <x:v>更适合风险层，不一定直接做方向 alpha。</x:v>
      </x:c>
    </x:row>
    <x:row r="14">
      <x:c r="A14" s="28" t="str">
        <x:v>M11</x:v>
      </x:c>
      <x:c r="B14" s="28" t="str">
        <x:v>经典统计</x:v>
      </x:c>
      <x:c r="C14" s="28" t="str">
        <x:v>Regime</x:v>
      </x:c>
      <x:c r="D14" s="28" t="str">
        <x:v>Markov Switching / HMM</x:v>
      </x:c>
      <x:c r="E14" s="28" t="str">
        <x:v>核心候选</x:v>
      </x:c>
      <x:c r="F14" s="28" t="str">
        <x:v>regime probability + conditional return</x:v>
      </x:c>
      <x:c r="G14" s="28" t="str">
        <x:v>用隐状态区分趋势、均值回归、高波动、低流动性等 regime。</x:v>
      </x:c>
      <x:c r="H14" s="28" t="str">
        <x:v>returns, vol, spread, volume, funding, OI</x:v>
      </x:c>
      <x:c r="I14" s="32" t="n">
        <x:v>5</x:v>
      </x:c>
      <x:c r="J14" s="32" t="n">
        <x:v>4</x:v>
      </x:c>
      <x:c r="K14" s="32" t="n">
        <x:v>5</x:v>
      </x:c>
      <x:c r="L14" s="32" t="n">
        <x:v>2</x:v>
      </x:c>
      <x:c r="M14" s="32" t="n">
        <x:v>5</x:v>
      </x:c>
      <x:c r="N14" s="32" t="n">
        <x:v>5</x:v>
      </x:c>
      <x:c r="O14" s="32" t="n">
        <x:v>5</x:v>
      </x:c>
      <x:c r="P14" s="32" t="n">
        <x:f>ROUND(100*(0.25*I14+0.20*J14+0.20*K14+0.10*(6-L14)+0.10*M14+0.05*N14+0.10*O14)/5,0)</x:f>
        <x:v>94</x:v>
      </x:c>
      <x:c r="Q14" s="32" t="str">
        <x:f>IF(P14&gt;=80,"P0",IF(P14&gt;=70,"P1",IF(P14&gt;=60,"P2","P3")))</x:f>
        <x:v>P0</x:v>
      </x:c>
      <x:c r="R14" s="28" t="str">
        <x:v>作为 ensemble gating：不同状态调用不同预测器。</x:v>
      </x:c>
      <x:c r="S14" s="28" t="str">
        <x:v>状态数/解释不稳定；极端新状态可能没见过。</x:v>
      </x:c>
      <x:c r="T14" s="28" t="str">
        <x:v>A New Approach to the Economic Analysis of Nonstationary Time Series</x:v>
      </x:c>
      <x:c r="U14" s="28" t="str">
        <x:v>1989</x:v>
      </x:c>
      <x:c r="V14" s="28" t="str">
        <x:v>https://doi.org/10.2307/1912559</x:v>
      </x:c>
      <x:c r="W14" s="28" t="str"/>
      <x:c r="X14" s="28" t="str">
        <x:v>对 BTC 这种 regime-heavy 序列非常值得。</x:v>
      </x:c>
    </x:row>
    <x:row r="15">
      <x:c r="A15" s="28" t="str">
        <x:v>M12</x:v>
      </x:c>
      <x:c r="B15" s="28" t="str">
        <x:v>经典统计</x:v>
      </x:c>
      <x:c r="C15" s="28" t="str">
        <x:v>结构突变</x:v>
      </x:c>
      <x:c r="D15" s="28" t="str">
        <x:v>BOCPD / Change-point Detection</x:v>
      </x:c>
      <x:c r="E15" s="28" t="str">
        <x:v>核心候选</x:v>
      </x:c>
      <x:c r="F15" s="28" t="str">
        <x:v>change probability / reset signal</x:v>
      </x:c>
      <x:c r="G15" s="28" t="str">
        <x:v>在线检测均值、方差或相关结构的断点，触发重训/降权。</x:v>
      </x:c>
      <x:c r="H15" s="28" t="str">
        <x:v>returns, vol, spread, OI, basis</x:v>
      </x:c>
      <x:c r="I15" s="32" t="n">
        <x:v>5</x:v>
      </x:c>
      <x:c r="J15" s="32" t="n">
        <x:v>4</x:v>
      </x:c>
      <x:c r="K15" s="32" t="n">
        <x:v>5</x:v>
      </x:c>
      <x:c r="L15" s="32" t="n">
        <x:v>2</x:v>
      </x:c>
      <x:c r="M15" s="32" t="n">
        <x:v>5</x:v>
      </x:c>
      <x:c r="N15" s="32" t="n">
        <x:v>5</x:v>
      </x:c>
      <x:c r="O15" s="32" t="n">
        <x:v>5</x:v>
      </x:c>
      <x:c r="P15" s="32" t="n">
        <x:f>ROUND(100*(0.25*I15+0.20*J15+0.20*K15+0.10*(6-L15)+0.10*M15+0.05*N15+0.10*O15)/5,0)</x:f>
        <x:v>94</x:v>
      </x:c>
      <x:c r="Q15" s="32" t="str">
        <x:f>IF(P15&gt;=80,"P0",IF(P15&gt;=70,"P1",IF(P15&gt;=60,"P2","P3")))</x:f>
        <x:v>P0</x:v>
      </x:c>
      <x:c r="R15" s="28" t="str">
        <x:v>用于动态窗口、模型失效保护和 regime reset。</x:v>
      </x:c>
      <x:c r="S15" s="28" t="str">
        <x:v>阈值选择影响误报；断点后的新样本少。</x:v>
      </x:c>
      <x:c r="T15" s="28" t="str">
        <x:v>Bayesian Online Changepoint Detection</x:v>
      </x:c>
      <x:c r="U15" s="28" t="str">
        <x:v>2007</x:v>
      </x:c>
      <x:c r="V15" s="28" t="str">
        <x:v>https://arxiv.org/abs/0710.3742</x:v>
      </x:c>
      <x:c r="W15" s="28" t="str"/>
      <x:c r="X15" s="28" t="str">
        <x:v>比单纯换更复杂网络更能提升真实 OOS。</x:v>
      </x:c>
    </x:row>
    <x:row r="16">
      <x:c r="A16" s="28" t="str">
        <x:v>M13</x:v>
      </x:c>
      <x:c r="B16" s="28" t="str">
        <x:v>经典统计</x:v>
      </x:c>
      <x:c r="C16" s="28" t="str">
        <x:v>事件过程</x:v>
      </x:c>
      <x:c r="D16" s="28" t="str">
        <x:v>Hawkes Process</x:v>
      </x:c>
      <x:c r="E16" s="28" t="str">
        <x:v>核心候选</x:v>
      </x:c>
      <x:c r="F16" s="28" t="str">
        <x:v>order/event intensity, OFI distribution</x:v>
      </x:c>
      <x:c r="G16" s="28" t="str">
        <x:v>建模买卖订单、撤单、成交、清算等事件的自激与交叉激励。</x:v>
      </x:c>
      <x:c r="H16" s="28" t="str">
        <x:v>tick trades, L2/L3 events, liquidation events</x:v>
      </x:c>
      <x:c r="I16" s="32" t="n">
        <x:v>5</x:v>
      </x:c>
      <x:c r="J16" s="32" t="n">
        <x:v>5</x:v>
      </x:c>
      <x:c r="K16" s="32" t="n">
        <x:v>4</x:v>
      </x:c>
      <x:c r="L16" s="32" t="n">
        <x:v>4</x:v>
      </x:c>
      <x:c r="M16" s="32" t="n">
        <x:v>3</x:v>
      </x:c>
      <x:c r="N16" s="32" t="n">
        <x:v>4</x:v>
      </x:c>
      <x:c r="O16" s="32" t="n">
        <x:v>5</x:v>
      </x:c>
      <x:c r="P16" s="32" t="n">
        <x:f>ROUND(100*(0.25*I16+0.20*J16+0.20*K16+0.10*(6-L16)+0.10*M16+0.05*N16+0.10*O16)/5,0)</x:f>
        <x:v>85</x:v>
      </x:c>
      <x:c r="Q16" s="32" t="str">
        <x:f>IF(P16&gt;=80,"P0",IF(P16&gt;=70,"P1",IF(P16&gt;=60,"P2","P3")))</x:f>
        <x:v>P0</x:v>
      </x:c>
      <x:c r="R16" s="28" t="str">
        <x:v>预测未来几分钟买卖事件强度、OFI 和流动性冲击。</x:v>
      </x:c>
      <x:c r="S16" s="28" t="str">
        <x:v>高维核估计昂贵；参数在极端行情快速漂移。</x:v>
      </x:c>
      <x:c r="T16" s="28" t="str">
        <x:v>Spectra of Some Self-Exciting and Mutually Exciting Point Processes</x:v>
      </x:c>
      <x:c r="U16" s="28" t="str">
        <x:v>1971</x:v>
      </x:c>
      <x:c r="V16" s="28" t="str">
        <x:v>https://doi.org/10.1093/biomet/58.1.83</x:v>
      </x:c>
      <x:c r="W16" s="28" t="str"/>
      <x:c r="X16" s="28" t="str">
        <x:v>非常适合把“5分钟K线”下钻到事件时间。</x:v>
      </x:c>
    </x:row>
    <x:row r="17">
      <x:c r="A17" s="28" t="str">
        <x:v>M14</x:v>
      </x:c>
      <x:c r="B17" s="28" t="str">
        <x:v>经典统计</x:v>
      </x:c>
      <x:c r="C17" s="28" t="str">
        <x:v>微观结构</x:v>
      </x:c>
      <x:c r="D17" s="28" t="str">
        <x:v>Order Flow Imbalance (OFI) Linear Model</x:v>
      </x:c>
      <x:c r="E17" s="28" t="str">
        <x:v>必跑核心</x:v>
      </x:c>
      <x:c r="F17" s="28" t="str">
        <x:v>短期return / price impact</x:v>
      </x:c>
      <x:c r="G17" s="28" t="str">
        <x:v>用最优买卖价挂单新增、撤单和成交形成供需不平衡，解释短期价格变化。</x:v>
      </x:c>
      <x:c r="H17" s="28" t="str">
        <x:v>L1/L2 order book events</x:v>
      </x:c>
      <x:c r="I17" s="32" t="n">
        <x:v>5</x:v>
      </x:c>
      <x:c r="J17" s="32" t="n">
        <x:v>5</x:v>
      </x:c>
      <x:c r="K17" s="32" t="n">
        <x:v>5</x:v>
      </x:c>
      <x:c r="L17" s="32" t="n">
        <x:v>1</x:v>
      </x:c>
      <x:c r="M17" s="32" t="n">
        <x:v>5</x:v>
      </x:c>
      <x:c r="N17" s="32" t="n">
        <x:v>5</x:v>
      </x:c>
      <x:c r="O17" s="32" t="n">
        <x:v>5</x:v>
      </x:c>
      <x:c r="P17" s="32" t="n">
        <x:f>ROUND(100*(0.25*I17+0.20*J17+0.20*K17+0.10*(6-L17)+0.10*M17+0.05*N17+0.10*O17)/5,0)</x:f>
        <x:v>100</x:v>
      </x:c>
      <x:c r="Q17" s="32" t="str">
        <x:f>IF(P17&gt;=80,"P0",IF(P17&gt;=70,"P1",IF(P17&gt;=60,"P2","P3")))</x:f>
        <x:v>P0</x:v>
      </x:c>
      <x:c r="R17" s="28" t="str">
        <x:v>做最强可解释微观结构基线，并给树/深度模型输入。</x:v>
      </x:c>
      <x:c r="S17" s="28" t="str">
        <x:v>仅OHLCV无法构造；跨交易所口径要统一。</x:v>
      </x:c>
      <x:c r="T17" s="28" t="str">
        <x:v>The Price Impact of Order Book Events</x:v>
      </x:c>
      <x:c r="U17" s="28" t="str">
        <x:v>2014</x:v>
      </x:c>
      <x:c r="V17" s="28" t="str">
        <x:v>https://academic.oup.com/jfec/article-abstract/12/1/47/816163</x:v>
      </x:c>
      <x:c r="W17" s="28" t="str"/>
      <x:c r="X17" s="28" t="str">
        <x:v>如果拿得到 L2/L3，这是第一优先级。</x:v>
      </x:c>
    </x:row>
    <x:row r="18">
      <x:c r="A18" s="28" t="str">
        <x:v>M15</x:v>
      </x:c>
      <x:c r="B18" s="28" t="str">
        <x:v>经典统计</x:v>
      </x:c>
      <x:c r="C18" s="28" t="str">
        <x:v>微观结构</x:v>
      </x:c>
      <x:c r="D18" s="28" t="str">
        <x:v>Queue Imbalance + Logistic / Local Logistic</x:v>
      </x:c>
      <x:c r="E18" s="28" t="str">
        <x:v>必跑核心</x:v>
      </x:c>
      <x:c r="F18" s="28" t="str">
        <x:v>next move probability</x:v>
      </x:c>
      <x:c r="G18" s="28" t="str">
        <x:v>用 best bid/ask queue imbalance 预测下一次 mid-price move 的方向概率。</x:v>
      </x:c>
      <x:c r="H18" s="28" t="str">
        <x:v>best bid/ask depth, spread</x:v>
      </x:c>
      <x:c r="I18" s="32" t="n">
        <x:v>5</x:v>
      </x:c>
      <x:c r="J18" s="32" t="n">
        <x:v>5</x:v>
      </x:c>
      <x:c r="K18" s="32" t="n">
        <x:v>5</x:v>
      </x:c>
      <x:c r="L18" s="32" t="n">
        <x:v>1</x:v>
      </x:c>
      <x:c r="M18" s="32" t="n">
        <x:v>5</x:v>
      </x:c>
      <x:c r="N18" s="32" t="n">
        <x:v>5</x:v>
      </x:c>
      <x:c r="O18" s="32" t="n">
        <x:v>5</x:v>
      </x:c>
      <x:c r="P18" s="32" t="n">
        <x:f>ROUND(100*(0.25*I18+0.20*J18+0.20*K18+0.10*(6-L18)+0.10*M18+0.05*N18+0.10*O18)/5,0)</x:f>
        <x:v>100</x:v>
      </x:c>
      <x:c r="Q18" s="32" t="str">
        <x:f>IF(P18&gt;=80,"P0",IF(P18&gt;=70,"P1",IF(P18&gt;=60,"P2","P3")))</x:f>
        <x:v>P0</x:v>
      </x:c>
      <x:c r="R18" s="28" t="str">
        <x:v>短期方向概率、置信度阈值、作为 DeepLOB 的 sanity check。</x:v>
      </x:c>
      <x:c r="S18" s="28" t="str">
        <x:v>大 tick/小 tick 资产效果不同；5m要聚合事件级概率。</x:v>
      </x:c>
      <x:c r="T18" s="28" t="str">
        <x:v>Queue Imbalance as a One-Tick-Ahead Price Predictor</x:v>
      </x:c>
      <x:c r="U18" s="28" t="str">
        <x:v>2015</x:v>
      </x:c>
      <x:c r="V18" s="28" t="str">
        <x:v>https://arxiv.org/abs/1512.03492</x:v>
      </x:c>
      <x:c r="W18" s="28" t="str"/>
      <x:c r="X18" s="28" t="str">
        <x:v>简单、快、可解释，常被低估。</x:v>
      </x:c>
    </x:row>
    <x:row r="19">
      <x:c r="A19" s="28" t="str">
        <x:v>M16</x:v>
      </x:c>
      <x:c r="B19" s="28" t="str">
        <x:v>经典统计</x:v>
      </x:c>
      <x:c r="C19" s="28" t="str">
        <x:v>微观结构</x:v>
      </x:c>
      <x:c r="D19" s="28" t="str">
        <x:v>Microprice / Weighted Mid</x:v>
      </x:c>
      <x:c r="E19" s="28" t="str">
        <x:v>必跑核心</x:v>
      </x:c>
      <x:c r="F19" s="28" t="str">
        <x:v>short-term fair price</x:v>
      </x:c>
      <x:c r="G19" s="28" t="str">
        <x:v>用 spread 和 bid/ask imbalance 把 mid-price 调整为条件 fair price。</x:v>
      </x:c>
      <x:c r="H19" s="28" t="str">
        <x:v>best bid/ask price &amp; size</x:v>
      </x:c>
      <x:c r="I19" s="32" t="n">
        <x:v>5</x:v>
      </x:c>
      <x:c r="J19" s="32" t="n">
        <x:v>5</x:v>
      </x:c>
      <x:c r="K19" s="32" t="n">
        <x:v>5</x:v>
      </x:c>
      <x:c r="L19" s="32" t="n">
        <x:v>1</x:v>
      </x:c>
      <x:c r="M19" s="32" t="n">
        <x:v>5</x:v>
      </x:c>
      <x:c r="N19" s="32" t="n">
        <x:v>5</x:v>
      </x:c>
      <x:c r="O19" s="32" t="n">
        <x:v>5</x:v>
      </x:c>
      <x:c r="P19" s="32" t="n">
        <x:f>ROUND(100*(0.25*I19+0.20*J19+0.20*K19+0.10*(6-L19)+0.10*M19+0.05*N19+0.10*O19)/5,0)</x:f>
        <x:v>100</x:v>
      </x:c>
      <x:c r="Q19" s="32" t="str">
        <x:f>IF(P19&gt;=80,"P0",IF(P19&gt;=70,"P1",IF(P19&gt;=60,"P2","P3")))</x:f>
        <x:v>P0</x:v>
      </x:c>
      <x:c r="R19" s="28" t="str">
        <x:v>作为预测 target anchor、label 去噪与执行 fair value。</x:v>
      </x:c>
      <x:c r="S19" s="28" t="str">
        <x:v>在深度变化和多档订单主导时 L1 microprice 不够。</x:v>
      </x:c>
      <x:c r="T19" s="28" t="str">
        <x:v>The Micro-Price: A High-Frequency Estimator of Future Prices</x:v>
      </x:c>
      <x:c r="U19" s="28" t="str">
        <x:v>2018</x:v>
      </x:c>
      <x:c r="V19" s="28" t="str">
        <x:v>https://www.tandfonline.com/doi/abs/10.1080/14697688.2018.1489139</x:v>
      </x:c>
      <x:c r="W19" s="28" t="str"/>
      <x:c r="X19" s="28" t="str">
        <x:v>我会把它放在所有复杂模型前。</x:v>
      </x:c>
    </x:row>
    <x:row r="20">
      <x:c r="A20" s="28" t="str">
        <x:v>M17</x:v>
      </x:c>
      <x:c r="B20" s="28" t="str">
        <x:v>经典统计</x:v>
      </x:c>
      <x:c r="C20" s="28" t="str">
        <x:v>分位数</x:v>
      </x:c>
      <x:c r="D20" s="28" t="str">
        <x:v>Quantile Regression / Quantile AR</x:v>
      </x:c>
      <x:c r="E20" s="28" t="str">
        <x:v>核心候选</x:v>
      </x:c>
      <x:c r="F20" s="28" t="str">
        <x:v>return quantiles / VaR bands</x:v>
      </x:c>
      <x:c r="G20" s="28" t="str">
        <x:v>直接预测收益条件分位数，而非仅均值，适合厚尾与不对称分布。</x:v>
      </x:c>
      <x:c r="H20" s="28" t="str">
        <x:v>lags, vol, OFI, derivatives features</x:v>
      </x:c>
      <x:c r="I20" s="32" t="n">
        <x:v>5</x:v>
      </x:c>
      <x:c r="J20" s="32" t="n">
        <x:v>4</x:v>
      </x:c>
      <x:c r="K20" s="32" t="n">
        <x:v>5</x:v>
      </x:c>
      <x:c r="L20" s="32" t="n">
        <x:v>2</x:v>
      </x:c>
      <x:c r="M20" s="32" t="n">
        <x:v>5</x:v>
      </x:c>
      <x:c r="N20" s="32" t="n">
        <x:v>5</x:v>
      </x:c>
      <x:c r="O20" s="32" t="n">
        <x:v>5</x:v>
      </x:c>
      <x:c r="P20" s="32" t="n">
        <x:f>ROUND(100*(0.25*I20+0.20*J20+0.20*K20+0.10*(6-L20)+0.10*M20+0.05*N20+0.10*O20)/5,0)</x:f>
        <x:v>94</x:v>
      </x:c>
      <x:c r="Q20" s="32" t="str">
        <x:f>IF(P20&gt;=80,"P0",IF(P20&gt;=70,"P1",IF(P20&gt;=60,"P2","P3")))</x:f>
        <x:v>P0</x:v>
      </x:c>
      <x:c r="R20" s="28" t="str">
        <x:v>输出 q10/q50/q90，交易只在分布足够偏斜时触发。</x:v>
      </x:c>
      <x:c r="S20" s="28" t="str">
        <x:v>crossing quantiles、尾部样本稀疏。</x:v>
      </x:c>
      <x:c r="T20" s="28" t="str">
        <x:v>Regression Quantiles</x:v>
      </x:c>
      <x:c r="U20" s="28" t="str">
        <x:v>1978</x:v>
      </x:c>
      <x:c r="V20" s="28" t="str">
        <x:v>https://doi.org/10.2307/1913643</x:v>
      </x:c>
      <x:c r="W20" s="28" t="str"/>
      <x:c r="X20" s="28" t="str">
        <x:v>交易决策通常比点预测更匹配。</x:v>
      </x:c>
    </x:row>
    <x:row r="21">
      <x:c r="A21" s="28" t="str">
        <x:v>M18</x:v>
      </x:c>
      <x:c r="B21" s="28" t="str">
        <x:v>经典统计</x:v>
      </x:c>
      <x:c r="C21" s="28" t="str">
        <x:v>频域/多尺度</x:v>
      </x:c>
      <x:c r="D21" s="28" t="str">
        <x:v>Wavelet / Fourier / Spectral Decomposition</x:v>
      </x:c>
      <x:c r="E21" s="28" t="str">
        <x:v>条件候选</x:v>
      </x:c>
      <x:c r="F21" s="28" t="str">
        <x:v>component forecasts</x:v>
      </x:c>
      <x:c r="G21" s="28" t="str">
        <x:v>把不同频率的趋势、周期和噪声分离后分别建模。</x:v>
      </x:c>
      <x:c r="H21" s="28" t="str">
        <x:v>returns, vol, volume, basis</x:v>
      </x:c>
      <x:c r="I21" s="32" t="n">
        <x:v>4</x:v>
      </x:c>
      <x:c r="J21" s="32" t="n">
        <x:v>3</x:v>
      </x:c>
      <x:c r="K21" s="32" t="n">
        <x:v>4</x:v>
      </x:c>
      <x:c r="L21" s="32" t="n">
        <x:v>3</x:v>
      </x:c>
      <x:c r="M21" s="32" t="n">
        <x:v>4</x:v>
      </x:c>
      <x:c r="N21" s="32" t="n">
        <x:v>4</x:v>
      </x:c>
      <x:c r="O21" s="32" t="n">
        <x:v>4</x:v>
      </x:c>
      <x:c r="P21" s="32" t="n">
        <x:f>ROUND(100*(0.25*I21+0.20*J21+0.20*K21+0.10*(6-L21)+0.10*M21+0.05*N21+0.10*O21)/5,0)</x:f>
        <x:v>74</x:v>
      </x:c>
      <x:c r="Q21" s="32" t="str">
        <x:f>IF(P21&gt;=80,"P0",IF(P21&gt;=70,"P1",IF(P21&gt;=60,"P2","P3")))</x:f>
        <x:v>P1</x:v>
      </x:c>
      <x:c r="R21" s="28" t="str">
        <x:v>构造多尺度特征；结合 HAR、Koopa、TimeMixer 更有价值。</x:v>
      </x:c>
      <x:c r="S21" s="28" t="str">
        <x:v>金融序列周期并不稳定；易产生 hindsight 频率选择。</x:v>
      </x:c>
      <x:c r="T21" s="28" t="str">
        <x:v>—</x:v>
      </x:c>
      <x:c r="U21" s="28" t="str">
        <x:v>—</x:v>
      </x:c>
      <x:c r="V21" s="28" t="str"/>
      <x:c r="W21" s="28" t="str"/>
      <x:c r="X21" s="28" t="str">
        <x:v>作为 feature engineering 优于单独预测器。</x:v>
      </x:c>
    </x:row>
    <x:row r="22">
      <x:c r="A22" s="28" t="str">
        <x:v>M19</x:v>
      </x:c>
      <x:c r="B22" s="28" t="str">
        <x:v>经典统计</x:v>
      </x:c>
      <x:c r="C22" s="28" t="str">
        <x:v>非参数</x:v>
      </x:c>
      <x:c r="D22" s="28" t="str">
        <x:v>Local Linear / Kernel / kNN Analog</x:v>
      </x:c>
      <x:c r="E22" s="28" t="str">
        <x:v>条件候选</x:v>
      </x:c>
      <x:c r="F22" s="28" t="str">
        <x:v>return / direction</x:v>
      </x:c>
      <x:c r="G22" s="28" t="str">
        <x:v>寻找历史上局部状态相似的片段进行非参数预测。</x:v>
      </x:c>
      <x:c r="H22" s="28" t="str">
        <x:v>normalized state vectors</x:v>
      </x:c>
      <x:c r="I22" s="32" t="n">
        <x:v>3</x:v>
      </x:c>
      <x:c r="J22" s="32" t="n">
        <x:v>3</x:v>
      </x:c>
      <x:c r="K22" s="32" t="n">
        <x:v>3</x:v>
      </x:c>
      <x:c r="L22" s="32" t="n">
        <x:v>2</x:v>
      </x:c>
      <x:c r="M22" s="32" t="n">
        <x:v>3</x:v>
      </x:c>
      <x:c r="N22" s="32" t="n">
        <x:v>5</x:v>
      </x:c>
      <x:c r="O22" s="32" t="n">
        <x:v>4</x:v>
      </x:c>
      <x:c r="P22" s="32" t="n">
        <x:f>ROUND(100*(0.25*I22+0.20*J22+0.20*K22+0.10*(6-L22)+0.10*M22+0.05*N22+0.10*O22)/5,0)</x:f>
        <x:v>66</x:v>
      </x:c>
      <x:c r="Q22" s="32" t="str">
        <x:f>IF(P22&gt;=80,"P0",IF(P22&gt;=70,"P1",IF(P22&gt;=60,"P2","P3")))</x:f>
        <x:v>P2</x:v>
      </x:c>
      <x:c r="R22" s="28" t="str">
        <x:v>小模型 sanity check、极相似状态检索。</x:v>
      </x:c>
      <x:c r="S22" s="28" t="str">
        <x:v>维度灾难、regime shift 后历史相似不代表未来相似。</x:v>
      </x:c>
      <x:c r="T22" s="28" t="str">
        <x:v>—</x:v>
      </x:c>
      <x:c r="U22" s="28" t="str">
        <x:v>—</x:v>
      </x:c>
      <x:c r="V22" s="28" t="str"/>
      <x:c r="W22" s="28" t="str"/>
      <x:c r="X22" s="28" t="str">
        <x:v>可作为 ensemble diversity。</x:v>
      </x:c>
    </x:row>
    <x:row r="23">
      <x:c r="A23" s="28" t="str">
        <x:v>M20</x:v>
      </x:c>
      <x:c r="B23" s="28" t="str">
        <x:v>经典机器学习</x:v>
      </x:c>
      <x:c r="C23" s="28" t="str">
        <x:v>线性正则</x:v>
      </x:c>
      <x:c r="D23" s="28" t="str">
        <x:v>Ridge / Lasso / ElasticNet</x:v>
      </x:c>
      <x:c r="E23" s="28" t="str">
        <x:v>必跑核心</x:v>
      </x:c>
      <x:c r="F23" s="28" t="str">
        <x:v>return / direction / quantile proxy</x:v>
      </x:c>
      <x:c r="G23" s="28" t="str">
        <x:v>高维滞后与特征下做稀疏或收缩回归，控制过拟合。</x:v>
      </x:c>
      <x:c r="H23" s="28" t="str">
        <x:v>multi-scale lags, vol, flow, basis, OI</x:v>
      </x:c>
      <x:c r="I23" s="32" t="n">
        <x:v>5</x:v>
      </x:c>
      <x:c r="J23" s="32" t="n">
        <x:v>4</x:v>
      </x:c>
      <x:c r="K23" s="32" t="n">
        <x:v>5</x:v>
      </x:c>
      <x:c r="L23" s="32" t="n">
        <x:v>1</x:v>
      </x:c>
      <x:c r="M23" s="32" t="n">
        <x:v>5</x:v>
      </x:c>
      <x:c r="N23" s="32" t="n">
        <x:v>5</x:v>
      </x:c>
      <x:c r="O23" s="32" t="n">
        <x:v>5</x:v>
      </x:c>
      <x:c r="P23" s="32" t="n">
        <x:f>ROUND(100*(0.25*I23+0.20*J23+0.20*K23+0.10*(6-L23)+0.10*M23+0.05*N23+0.10*O23)/5,0)</x:f>
        <x:v>96</x:v>
      </x:c>
      <x:c r="Q23" s="32" t="str">
        <x:f>IF(P23&gt;=80,"P0",IF(P23&gt;=70,"P1",IF(P23&gt;=60,"P2","P3")))</x:f>
        <x:v>P0</x:v>
      </x:c>
      <x:c r="R23" s="28" t="str">
        <x:v>最重要的 production benchmark；用于检查复杂模型是否真有非线性增益。</x:v>
      </x:c>
      <x:c r="S23" s="28" t="str">
        <x:v>无法捕捉强非线性/交互；需滚动标准化。</x:v>
      </x:c>
      <x:c r="T23" s="28" t="str">
        <x:v>Regularization and Variable Selection via the Elastic Net</x:v>
      </x:c>
      <x:c r="U23" s="28" t="str">
        <x:v>2005</x:v>
      </x:c>
      <x:c r="V23" s="28" t="str">
        <x:v>https://doi.org/10.1111/j.1467-9868.2005.00503.x</x:v>
      </x:c>
      <x:c r="W23" s="28" t="str"/>
      <x:c r="X23" s="28" t="str">
        <x:v>强烈推荐。</x:v>
      </x:c>
    </x:row>
    <x:row r="24">
      <x:c r="A24" s="28" t="str">
        <x:v>M21</x:v>
      </x:c>
      <x:c r="B24" s="28" t="str">
        <x:v>经典机器学习</x:v>
      </x:c>
      <x:c r="C24" s="28" t="str">
        <x:v>核方法</x:v>
      </x:c>
      <x:c r="D24" s="28" t="str">
        <x:v>SVM / SVR</x:v>
      </x:c>
      <x:c r="E24" s="28" t="str">
        <x:v>条件候选</x:v>
      </x:c>
      <x:c r="F24" s="28" t="str">
        <x:v>direction / return</x:v>
      </x:c>
      <x:c r="G24" s="28" t="str">
        <x:v>通过 margin 与 kernel 捕捉中等维度非线性。</x:v>
      </x:c>
      <x:c r="H24" s="28" t="str">
        <x:v>engineered features</x:v>
      </x:c>
      <x:c r="I24" s="32" t="n">
        <x:v>3</x:v>
      </x:c>
      <x:c r="J24" s="32" t="n">
        <x:v>3</x:v>
      </x:c>
      <x:c r="K24" s="32" t="n">
        <x:v>4</x:v>
      </x:c>
      <x:c r="L24" s="32" t="n">
        <x:v>3</x:v>
      </x:c>
      <x:c r="M24" s="32" t="n">
        <x:v>3</x:v>
      </x:c>
      <x:c r="N24" s="32" t="n">
        <x:v>3</x:v>
      </x:c>
      <x:c r="O24" s="32" t="n">
        <x:v>3</x:v>
      </x:c>
      <x:c r="P24" s="32" t="n">
        <x:f>ROUND(100*(0.25*I24+0.20*J24+0.20*K24+0.10*(6-L24)+0.10*M24+0.05*N24+0.10*O24)/5,0)</x:f>
        <x:v>64</x:v>
      </x:c>
      <x:c r="Q24" s="32" t="str">
        <x:f>IF(P24&gt;=80,"P0",IF(P24&gt;=70,"P1",IF(P24&gt;=60,"P2","P3")))</x:f>
        <x:v>P2</x:v>
      </x:c>
      <x:c r="R24" s="28" t="str">
        <x:v>小中型样本的方向分类 benchmark。</x:v>
      </x:c>
      <x:c r="S24" s="28" t="str">
        <x:v>样本规模大时慢；概率校准需额外处理。</x:v>
      </x:c>
      <x:c r="T24" s="28" t="str">
        <x:v>Support-Vector Networks</x:v>
      </x:c>
      <x:c r="U24" s="28" t="str">
        <x:v>1995</x:v>
      </x:c>
      <x:c r="V24" s="28" t="str">
        <x:v>https://doi.org/10.1007/BF00994018</x:v>
      </x:c>
      <x:c r="W24" s="28" t="str"/>
      <x:c r="X24" s="28" t="str">
        <x:v>通常不应作为首选，但值得做基线。</x:v>
      </x:c>
    </x:row>
    <x:row r="25">
      <x:c r="A25" s="28" t="str">
        <x:v>M22</x:v>
      </x:c>
      <x:c r="B25" s="28" t="str">
        <x:v>经典机器学习</x:v>
      </x:c>
      <x:c r="C25" s="28" t="str">
        <x:v>树模型</x:v>
      </x:c>
      <x:c r="D25" s="28" t="str">
        <x:v>Random Forest / ExtraTrees</x:v>
      </x:c>
      <x:c r="E25" s="28" t="str">
        <x:v>核心候选</x:v>
      </x:c>
      <x:c r="F25" s="28" t="str">
        <x:v>direction / return / regime</x:v>
      </x:c>
      <x:c r="G25" s="28" t="str">
        <x:v>非参数地捕捉非线性交互与阈值效应。</x:v>
      </x:c>
      <x:c r="H25" s="28" t="str">
        <x:v>engineered features</x:v>
      </x:c>
      <x:c r="I25" s="32" t="n">
        <x:v>4</x:v>
      </x:c>
      <x:c r="J25" s="32" t="n">
        <x:v>4</x:v>
      </x:c>
      <x:c r="K25" s="32" t="n">
        <x:v>4</x:v>
      </x:c>
      <x:c r="L25" s="32" t="n">
        <x:v>2</x:v>
      </x:c>
      <x:c r="M25" s="32" t="n">
        <x:v>4</x:v>
      </x:c>
      <x:c r="N25" s="32" t="n">
        <x:v>4</x:v>
      </x:c>
      <x:c r="O25" s="32" t="n">
        <x:v>4</x:v>
      </x:c>
      <x:c r="P25" s="32" t="n">
        <x:f>ROUND(100*(0.25*I25+0.20*J25+0.20*K25+0.10*(6-L25)+0.10*M25+0.05*N25+0.10*O25)/5,0)</x:f>
        <x:v>80</x:v>
      </x:c>
      <x:c r="Q25" s="32" t="str">
        <x:f>IF(P25&gt;=80,"P0",IF(P25&gt;=70,"P1",IF(P25&gt;=60,"P2","P3")))</x:f>
        <x:v>P0</x:v>
      </x:c>
      <x:c r="R25" s="28" t="str">
        <x:v>用于 feature importance、非线性 sanity check。</x:v>
      </x:c>
      <x:c r="S25" s="28" t="str">
        <x:v>时间依赖通过特征显式表达；外推能力弱。</x:v>
      </x:c>
      <x:c r="T25" s="28" t="str">
        <x:v>Random Forests</x:v>
      </x:c>
      <x:c r="U25" s="28" t="str">
        <x:v>2001</x:v>
      </x:c>
      <x:c r="V25" s="28" t="str">
        <x:v>https://doi.org/10.1023/A:1010933404324</x:v>
      </x:c>
      <x:c r="W25" s="28" t="str"/>
      <x:c r="X25" s="28" t="str">
        <x:v>ExtraTrees 也值得作为强低成本基线。</x:v>
      </x:c>
    </x:row>
    <x:row r="26">
      <x:c r="A26" s="28" t="str">
        <x:v>M23</x:v>
      </x:c>
      <x:c r="B26" s="28" t="str">
        <x:v>经典机器学习</x:v>
      </x:c>
      <x:c r="C26" s="28" t="str">
        <x:v>Boosting</x:v>
      </x:c>
      <x:c r="D26" s="28" t="str">
        <x:v>XGBoost / LightGBM / CatBoost</x:v>
      </x:c>
      <x:c r="E26" s="28" t="str">
        <x:v>必跑核心</x:v>
      </x:c>
      <x:c r="F26" s="28" t="str">
        <x:v>return / direction / quantiles</x:v>
      </x:c>
      <x:c r="G26" s="28" t="str">
        <x:v>梯度提升树对复杂非线性、阈值与交互非常强，训练/推理成本低。</x:v>
      </x:c>
      <x:c r="H26" s="28" t="str">
        <x:v>price/vol/flow/basis/OI/cross-venue features</x:v>
      </x:c>
      <x:c r="I26" s="32" t="n">
        <x:v>5</x:v>
      </x:c>
      <x:c r="J26" s="32" t="n">
        <x:v>5</x:v>
      </x:c>
      <x:c r="K26" s="32" t="n">
        <x:v>5</x:v>
      </x:c>
      <x:c r="L26" s="32" t="n">
        <x:v>2</x:v>
      </x:c>
      <x:c r="M26" s="32" t="n">
        <x:v>5</x:v>
      </x:c>
      <x:c r="N26" s="32" t="n">
        <x:v>4</x:v>
      </x:c>
      <x:c r="O26" s="32" t="n">
        <x:v>5</x:v>
      </x:c>
      <x:c r="P26" s="32" t="n">
        <x:f>ROUND(100*(0.25*I26+0.20*J26+0.20*K26+0.10*(6-L26)+0.10*M26+0.05*N26+0.10*O26)/5,0)</x:f>
        <x:v>97</x:v>
      </x:c>
      <x:c r="Q26" s="32" t="str">
        <x:f>IF(P26&gt;=80,"P0",IF(P26&gt;=70,"P1",IF(P26&gt;=60,"P2","P3")))</x:f>
        <x:v>P0</x:v>
      </x:c>
      <x:c r="R26" s="28" t="str">
        <x:v>很可能是5m BTC最强的风险调整后 benchmark 之一。</x:v>
      </x:c>
      <x:c r="S26" s="28" t="str">
        <x:v>容易通过特征泄漏/窗口选择过拟合；分布外外推差。</x:v>
      </x:c>
      <x:c r="T26" s="28" t="str">
        <x:v>XGBoost: A Scalable Tree Boosting System</x:v>
      </x:c>
      <x:c r="U26" s="28" t="str">
        <x:v>2016</x:v>
      </x:c>
      <x:c r="V26" s="28" t="str">
        <x:v>https://doi.org/10.1145/2939672.2939785</x:v>
      </x:c>
      <x:c r="W26" s="28" t="str">
        <x:v>https://github.com/dmlc/xgboost</x:v>
      </x:c>
      <x:c r="X26" s="28" t="str">
        <x:v>必须严格 walk-forward。</x:v>
      </x:c>
    </x:row>
    <x:row r="27">
      <x:c r="A27" s="28" t="str">
        <x:v>M24</x:v>
      </x:c>
      <x:c r="B27" s="28" t="str">
        <x:v>经典机器学习</x:v>
      </x:c>
      <x:c r="C27" s="28" t="str">
        <x:v>概率</x:v>
      </x:c>
      <x:c r="D27" s="28" t="str">
        <x:v>Gaussian Process / Sparse GP</x:v>
      </x:c>
      <x:c r="E27" s="28" t="str">
        <x:v>条件候选</x:v>
      </x:c>
      <x:c r="F27" s="28" t="str">
        <x:v>probabilistic return</x:v>
      </x:c>
      <x:c r="G27" s="28" t="str">
        <x:v>非参数贝叶斯预测均值与不确定度。</x:v>
      </x:c>
      <x:c r="H27" s="28" t="str">
        <x:v>low-dimensional latent features</x:v>
      </x:c>
      <x:c r="I27" s="32" t="n">
        <x:v>3</x:v>
      </x:c>
      <x:c r="J27" s="32" t="n">
        <x:v>3</x:v>
      </x:c>
      <x:c r="K27" s="32" t="n">
        <x:v>4</x:v>
      </x:c>
      <x:c r="L27" s="32" t="n">
        <x:v>4</x:v>
      </x:c>
      <x:c r="M27" s="32" t="n">
        <x:v>2</x:v>
      </x:c>
      <x:c r="N27" s="32" t="n">
        <x:v>4</x:v>
      </x:c>
      <x:c r="O27" s="32" t="n">
        <x:v>3</x:v>
      </x:c>
      <x:c r="P27" s="32" t="n">
        <x:f>ROUND(100*(0.25*I27+0.20*J27+0.20*K27+0.10*(6-L27)+0.10*M27+0.05*N27+0.10*O27)/5,0)</x:f>
        <x:v>61</x:v>
      </x:c>
      <x:c r="Q27" s="32" t="str">
        <x:f>IF(P27&gt;=80,"P0",IF(P27&gt;=70,"P1",IF(P27&gt;=60,"P2","P3")))</x:f>
        <x:v>P2</x:v>
      </x:c>
      <x:c r="R27" s="28" t="str">
        <x:v>在低维状态空间里做 uncertainty layer。</x:v>
      </x:c>
      <x:c r="S27" s="28" t="str">
        <x:v>大样本扩展差；kernel 设计敏感。</x:v>
      </x:c>
      <x:c r="T27" s="28" t="str">
        <x:v>Gaussian Processes for Machine Learning</x:v>
      </x:c>
      <x:c r="U27" s="28" t="str">
        <x:v>2006</x:v>
      </x:c>
      <x:c r="V27" s="28" t="str"/>
      <x:c r="W27" s="28" t="str"/>
      <x:c r="X27" s="28" t="str">
        <x:v>更适合压缩后的 latent state。</x:v>
      </x:c>
    </x:row>
    <x:row r="28">
      <x:c r="A28" s="28" t="str">
        <x:v>M25</x:v>
      </x:c>
      <x:c r="B28" s="28" t="str">
        <x:v>经典机器学习</x:v>
      </x:c>
      <x:c r="C28" s="28" t="str">
        <x:v>集成</x:v>
      </x:c>
      <x:c r="D28" s="28" t="str">
        <x:v>Stacking / Dynamic Ensemble / Mixture-of-Experts gating</x:v>
      </x:c>
      <x:c r="E28" s="28" t="str">
        <x:v>必跑核心</x:v>
      </x:c>
      <x:c r="F28" s="28" t="str">
        <x:v>combined distribution</x:v>
      </x:c>
      <x:c r="G28" s="28" t="str">
        <x:v>把线性、树、深度、微观结构模型按 regime/置信度动态组合。</x:v>
      </x:c>
      <x:c r="H28" s="28" t="str">
        <x:v>all model outputs + regime state</x:v>
      </x:c>
      <x:c r="I28" s="32" t="n">
        <x:v>5</x:v>
      </x:c>
      <x:c r="J28" s="32" t="n">
        <x:v>5</x:v>
      </x:c>
      <x:c r="K28" s="32" t="n">
        <x:v>5</x:v>
      </x:c>
      <x:c r="L28" s="32" t="n">
        <x:v>3</x:v>
      </x:c>
      <x:c r="M28" s="32" t="n">
        <x:v>4</x:v>
      </x:c>
      <x:c r="N28" s="32" t="n">
        <x:v>4</x:v>
      </x:c>
      <x:c r="O28" s="32" t="n">
        <x:v>5</x:v>
      </x:c>
      <x:c r="P28" s="32" t="n">
        <x:f>ROUND(100*(0.25*I28+0.20*J28+0.20*K28+0.10*(6-L28)+0.10*M28+0.05*N28+0.10*O28)/5,0)</x:f>
        <x:v>93</x:v>
      </x:c>
      <x:c r="Q28" s="32" t="str">
        <x:f>IF(P28&gt;=80,"P0",IF(P28&gt;=70,"P1",IF(P28&gt;=60,"P2","P3")))</x:f>
        <x:v>P0</x:v>
      </x:c>
      <x:c r="R28" s="28" t="str">
        <x:v>最终 production 层；避免单模型押注。</x:v>
      </x:c>
      <x:c r="S28" s="28" t="str">
        <x:v>stacking 泄漏风险高；meta model 很容易过拟合。</x:v>
      </x:c>
      <x:c r="T28" s="28" t="str">
        <x:v>—</x:v>
      </x:c>
      <x:c r="U28" s="28" t="str">
        <x:v>—</x:v>
      </x:c>
      <x:c r="V28" s="28" t="str"/>
      <x:c r="W28" s="28" t="str"/>
      <x:c r="X28" s="28" t="str">
        <x:v>关键是 OOF / walk-forward meta-features。</x:v>
      </x:c>
    </x:row>
    <x:row r="29">
      <x:c r="A29" s="28" t="str">
        <x:v>M26</x:v>
      </x:c>
      <x:c r="B29" s="28" t="str">
        <x:v>深度学习</x:v>
      </x:c>
      <x:c r="C29" s="28" t="str">
        <x:v>RNN</x:v>
      </x:c>
      <x:c r="D29" s="28" t="str">
        <x:v>LSTM / GRU</x:v>
      </x:c>
      <x:c r="E29" s="28" t="str">
        <x:v>必跑深度基线</x:v>
      </x:c>
      <x:c r="F29" s="28" t="str">
        <x:v>return / direction / sequence</x:v>
      </x:c>
      <x:c r="G29" s="28" t="str">
        <x:v>用门控循环网络建模短中期时序依赖。</x:v>
      </x:c>
      <x:c r="H29" s="28" t="str">
        <x:v>5m/1m sequence + exogenous</x:v>
      </x:c>
      <x:c r="I29" s="32" t="n">
        <x:v>4</x:v>
      </x:c>
      <x:c r="J29" s="32" t="n">
        <x:v>3</x:v>
      </x:c>
      <x:c r="K29" s="32" t="n">
        <x:v>4</x:v>
      </x:c>
      <x:c r="L29" s="32" t="n">
        <x:v>2</x:v>
      </x:c>
      <x:c r="M29" s="32" t="n">
        <x:v>4</x:v>
      </x:c>
      <x:c r="N29" s="32" t="n">
        <x:v>3</x:v>
      </x:c>
      <x:c r="O29" s="32" t="n">
        <x:v>3</x:v>
      </x:c>
      <x:c r="P29" s="32" t="n">
        <x:f>ROUND(100*(0.25*I29+0.20*J29+0.20*K29+0.10*(6-L29)+0.10*M29+0.05*N29+0.10*O29)/5,0)</x:f>
        <x:v>73</x:v>
      </x:c>
      <x:c r="Q29" s="32" t="str">
        <x:f>IF(P29&gt;=80,"P0",IF(P29&gt;=70,"P1",IF(P29&gt;=60,"P2","P3")))</x:f>
        <x:v>P1</x:v>
      </x:c>
      <x:c r="R29" s="28" t="str">
        <x:v>作为传统深度序列 baseline。</x:v>
      </x:c>
      <x:c r="S29" s="28" t="str">
        <x:v>长依赖、训练速度和 regime shift 通常不如新架构。</x:v>
      </x:c>
      <x:c r="T29" s="28" t="str">
        <x:v>Long Short-Term Memory</x:v>
      </x:c>
      <x:c r="U29" s="28" t="str">
        <x:v>1997</x:v>
      </x:c>
      <x:c r="V29" s="28" t="str">
        <x:v>https://doi.org/10.1162/neco.1997.9.8.1735</x:v>
      </x:c>
      <x:c r="W29" s="28" t="str"/>
      <x:c r="X29" s="28" t="str">
        <x:v>不能因为经典就跳过，但通常不是最终赢家。</x:v>
      </x:c>
    </x:row>
    <x:row r="30">
      <x:c r="A30" s="28" t="str">
        <x:v>M27</x:v>
      </x:c>
      <x:c r="B30" s="28" t="str">
        <x:v>深度学习</x:v>
      </x:c>
      <x:c r="C30" s="28" t="str">
        <x:v>卷积</x:v>
      </x:c>
      <x:c r="D30" s="28" t="str">
        <x:v>TCN / Dilated Causal CNN</x:v>
      </x:c>
      <x:c r="E30" s="28" t="str">
        <x:v>核心候选</x:v>
      </x:c>
      <x:c r="F30" s="28" t="str">
        <x:v>return / direction</x:v>
      </x:c>
      <x:c r="G30" s="28" t="str">
        <x:v>用因果扩张卷积并行捕捉多尺度局部依赖。</x:v>
      </x:c>
      <x:c r="H30" s="28" t="str">
        <x:v>multi-channel sequences</x:v>
      </x:c>
      <x:c r="I30" s="32" t="n">
        <x:v>5</x:v>
      </x:c>
      <x:c r="J30" s="32" t="n">
        <x:v>4</x:v>
      </x:c>
      <x:c r="K30" s="32" t="n">
        <x:v>5</x:v>
      </x:c>
      <x:c r="L30" s="32" t="n">
        <x:v>2</x:v>
      </x:c>
      <x:c r="M30" s="32" t="n">
        <x:v>5</x:v>
      </x:c>
      <x:c r="N30" s="32" t="n">
        <x:v>3</x:v>
      </x:c>
      <x:c r="O30" s="32" t="n">
        <x:v>5</x:v>
      </x:c>
      <x:c r="P30" s="32" t="n">
        <x:f>ROUND(100*(0.25*I30+0.20*J30+0.20*K30+0.10*(6-L30)+0.10*M30+0.05*N30+0.10*O30)/5,0)</x:f>
        <x:v>92</x:v>
      </x:c>
      <x:c r="Q30" s="32" t="str">
        <x:f>IF(P30&gt;=80,"P0",IF(P30&gt;=70,"P1",IF(P30&gt;=60,"P2","P3")))</x:f>
        <x:v>P0</x:v>
      </x:c>
      <x:c r="R30" s="28" t="str">
        <x:v>极适合低延迟短周期；可处理多尺度 lag。</x:v>
      </x:c>
      <x:c r="S30" s="28" t="str">
        <x:v>对跨变量动态关系需额外设计。</x:v>
      </x:c>
      <x:c r="T30" s="28" t="str">
        <x:v>An Empirical Evaluation of Generic Convolutional and Recurrent Networks</x:v>
      </x:c>
      <x:c r="U30" s="28" t="str">
        <x:v>2018</x:v>
      </x:c>
      <x:c r="V30" s="28" t="str">
        <x:v>https://arxiv.org/abs/1803.01271</x:v>
      </x:c>
      <x:c r="W30" s="28" t="str"/>
      <x:c r="X30" s="28" t="str">
        <x:v>在5m任务上我会优先于普通 LSTM。</x:v>
      </x:c>
    </x:row>
    <x:row r="31">
      <x:c r="A31" s="28" t="str">
        <x:v>M28</x:v>
      </x:c>
      <x:c r="B31" s="28" t="str">
        <x:v>深度学习</x:v>
      </x:c>
      <x:c r="C31" s="28" t="str">
        <x:v>概率RNN</x:v>
      </x:c>
      <x:c r="D31" s="28" t="str">
        <x:v>DeepAR</x:v>
      </x:c>
      <x:c r="E31" s="28" t="str">
        <x:v>条件候选</x:v>
      </x:c>
      <x:c r="F31" s="28" t="str">
        <x:v>probabilistic forecast</x:v>
      </x:c>
      <x:c r="G31" s="28" t="str">
        <x:v>自回归 RNN 直接输出条件概率分布。</x:v>
      </x:c>
      <x:c r="H31" s="28" t="str">
        <x:v>many related time series</x:v>
      </x:c>
      <x:c r="I31" s="32" t="n">
        <x:v>3</x:v>
      </x:c>
      <x:c r="J31" s="32" t="n">
        <x:v>3</x:v>
      </x:c>
      <x:c r="K31" s="32" t="n">
        <x:v>4</x:v>
      </x:c>
      <x:c r="L31" s="32" t="n">
        <x:v>3</x:v>
      </x:c>
      <x:c r="M31" s="32" t="n">
        <x:v>3</x:v>
      </x:c>
      <x:c r="N31" s="32" t="n">
        <x:v>3</x:v>
      </x:c>
      <x:c r="O31" s="32" t="n">
        <x:v>3</x:v>
      </x:c>
      <x:c r="P31" s="32" t="n">
        <x:f>ROUND(100*(0.25*I31+0.20*J31+0.20*K31+0.10*(6-L31)+0.10*M31+0.05*N31+0.10*O31)/5,0)</x:f>
        <x:v>64</x:v>
      </x:c>
      <x:c r="Q31" s="32" t="str">
        <x:f>IF(P31&gt;=80,"P0",IF(P31&gt;=70,"P1",IF(P31&gt;=60,"P2","P3")))</x:f>
        <x:v>P2</x:v>
      </x:c>
      <x:c r="R31" s="28" t="str">
        <x:v>多资产/多交易所联合训练的概率基线。</x:v>
      </x:c>
      <x:c r="S31" s="28" t="str">
        <x:v>原生设计更偏大规模多序列而非超短期 alpha。</x:v>
      </x:c>
      <x:c r="T31" s="28" t="str">
        <x:v>DeepAR: Probabilistic Forecasting with Autoregressive Recurrent Networks</x:v>
      </x:c>
      <x:c r="U31" s="28" t="str">
        <x:v>2020</x:v>
      </x:c>
      <x:c r="V31" s="28" t="str">
        <x:v>https://doi.org/10.1016/j.ijforecast.2019.07.001</x:v>
      </x:c>
      <x:c r="W31" s="28" t="str"/>
      <x:c r="X31" s="28" t="str">
        <x:v>适合 distribution baseline。</x:v>
      </x:c>
    </x:row>
    <x:row r="32">
      <x:c r="A32" s="28" t="str">
        <x:v>M29</x:v>
      </x:c>
      <x:c r="B32" s="28" t="str">
        <x:v>深度学习</x:v>
      </x:c>
      <x:c r="C32" s="28" t="str">
        <x:v>状态空间</x:v>
      </x:c>
      <x:c r="D32" s="28" t="str">
        <x:v>Deep State Space Models</x:v>
      </x:c>
      <x:c r="E32" s="28" t="str">
        <x:v>条件候选</x:v>
      </x:c>
      <x:c r="F32" s="28" t="str">
        <x:v>probabilistic latent state</x:v>
      </x:c>
      <x:c r="G32" s="28" t="str">
        <x:v>把深度网络与线性 state-space 结合，兼顾结构与全局学习。</x:v>
      </x:c>
      <x:c r="H32" s="28" t="str">
        <x:v>panel time series</x:v>
      </x:c>
      <x:c r="I32" s="32" t="n">
        <x:v>3</x:v>
      </x:c>
      <x:c r="J32" s="32" t="n">
        <x:v>4</x:v>
      </x:c>
      <x:c r="K32" s="32" t="n">
        <x:v>4</x:v>
      </x:c>
      <x:c r="L32" s="32" t="n">
        <x:v>4</x:v>
      </x:c>
      <x:c r="M32" s="32" t="n">
        <x:v>3</x:v>
      </x:c>
      <x:c r="N32" s="32" t="n">
        <x:v>4</x:v>
      </x:c>
      <x:c r="O32" s="32" t="n">
        <x:v>4</x:v>
      </x:c>
      <x:c r="P32" s="32" t="n">
        <x:f>ROUND(100*(0.25*I32+0.20*J32+0.20*K32+0.10*(6-L32)+0.10*M32+0.05*N32+0.10*O32)/5,0)</x:f>
        <x:v>69</x:v>
      </x:c>
      <x:c r="Q32" s="32" t="str">
        <x:f>IF(P32&gt;=80,"P0",IF(P32&gt;=70,"P1",IF(P32&gt;=60,"P2","P3")))</x:f>
        <x:v>P2</x:v>
      </x:c>
      <x:c r="R32" s="28" t="str">
        <x:v>多市场 latent state / regime 表征。</x:v>
      </x:c>
      <x:c r="S32" s="28" t="str">
        <x:v>工程复杂；对单一 BTC 5m 不一定划算。</x:v>
      </x:c>
      <x:c r="T32" s="28" t="str">
        <x:v>Deep State Space Models for Time Series Forecasting</x:v>
      </x:c>
      <x:c r="U32" s="28" t="str">
        <x:v>2018</x:v>
      </x:c>
      <x:c r="V32" s="28" t="str">
        <x:v>https://proceedings.neurips.cc/paper_files/paper/2018/file/5cf68969fb67aa6082363a6d4e6468e2-Paper.pdf</x:v>
      </x:c>
      <x:c r="W32" s="28" t="str"/>
      <x:c r="X32" s="28" t="str">
        <x:v>被新模型遮蔽但思想很实用。</x:v>
      </x:c>
    </x:row>
    <x:row r="33">
      <x:c r="A33" s="28" t="str">
        <x:v>M30</x:v>
      </x:c>
      <x:c r="B33" s="28" t="str">
        <x:v>深度学习</x:v>
      </x:c>
      <x:c r="C33" s="28" t="str">
        <x:v>MLP</x:v>
      </x:c>
      <x:c r="D33" s="28" t="str">
        <x:v>N-BEATS</x:v>
      </x:c>
      <x:c r="E33" s="28" t="str">
        <x:v>核心候选</x:v>
      </x:c>
      <x:c r="F33" s="28" t="str">
        <x:v>point forecast / components</x:v>
      </x:c>
      <x:c r="G33" s="28" t="str">
        <x:v>用残差堆叠的全连接 block 学习 backcast/forecast basis。</x:v>
      </x:c>
      <x:c r="H33" s="28" t="str">
        <x:v>univariate/multivariate engineered sequence</x:v>
      </x:c>
      <x:c r="I33" s="32" t="n">
        <x:v>4</x:v>
      </x:c>
      <x:c r="J33" s="32" t="n">
        <x:v>4</x:v>
      </x:c>
      <x:c r="K33" s="32" t="n">
        <x:v>5</x:v>
      </x:c>
      <x:c r="L33" s="32" t="n">
        <x:v>2</x:v>
      </x:c>
      <x:c r="M33" s="32" t="n">
        <x:v>5</x:v>
      </x:c>
      <x:c r="N33" s="32" t="n">
        <x:v>3</x:v>
      </x:c>
      <x:c r="O33" s="32" t="n">
        <x:v>5</x:v>
      </x:c>
      <x:c r="P33" s="32" t="n">
        <x:f>ROUND(100*(0.25*I33+0.20*J33+0.20*K33+0.10*(6-L33)+0.10*M33+0.05*N33+0.10*O33)/5,0)</x:f>
        <x:v>87</x:v>
      </x:c>
      <x:c r="Q33" s="32" t="str">
        <x:f>IF(P33&gt;=80,"P0",IF(P33&gt;=70,"P1",IF(P33&gt;=60,"P2","P3")))</x:f>
        <x:v>P0</x:v>
      </x:c>
      <x:c r="R33" s="28" t="str">
        <x:v>作为 Transformer 之外的强非注意力基线。</x:v>
      </x:c>
      <x:c r="S33" s="28" t="str">
        <x:v>本身不显式利用 LOB 结构或大量 exogenous。</x:v>
      </x:c>
      <x:c r="T33" s="28" t="str">
        <x:v>N-BEATS</x:v>
      </x:c>
      <x:c r="U33" s="28" t="str">
        <x:v>2020</x:v>
      </x:c>
      <x:c r="V33" s="28" t="str">
        <x:v>https://arxiv.org/abs/1905.10437</x:v>
      </x:c>
      <x:c r="W33" s="28" t="str"/>
      <x:c r="X33" s="28" t="str">
        <x:v>简单强力，经常值得先于大 Transformer。</x:v>
      </x:c>
    </x:row>
    <x:row r="34">
      <x:c r="A34" s="28" t="str">
        <x:v>M31</x:v>
      </x:c>
      <x:c r="B34" s="28" t="str">
        <x:v>深度学习</x:v>
      </x:c>
      <x:c r="C34" s="28" t="str">
        <x:v>MLP多尺度</x:v>
      </x:c>
      <x:c r="D34" s="28" t="str">
        <x:v>N-HiTS</x:v>
      </x:c>
      <x:c r="E34" s="28" t="str">
        <x:v>核心候选</x:v>
      </x:c>
      <x:c r="F34" s="28" t="str">
        <x:v>multi-horizon return/vol</x:v>
      </x:c>
      <x:c r="G34" s="28" t="str">
        <x:v>层级插值 + 多采样率处理不同频率成分。</x:v>
      </x:c>
      <x:c r="H34" s="28" t="str">
        <x:v>multi-scale sequences</x:v>
      </x:c>
      <x:c r="I34" s="32" t="n">
        <x:v>5</x:v>
      </x:c>
      <x:c r="J34" s="32" t="n">
        <x:v>4</x:v>
      </x:c>
      <x:c r="K34" s="32" t="n">
        <x:v>5</x:v>
      </x:c>
      <x:c r="L34" s="32" t="n">
        <x:v>2</x:v>
      </x:c>
      <x:c r="M34" s="32" t="n">
        <x:v>5</x:v>
      </x:c>
      <x:c r="N34" s="32" t="n">
        <x:v>3</x:v>
      </x:c>
      <x:c r="O34" s="32" t="n">
        <x:v>5</x:v>
      </x:c>
      <x:c r="P34" s="32" t="n">
        <x:f>ROUND(100*(0.25*I34+0.20*J34+0.20*K34+0.10*(6-L34)+0.10*M34+0.05*N34+0.10*O34)/5,0)</x:f>
        <x:v>92</x:v>
      </x:c>
      <x:c r="Q34" s="32" t="str">
        <x:f>IF(P34&gt;=80,"P0",IF(P34&gt;=70,"P1",IF(P34&gt;=60,"P2","P3")))</x:f>
        <x:v>P0</x:v>
      </x:c>
      <x:c r="R34" s="28" t="str">
        <x:v>非常适合1m/5m/15m/1h多尺度预测；成本低。</x:v>
      </x:c>
      <x:c r="S34" s="28" t="str">
        <x:v>主要 benchmark 是较长预测；需重新验证金融高噪声场景。</x:v>
      </x:c>
      <x:c r="T34" s="28" t="str">
        <x:v>N-HiTS</x:v>
      </x:c>
      <x:c r="U34" s="28" t="str">
        <x:v>2023</x:v>
      </x:c>
      <x:c r="V34" s="28" t="str">
        <x:v>https://arxiv.org/abs/2201.12886</x:v>
      </x:c>
      <x:c r="W34" s="28" t="str"/>
      <x:c r="X34" s="28" t="str">
        <x:v>我认为是明显被低估的候选。</x:v>
      </x:c>
    </x:row>
    <x:row r="35">
      <x:c r="A35" s="28" t="str">
        <x:v>M32</x:v>
      </x:c>
      <x:c r="B35" s="28" t="str">
        <x:v>深度学习</x:v>
      </x:c>
      <x:c r="C35" s="28" t="str">
        <x:v>Transformer</x:v>
      </x:c>
      <x:c r="D35" s="28" t="str">
        <x:v>Temporal Fusion Transformer (TFT)</x:v>
      </x:c>
      <x:c r="E35" s="28" t="str">
        <x:v>核心候选</x:v>
      </x:c>
      <x:c r="F35" s="28" t="str">
        <x:v>multi-horizon quantiles</x:v>
      </x:c>
      <x:c r="G35" s="28" t="str">
        <x:v>变量选择网络、门控、局部RNN + attention，适合大量 exogenous 与多 horizon。</x:v>
      </x:c>
      <x:c r="H35" s="28" t="str">
        <x:v>price + derivatives + cross-venue + calendar/event covariates</x:v>
      </x:c>
      <x:c r="I35" s="32" t="n">
        <x:v>4</x:v>
      </x:c>
      <x:c r="J35" s="32" t="n">
        <x:v>4</x:v>
      </x:c>
      <x:c r="K35" s="32" t="n">
        <x:v>4</x:v>
      </x:c>
      <x:c r="L35" s="32" t="n">
        <x:v>4</x:v>
      </x:c>
      <x:c r="M35" s="32" t="n">
        <x:v>3</x:v>
      </x:c>
      <x:c r="N35" s="32" t="n">
        <x:v>5</x:v>
      </x:c>
      <x:c r="O35" s="32" t="n">
        <x:v>4</x:v>
      </x:c>
      <x:c r="P35" s="32" t="n">
        <x:f>ROUND(100*(0.25*I35+0.20*J35+0.20*K35+0.10*(6-L35)+0.10*M35+0.05*N35+0.10*O35)/5,0)</x:f>
        <x:v>75</x:v>
      </x:c>
      <x:c r="Q35" s="32" t="str">
        <x:f>IF(P35&gt;=80,"P0",IF(P35&gt;=70,"P1",IF(P35&gt;=60,"P2","P3")))</x:f>
        <x:v>P1</x:v>
      </x:c>
      <x:c r="R35" s="28" t="str">
        <x:v>如果变量很多且需要可解释 feature gating，TFT 很有价值。</x:v>
      </x:c>
      <x:c r="S35" s="28" t="str">
        <x:v>参数多、容易 regime-overfit；5m单步预测可能过重。</x:v>
      </x:c>
      <x:c r="T35" s="28" t="str">
        <x:v>Temporal Fusion Transformers</x:v>
      </x:c>
      <x:c r="U35" s="28" t="str">
        <x:v>2021</x:v>
      </x:c>
      <x:c r="V35" s="28" t="str">
        <x:v>https://arxiv.org/abs/1912.09363</x:v>
      </x:c>
      <x:c r="W35" s="28" t="str"/>
      <x:c r="X35" s="28" t="str">
        <x:v>适合多变量而非纯 OHLCV。</x:v>
      </x:c>
    </x:row>
    <x:row r="36">
      <x:c r="A36" s="28" t="str">
        <x:v>M33</x:v>
      </x:c>
      <x:c r="B36" s="28" t="str">
        <x:v>深度学习</x:v>
      </x:c>
      <x:c r="C36" s="28" t="str">
        <x:v>线性深度</x:v>
      </x:c>
      <x:c r="D36" s="28" t="str">
        <x:v>DLinear / NLinear</x:v>
      </x:c>
      <x:c r="E36" s="28" t="str">
        <x:v>必跑核心</x:v>
      </x:c>
      <x:c r="F36" s="28" t="str">
        <x:v>point forecast</x:v>
      </x:c>
      <x:c r="G36" s="28" t="str">
        <x:v>用分解后的简单线性层挑战复杂 Transformer，强调强基线。</x:v>
      </x:c>
      <x:c r="H36" s="28" t="str">
        <x:v>multivariate sequences</x:v>
      </x:c>
      <x:c r="I36" s="32" t="n">
        <x:v>5</x:v>
      </x:c>
      <x:c r="J36" s="32" t="n">
        <x:v>3</x:v>
      </x:c>
      <x:c r="K36" s="32" t="n">
        <x:v>5</x:v>
      </x:c>
      <x:c r="L36" s="32" t="n">
        <x:v>1</x:v>
      </x:c>
      <x:c r="M36" s="32" t="n">
        <x:v>5</x:v>
      </x:c>
      <x:c r="N36" s="32" t="n">
        <x:v>5</x:v>
      </x:c>
      <x:c r="O36" s="32" t="n">
        <x:v>5</x:v>
      </x:c>
      <x:c r="P36" s="32" t="n">
        <x:f>ROUND(100*(0.25*I36+0.20*J36+0.20*K36+0.10*(6-L36)+0.10*M36+0.05*N36+0.10*O36)/5,0)</x:f>
        <x:v>92</x:v>
      </x:c>
      <x:c r="Q36" s="32" t="str">
        <x:f>IF(P36&gt;=80,"P0",IF(P36&gt;=70,"P1",IF(P36&gt;=60,"P2","P3")))</x:f>
        <x:v>P0</x:v>
      </x:c>
      <x:c r="R36" s="28" t="str">
        <x:v>检验复杂模型是否只是利用 trend/normalization；超低延迟。</x:v>
      </x:c>
      <x:c r="S36" s="28" t="str">
        <x:v>对强非线性微观结构信号能力有限。</x:v>
      </x:c>
      <x:c r="T36" s="28" t="str">
        <x:v>Are Transformers Effective for Time Series Forecasting?</x:v>
      </x:c>
      <x:c r="U36" s="28" t="str">
        <x:v>2023</x:v>
      </x:c>
      <x:c r="V36" s="28" t="str">
        <x:v>https://ojs.aaai.org/index.php/AAAI/article/view/26317</x:v>
      </x:c>
      <x:c r="W36" s="28" t="str"/>
      <x:c r="X36" s="28" t="str">
        <x:v>不可跳过。</x:v>
      </x:c>
    </x:row>
    <x:row r="37">
      <x:c r="A37" s="28" t="str">
        <x:v>M34</x:v>
      </x:c>
      <x:c r="B37" s="28" t="str">
        <x:v>深度学习</x:v>
      </x:c>
      <x:c r="C37" s="28" t="str">
        <x:v>2D时序</x:v>
      </x:c>
      <x:c r="D37" s="28" t="str">
        <x:v>TimesNet</x:v>
      </x:c>
      <x:c r="E37" s="28" t="str">
        <x:v>条件候选</x:v>
      </x:c>
      <x:c r="F37" s="28" t="str">
        <x:v>multi-task forecast</x:v>
      </x:c>
      <x:c r="G37" s="28" t="str">
        <x:v>把1D时间变化变为多个周期下的2D变化，用卷积建模。</x:v>
      </x:c>
      <x:c r="H37" s="28" t="str">
        <x:v>multi-scale sequences</x:v>
      </x:c>
      <x:c r="I37" s="32" t="n">
        <x:v>4</x:v>
      </x:c>
      <x:c r="J37" s="32" t="n">
        <x:v>4</x:v>
      </x:c>
      <x:c r="K37" s="32" t="n">
        <x:v>4</x:v>
      </x:c>
      <x:c r="L37" s="32" t="n">
        <x:v>3</x:v>
      </x:c>
      <x:c r="M37" s="32" t="n">
        <x:v>4</x:v>
      </x:c>
      <x:c r="N37" s="32" t="n">
        <x:v>3</x:v>
      </x:c>
      <x:c r="O37" s="32" t="n">
        <x:v>3</x:v>
      </x:c>
      <x:c r="P37" s="32" t="n">
        <x:f>ROUND(100*(0.25*I37+0.20*J37+0.20*K37+0.10*(6-L37)+0.10*M37+0.05*N37+0.10*O37)/5,0)</x:f>
        <x:v>75</x:v>
      </x:c>
      <x:c r="Q37" s="32" t="str">
        <x:f>IF(P37&gt;=80,"P0",IF(P37&gt;=70,"P1",IF(P37&gt;=60,"P2","P3")))</x:f>
        <x:v>P1</x:v>
      </x:c>
      <x:c r="R37" s="28" t="str">
        <x:v>当存在日内周期、资金费率周期、周末结构时可测试。</x:v>
      </x:c>
      <x:c r="S37" s="28" t="str">
        <x:v>周期估计随 regime 变化；金融中稳定周期少。</x:v>
      </x:c>
      <x:c r="T37" s="28" t="str">
        <x:v>TimesNet</x:v>
      </x:c>
      <x:c r="U37" s="28" t="str">
        <x:v>2023</x:v>
      </x:c>
      <x:c r="V37" s="28" t="str">
        <x:v>https://openreview.net/forum?id=ju_Uqw384Oq</x:v>
      </x:c>
      <x:c r="W37" s="28" t="str"/>
      <x:c r="X37" s="28" t="str">
        <x:v>对波动/成交量可能比收益均值更好。</x:v>
      </x:c>
    </x:row>
    <x:row r="38">
      <x:c r="A38" s="28" t="str">
        <x:v>M35</x:v>
      </x:c>
      <x:c r="B38" s="28" t="str">
        <x:v>深度学习</x:v>
      </x:c>
      <x:c r="C38" s="28" t="str">
        <x:v>Patch Transformer</x:v>
      </x:c>
      <x:c r="D38" s="28" t="str">
        <x:v>PatchTST</x:v>
      </x:c>
      <x:c r="E38" s="28" t="str">
        <x:v>核心候选</x:v>
      </x:c>
      <x:c r="F38" s="28" t="str">
        <x:v>multi-horizon return/vol</x:v>
      </x:c>
      <x:c r="G38" s="28" t="str">
        <x:v>把连续子序列 patch 化并 channel-independent attention，拉长有效 lookback。</x:v>
      </x:c>
      <x:c r="H38" s="28" t="str">
        <x:v>multi-channel time series</x:v>
      </x:c>
      <x:c r="I38" s="32" t="n">
        <x:v>5</x:v>
      </x:c>
      <x:c r="J38" s="32" t="n">
        <x:v>4</x:v>
      </x:c>
      <x:c r="K38" s="32" t="n">
        <x:v>4</x:v>
      </x:c>
      <x:c r="L38" s="32" t="n">
        <x:v>3</x:v>
      </x:c>
      <x:c r="M38" s="32" t="n">
        <x:v>4</x:v>
      </x:c>
      <x:c r="N38" s="32" t="n">
        <x:v>3</x:v>
      </x:c>
      <x:c r="O38" s="32" t="n">
        <x:v>4</x:v>
      </x:c>
      <x:c r="P38" s="32" t="n">
        <x:f>ROUND(100*(0.25*I38+0.20*J38+0.20*K38+0.10*(6-L38)+0.10*M38+0.05*N38+0.10*O38)/5,0)</x:f>
        <x:v>82</x:v>
      </x:c>
      <x:c r="Q38" s="32" t="str">
        <x:f>IF(P38&gt;=80,"P0",IF(P38&gt;=70,"P1",IF(P38&gt;=60,"P2","P3")))</x:f>
        <x:v>P0</x:v>
      </x:c>
      <x:c r="R38" s="28" t="str">
        <x:v>多尺度价格/流量/衍生品序列，且可做 self-supervised pretrain。</x:v>
      </x:c>
      <x:c r="S38" s="28" t="str">
        <x:v>channel independence 可能错过关键跨变量互动。</x:v>
      </x:c>
      <x:c r="T38" s="28" t="str">
        <x:v>A Time Series is Worth 64 Words</x:v>
      </x:c>
      <x:c r="U38" s="28" t="str">
        <x:v>2023</x:v>
      </x:c>
      <x:c r="V38" s="28" t="str">
        <x:v>https://arxiv.org/abs/2211.14730</x:v>
      </x:c>
      <x:c r="W38" s="28" t="str">
        <x:v>https://github.com/yuqinie98/PatchTST</x:v>
      </x:c>
      <x:c r="X38" s="28" t="str">
        <x:v>值得作为现代 Transformer 主基线。</x:v>
      </x:c>
    </x:row>
    <x:row r="39">
      <x:c r="A39" s="28" t="str">
        <x:v>M36</x:v>
      </x:c>
      <x:c r="B39" s="28" t="str">
        <x:v>深度学习</x:v>
      </x:c>
      <x:c r="C39" s="28" t="str">
        <x:v>Variate Transformer</x:v>
      </x:c>
      <x:c r="D39" s="28" t="str">
        <x:v>iTransformer</x:v>
      </x:c>
      <x:c r="E39" s="28" t="str">
        <x:v>核心候选</x:v>
      </x:c>
      <x:c r="F39" s="28" t="str">
        <x:v>multivariate forecast</x:v>
      </x:c>
      <x:c r="G39" s="28" t="str">
        <x:v>把变量而非时间点作为 token，用 attention 学跨变量相关。</x:v>
      </x:c>
      <x:c r="H39" s="28" t="str">
        <x:v>many exogenous channels</x:v>
      </x:c>
      <x:c r="I39" s="32" t="n">
        <x:v>5</x:v>
      </x:c>
      <x:c r="J39" s="32" t="n">
        <x:v>5</x:v>
      </x:c>
      <x:c r="K39" s="32" t="n">
        <x:v>4</x:v>
      </x:c>
      <x:c r="L39" s="32" t="n">
        <x:v>3</x:v>
      </x:c>
      <x:c r="M39" s="32" t="n">
        <x:v>4</x:v>
      </x:c>
      <x:c r="N39" s="32" t="n">
        <x:v>3</x:v>
      </x:c>
      <x:c r="O39" s="32" t="n">
        <x:v>4</x:v>
      </x:c>
      <x:c r="P39" s="32" t="n">
        <x:f>ROUND(100*(0.25*I39+0.20*J39+0.20*K39+0.10*(6-L39)+0.10*M39+0.05*N39+0.10*O39)/5,0)</x:f>
        <x:v>86</x:v>
      </x:c>
      <x:c r="Q39" s="32" t="str">
        <x:f>IF(P39&gt;=80,"P0",IF(P39&gt;=70,"P1",IF(P39&gt;=60,"P2","P3")))</x:f>
        <x:v>P0</x:v>
      </x:c>
      <x:c r="R39" s="28" t="str">
        <x:v>BTC、ETH、spot/perp、OI、funding、basis、cross-venue 多变量联合建模。</x:v>
      </x:c>
      <x:c r="S39" s="28" t="str">
        <x:v>变量很多但相关结构漂移时可能学到伪相关。</x:v>
      </x:c>
      <x:c r="T39" s="28" t="str">
        <x:v>iTransformer</x:v>
      </x:c>
      <x:c r="U39" s="28" t="str">
        <x:v>2024</x:v>
      </x:c>
      <x:c r="V39" s="28" t="str">
        <x:v>https://arxiv.org/abs/2310.06625</x:v>
      </x:c>
      <x:c r="W39" s="28" t="str">
        <x:v>https://github.com/thuml/iTransformer</x:v>
      </x:c>
      <x:c r="X39" s="28" t="str">
        <x:v>对5m多变量场景非常匹配。</x:v>
      </x:c>
    </x:row>
    <x:row r="40">
      <x:c r="A40" s="28" t="str">
        <x:v>M37</x:v>
      </x:c>
      <x:c r="B40" s="28" t="str">
        <x:v>深度学习</x:v>
      </x:c>
      <x:c r="C40" s="28" t="str">
        <x:v>MLP多尺度</x:v>
      </x:c>
      <x:c r="D40" s="28" t="str">
        <x:v>TimeMixer</x:v>
      </x:c>
      <x:c r="E40" s="28" t="str">
        <x:v>核心候选</x:v>
      </x:c>
      <x:c r="F40" s="28" t="str">
        <x:v>multi-scale forecast</x:v>
      </x:c>
      <x:c r="G40" s="28" t="str">
        <x:v>把不同采样尺度分解并双向混合 trend/seasonal，再组合多预测器。</x:v>
      </x:c>
      <x:c r="H40" s="28" t="str">
        <x:v>1m/5m/15m/1h derived sequences</x:v>
      </x:c>
      <x:c r="I40" s="32" t="n">
        <x:v>5</x:v>
      </x:c>
      <x:c r="J40" s="32" t="n">
        <x:v>5</x:v>
      </x:c>
      <x:c r="K40" s="32" t="n">
        <x:v>4</x:v>
      </x:c>
      <x:c r="L40" s="32" t="n">
        <x:v>3</x:v>
      </x:c>
      <x:c r="M40" s="32" t="n">
        <x:v>5</x:v>
      </x:c>
      <x:c r="N40" s="32" t="n">
        <x:v>3</x:v>
      </x:c>
      <x:c r="O40" s="32" t="n">
        <x:v>5</x:v>
      </x:c>
      <x:c r="P40" s="32" t="n">
        <x:f>ROUND(100*(0.25*I40+0.20*J40+0.20*K40+0.10*(6-L40)+0.10*M40+0.05*N40+0.10*O40)/5,0)</x:f>
        <x:v>90</x:v>
      </x:c>
      <x:c r="Q40" s="32" t="str">
        <x:f>IF(P40&gt;=80,"P0",IF(P40&gt;=70,"P1",IF(P40&gt;=60,"P2","P3")))</x:f>
        <x:v>P0</x:v>
      </x:c>
      <x:c r="R40" s="28" t="str">
        <x:v>天然匹配 BTC 多尺度信号；比重型 Transformer 更轻。</x:v>
      </x:c>
      <x:c r="S40" s="28" t="str">
        <x:v>benchmark 并非金融；多尺度构造不当会泄漏。</x:v>
      </x:c>
      <x:c r="T40" s="28" t="str">
        <x:v>TimeMixer</x:v>
      </x:c>
      <x:c r="U40" s="28" t="str">
        <x:v>2024</x:v>
      </x:c>
      <x:c r="V40" s="28" t="str">
        <x:v>https://arxiv.org/abs/2405.14616</x:v>
      </x:c>
      <x:c r="W40" s="28" t="str"/>
      <x:c r="X40" s="28" t="str">
        <x:v>我认为是当前最值得实测的前沿架构之一。</x:v>
      </x:c>
    </x:row>
    <x:row r="41">
      <x:c r="A41" s="28" t="str">
        <x:v>M38</x:v>
      </x:c>
      <x:c r="B41" s="28" t="str">
        <x:v>深度学习</x:v>
      </x:c>
      <x:c r="C41" s="28" t="str">
        <x:v>Koopman</x:v>
      </x:c>
      <x:c r="D41" s="28" t="str">
        <x:v>Koopa</x:v>
      </x:c>
      <x:c r="E41" s="28" t="str">
        <x:v>核心候选</x:v>
      </x:c>
      <x:c r="F41" s="28" t="str">
        <x:v>nonstationary dynamics</x:v>
      </x:c>
      <x:c r="G41" s="28" t="str">
        <x:v>用 Fourier filter 分离时变/时不变成分，并用 Koopman operator 推进潜在动力学。</x:v>
      </x:c>
      <x:c r="H41" s="28" t="str">
        <x:v>normalized multivariate sequences</x:v>
      </x:c>
      <x:c r="I41" s="32" t="n">
        <x:v>5</x:v>
      </x:c>
      <x:c r="J41" s="32" t="n">
        <x:v>5</x:v>
      </x:c>
      <x:c r="K41" s="32" t="n">
        <x:v>4</x:v>
      </x:c>
      <x:c r="L41" s="32" t="n">
        <x:v>3</x:v>
      </x:c>
      <x:c r="M41" s="32" t="n">
        <x:v>4</x:v>
      </x:c>
      <x:c r="N41" s="32" t="n">
        <x:v>4</x:v>
      </x:c>
      <x:c r="O41" s="32" t="n">
        <x:v>5</x:v>
      </x:c>
      <x:c r="P41" s="32" t="n">
        <x:f>ROUND(100*(0.25*I41+0.20*J41+0.20*K41+0.10*(6-L41)+0.10*M41+0.05*N41+0.10*O41)/5,0)</x:f>
        <x:v>89</x:v>
      </x:c>
      <x:c r="Q41" s="32" t="str">
        <x:f>IF(P41&gt;=80,"P0",IF(P41&gt;=70,"P1",IF(P41&gt;=60,"P2","P3")))</x:f>
        <x:v>P0</x:v>
      </x:c>
      <x:c r="R41" s="28" t="str">
        <x:v>专门处理非平稳；适合 regime-rich 的 BTC。</x:v>
      </x:c>
      <x:c r="S41" s="28" t="str">
        <x:v>Koopman latent dynamics 仍可能在突变时失效。</x:v>
      </x:c>
      <x:c r="T41" s="28" t="str">
        <x:v>Koopa</x:v>
      </x:c>
      <x:c r="U41" s="28" t="str">
        <x:v>2024</x:v>
      </x:c>
      <x:c r="V41" s="28" t="str">
        <x:v>https://arxiv.org/abs/2305.18803</x:v>
      </x:c>
      <x:c r="W41" s="28" t="str"/>
      <x:c r="X41" s="28" t="str">
        <x:v>低估；尤其值得与 change-point 组合。</x:v>
      </x:c>
    </x:row>
    <x:row r="42">
      <x:c r="A42" s="28" t="str">
        <x:v>M39</x:v>
      </x:c>
      <x:c r="B42" s="28" t="str">
        <x:v>深度学习</x:v>
      </x:c>
      <x:c r="C42" s="28" t="str">
        <x:v>State Space</x:v>
      </x:c>
      <x:c r="D42" s="28" t="str">
        <x:v>S4 / S5</x:v>
      </x:c>
      <x:c r="E42" s="28" t="str">
        <x:v>前沿候选</x:v>
      </x:c>
      <x:c r="F42" s="28" t="str">
        <x:v>sequence forecast / representation</x:v>
      </x:c>
      <x:c r="G42" s="28" t="str">
        <x:v>结构化状态空间以近线性复杂度处理超长序列。</x:v>
      </x:c>
      <x:c r="H42" s="28" t="str">
        <x:v>long 1s/1m sequences</x:v>
      </x:c>
      <x:c r="I42" s="32" t="n">
        <x:v>4</x:v>
      </x:c>
      <x:c r="J42" s="32" t="n">
        <x:v>4</x:v>
      </x:c>
      <x:c r="K42" s="32" t="n">
        <x:v>4</x:v>
      </x:c>
      <x:c r="L42" s="32" t="n">
        <x:v>4</x:v>
      </x:c>
      <x:c r="M42" s="32" t="n">
        <x:v>5</x:v>
      </x:c>
      <x:c r="N42" s="32" t="n">
        <x:v>2</x:v>
      </x:c>
      <x:c r="O42" s="32" t="n">
        <x:v>4</x:v>
      </x:c>
      <x:c r="P42" s="32" t="n">
        <x:f>ROUND(100*(0.25*I42+0.20*J42+0.20*K42+0.10*(6-L42)+0.10*M42+0.05*N42+0.10*O42)/5,0)</x:f>
        <x:v>76</x:v>
      </x:c>
      <x:c r="Q42" s="32" t="str">
        <x:f>IF(P42&gt;=80,"P0",IF(P42&gt;=70,"P1",IF(P42&gt;=60,"P2","P3")))</x:f>
        <x:v>P1</x:v>
      </x:c>
      <x:c r="R42" s="28" t="str">
        <x:v>保留更长历史或更细粒度事件序列，替代 attention。</x:v>
      </x:c>
      <x:c r="S42" s="28" t="str">
        <x:v>对短序列优势不明显；金融任务需专门调优。</x:v>
      </x:c>
      <x:c r="T42" s="28" t="str">
        <x:v>Efficiently Modeling Long Sequences with Structured State Spaces</x:v>
      </x:c>
      <x:c r="U42" s="28" t="str">
        <x:v>2022</x:v>
      </x:c>
      <x:c r="V42" s="28" t="str">
        <x:v>https://arxiv.org/abs/2111.00396</x:v>
      </x:c>
      <x:c r="W42" s="28" t="str"/>
      <x:c r="X42" s="28" t="str">
        <x:v>若用秒级/事件级历史才更有意义。</x:v>
      </x:c>
    </x:row>
    <x:row r="43">
      <x:c r="A43" s="28" t="str">
        <x:v>M40</x:v>
      </x:c>
      <x:c r="B43" s="28" t="str">
        <x:v>深度学习</x:v>
      </x:c>
      <x:c r="C43" s="28" t="str">
        <x:v>Selective SSM</x:v>
      </x:c>
      <x:c r="D43" s="28" t="str">
        <x:v>Mamba / Mamba-style SSM</x:v>
      </x:c>
      <x:c r="E43" s="28" t="str">
        <x:v>前沿候选</x:v>
      </x:c>
      <x:c r="F43" s="28" t="str">
        <x:v>sequence forecast / representation</x:v>
      </x:c>
      <x:c r="G43" s="28" t="str">
        <x:v>输入依赖的选择性状态空间，在长序列下线性扩展并动态保留/遗忘信息。</x:v>
      </x:c>
      <x:c r="H43" s="28" t="str">
        <x:v>long event/second sequences</x:v>
      </x:c>
      <x:c r="I43" s="32" t="n">
        <x:v>4</x:v>
      </x:c>
      <x:c r="J43" s="32" t="n">
        <x:v>5</x:v>
      </x:c>
      <x:c r="K43" s="32" t="n">
        <x:v>3</x:v>
      </x:c>
      <x:c r="L43" s="32" t="n">
        <x:v>4</x:v>
      </x:c>
      <x:c r="M43" s="32" t="n">
        <x:v>5</x:v>
      </x:c>
      <x:c r="N43" s="32" t="n">
        <x:v>2</x:v>
      </x:c>
      <x:c r="O43" s="32" t="n">
        <x:v>4</x:v>
      </x:c>
      <x:c r="P43" s="32" t="n">
        <x:f>ROUND(100*(0.25*I43+0.20*J43+0.20*K43+0.10*(6-L43)+0.10*M43+0.05*N43+0.10*O43)/5,0)</x:f>
        <x:v>76</x:v>
      </x:c>
      <x:c r="Q43" s="32" t="str">
        <x:f>IF(P43&gt;=80,"P0",IF(P43&gt;=70,"P1",IF(P43&gt;=60,"P2","P3")))</x:f>
        <x:v>P1</x:v>
      </x:c>
      <x:c r="R43" s="28" t="str">
        <x:v>对 LOB/event stream 的长上下文值得试；也可做特征编码器。</x:v>
      </x:c>
      <x:c r="S43" s="28" t="str">
        <x:v>原始论文并非时间序列预测；金融收益需强实证。</x:v>
      </x:c>
      <x:c r="T43" s="28" t="str">
        <x:v>Mamba</x:v>
      </x:c>
      <x:c r="U43" s="28" t="str">
        <x:v>2023</x:v>
      </x:c>
      <x:c r="V43" s="28" t="str">
        <x:v>https://arxiv.org/abs/2312.00752</x:v>
      </x:c>
      <x:c r="W43" s="28" t="str"/>
      <x:c r="X43" s="28" t="str">
        <x:v>前沿但不能因“新”就高估。</x:v>
      </x:c>
    </x:row>
    <x:row r="44">
      <x:c r="A44" s="28" t="str">
        <x:v>M41</x:v>
      </x:c>
      <x:c r="B44" s="28" t="str">
        <x:v>深度学习</x:v>
      </x:c>
      <x:c r="C44" s="28" t="str">
        <x:v>生成式</x:v>
      </x:c>
      <x:c r="D44" s="28" t="str">
        <x:v>Diffusion Forecasting (TimeGrad / TimeDiff / TMDM)</x:v>
      </x:c>
      <x:c r="E44" s="28" t="str">
        <x:v>前沿候选</x:v>
      </x:c>
      <x:c r="F44" s="28" t="str">
        <x:v>full return path distribution</x:v>
      </x:c>
      <x:c r="G44" s="28" t="str">
        <x:v>通过条件扩散生成多条未来路径，建模厚尾、多峰与不确定性。</x:v>
      </x:c>
      <x:c r="H44" s="28" t="str">
        <x:v>multivariate sequences + exogenous</x:v>
      </x:c>
      <x:c r="I44" s="32" t="n">
        <x:v>4</x:v>
      </x:c>
      <x:c r="J44" s="32" t="n">
        <x:v>4</x:v>
      </x:c>
      <x:c r="K44" s="32" t="n">
        <x:v>3</x:v>
      </x:c>
      <x:c r="L44" s="32" t="n">
        <x:v>5</x:v>
      </x:c>
      <x:c r="M44" s="32" t="n">
        <x:v>2</x:v>
      </x:c>
      <x:c r="N44" s="32" t="n">
        <x:v>2</x:v>
      </x:c>
      <x:c r="O44" s="32" t="n">
        <x:v>4</x:v>
      </x:c>
      <x:c r="P44" s="32" t="n">
        <x:f>ROUND(100*(0.25*I44+0.20*J44+0.20*K44+0.10*(6-L44)+0.10*M44+0.05*N44+0.10*O44)/5,0)</x:f>
        <x:v>64</x:v>
      </x:c>
      <x:c r="Q44" s="32" t="str">
        <x:f>IF(P44&gt;=80,"P0",IF(P44&gt;=70,"P1",IF(P44&gt;=60,"P2","P3")))</x:f>
        <x:v>P2</x:v>
      </x:c>
      <x:c r="R44" s="28" t="str">
        <x:v>用于概率预测、scenario generation、尾部风险，而非低延迟单点 alpha。</x:v>
      </x:c>
      <x:c r="S44" s="28" t="str">
        <x:v>采样慢；预测分布好不代表交易 edge。</x:v>
      </x:c>
      <x:c r="T44" s="28" t="str">
        <x:v>Non-autoregressive Conditional Diffusion Models for Time Series Prediction</x:v>
      </x:c>
      <x:c r="U44" s="28" t="str">
        <x:v>2023</x:v>
      </x:c>
      <x:c r="V44" s="28" t="str">
        <x:v>https://proceedings.mlr.press/v202/shen23d.html</x:v>
      </x:c>
      <x:c r="W44" s="28" t="str"/>
      <x:c r="X44" s="28" t="str">
        <x:v>更适合风险层/模拟层。</x:v>
      </x:c>
    </x:row>
    <x:row r="45">
      <x:c r="A45" s="28" t="str">
        <x:v>M42</x:v>
      </x:c>
      <x:c r="B45" s="28" t="str">
        <x:v>深度学习</x:v>
      </x:c>
      <x:c r="C45" s="28" t="str">
        <x:v>自监督</x:v>
      </x:c>
      <x:c r="D45" s="28" t="str">
        <x:v>TS2Vec + linear/tree head</x:v>
      </x:c>
      <x:c r="E45" s="28" t="str">
        <x:v>核心候选</x:v>
      </x:c>
      <x:c r="F45" s="28" t="str">
        <x:v>representation -&gt; return/direction</x:v>
      </x:c>
      <x:c r="G45" s="28" t="str">
        <x:v>层级对比学习先学习通用时间表示，再用简单下游模型。</x:v>
      </x:c>
      <x:c r="H45" s="28" t="str">
        <x:v>large unlabeled 1m/5m panel</x:v>
      </x:c>
      <x:c r="I45" s="32" t="n">
        <x:v>4</x:v>
      </x:c>
      <x:c r="J45" s="32" t="n">
        <x:v>4</x:v>
      </x:c>
      <x:c r="K45" s="32" t="n">
        <x:v>4</x:v>
      </x:c>
      <x:c r="L45" s="32" t="n">
        <x:v>3</x:v>
      </x:c>
      <x:c r="M45" s="32" t="n">
        <x:v>4</x:v>
      </x:c>
      <x:c r="N45" s="32" t="n">
        <x:v>3</x:v>
      </x:c>
      <x:c r="O45" s="32" t="n">
        <x:v>5</x:v>
      </x:c>
      <x:c r="P45" s="32" t="n">
        <x:f>ROUND(100*(0.25*I45+0.20*J45+0.20*K45+0.10*(6-L45)+0.10*M45+0.05*N45+0.10*O45)/5,0)</x:f>
        <x:v>79</x:v>
      </x:c>
      <x:c r="Q45" s="32" t="str">
        <x:f>IF(P45&gt;=80,"P0",IF(P45&gt;=70,"P1",IF(P45&gt;=60,"P2","P3")))</x:f>
        <x:v>P1</x:v>
      </x:c>
      <x:c r="R45" s="28" t="str">
        <x:v>用海量无标签多币种/多交易所数据预训练，再在 BTC 上小样本适配。</x:v>
      </x:c>
      <x:c r="S45" s="28" t="str">
        <x:v>augmentation/representation 未必对交易目标对齐。</x:v>
      </x:c>
      <x:c r="T45" s="28" t="str">
        <x:v>TS2Vec</x:v>
      </x:c>
      <x:c r="U45" s="28" t="str">
        <x:v>2022</x:v>
      </x:c>
      <x:c r="V45" s="28" t="str">
        <x:v>https://arxiv.org/abs/2106.10466</x:v>
      </x:c>
      <x:c r="W45" s="28" t="str">
        <x:v>https://github.com/yuezhihan/ts2vec</x:v>
      </x:c>
      <x:c r="X45" s="28" t="str">
        <x:v>在 label 极噪声的金融里值得。</x:v>
      </x:c>
    </x:row>
    <x:row r="46">
      <x:c r="A46" s="28" t="str">
        <x:v>M43</x:v>
      </x:c>
      <x:c r="B46" s="28" t="str">
        <x:v>深度学习</x:v>
      </x:c>
      <x:c r="C46" s="28" t="str">
        <x:v>自监督分解</x:v>
      </x:c>
      <x:c r="D46" s="28" t="str">
        <x:v>CoST + simple head</x:v>
      </x:c>
      <x:c r="E46" s="28" t="str">
        <x:v>核心候选</x:v>
      </x:c>
      <x:c r="F46" s="28" t="str">
        <x:v>representation -&gt; forecast</x:v>
      </x:c>
      <x:c r="G46" s="28" t="str">
        <x:v>在时域/频域用对比学习解耦 trend 与 seasonal 表示。</x:v>
      </x:c>
      <x:c r="H46" s="28" t="str">
        <x:v>multi-scale unlabeled time series</x:v>
      </x:c>
      <x:c r="I46" s="32" t="n">
        <x:v>4</x:v>
      </x:c>
      <x:c r="J46" s="32" t="n">
        <x:v>4</x:v>
      </x:c>
      <x:c r="K46" s="32" t="n">
        <x:v>4</x:v>
      </x:c>
      <x:c r="L46" s="32" t="n">
        <x:v>3</x:v>
      </x:c>
      <x:c r="M46" s="32" t="n">
        <x:v>4</x:v>
      </x:c>
      <x:c r="N46" s="32" t="n">
        <x:v>4</x:v>
      </x:c>
      <x:c r="O46" s="32" t="n">
        <x:v>5</x:v>
      </x:c>
      <x:c r="P46" s="32" t="n">
        <x:f>ROUND(100*(0.25*I46+0.20*J46+0.20*K46+0.10*(6-L46)+0.10*M46+0.05*N46+0.10*O46)/5,0)</x:f>
        <x:v>80</x:v>
      </x:c>
      <x:c r="Q46" s="32" t="str">
        <x:f>IF(P46&gt;=80,"P0",IF(P46&gt;=70,"P1",IF(P46&gt;=60,"P2","P3")))</x:f>
        <x:v>P0</x:v>
      </x:c>
      <x:c r="R46" s="28" t="str">
        <x:v>先学结构，再用 ElasticNet/XGBoost/MLP 下游；对小样本更稳。</x:v>
      </x:c>
      <x:c r="S46" s="28" t="str">
        <x:v>seasonal/trend 假设对短期 return 未必最自然。</x:v>
      </x:c>
      <x:c r="T46" s="28" t="str">
        <x:v>CoST</x:v>
      </x:c>
      <x:c r="U46" s="28" t="str">
        <x:v>2022</x:v>
      </x:c>
      <x:c r="V46" s="28" t="str">
        <x:v>https://arxiv.org/abs/2202.01575</x:v>
      </x:c>
      <x:c r="W46" s="28" t="str">
        <x:v>https://github.com/salesforce/CoST</x:v>
      </x:c>
      <x:c r="X46" s="28" t="str">
        <x:v>被 end-to-end 模型遮蔽但很实用。</x:v>
      </x:c>
    </x:row>
    <x:row r="47">
      <x:c r="A47" s="28" t="str">
        <x:v>M44</x:v>
      </x:c>
      <x:c r="B47" s="28" t="str">
        <x:v>深度学习</x:v>
      </x:c>
      <x:c r="C47" s="28" t="str">
        <x:v>图网络</x:v>
      </x:c>
      <x:c r="D47" s="28" t="str">
        <x:v>Graph / FourierGNN / TimeFilter-style</x:v>
      </x:c>
      <x:c r="E47" s="28" t="str">
        <x:v>条件候选</x:v>
      </x:c>
      <x:c r="F47" s="28" t="str">
        <x:v>multivariate forecast</x:v>
      </x:c>
      <x:c r="G47" s="28" t="str">
        <x:v>把交易所、资产、衍生品、特征视为动态图，学习跨节点传播与相关结构。</x:v>
      </x:c>
      <x:c r="H47" s="28" t="str">
        <x:v>multi-venue, multi-asset, derivatives graph</x:v>
      </x:c>
      <x:c r="I47" s="32" t="n">
        <x:v>4</x:v>
      </x:c>
      <x:c r="J47" s="32" t="n">
        <x:v>5</x:v>
      </x:c>
      <x:c r="K47" s="32" t="n">
        <x:v>3</x:v>
      </x:c>
      <x:c r="L47" s="32" t="n">
        <x:v>4</x:v>
      </x:c>
      <x:c r="M47" s="32" t="n">
        <x:v>3</x:v>
      </x:c>
      <x:c r="N47" s="32" t="n">
        <x:v>2</x:v>
      </x:c>
      <x:c r="O47" s="32" t="n">
        <x:v>4</x:v>
      </x:c>
      <x:c r="P47" s="32" t="n">
        <x:f>ROUND(100*(0.25*I47+0.20*J47+0.20*K47+0.10*(6-L47)+0.10*M47+0.05*N47+0.10*O47)/5,0)</x:f>
        <x:v>72</x:v>
      </x:c>
      <x:c r="Q47" s="32" t="str">
        <x:f>IF(P47&gt;=80,"P0",IF(P47&gt;=70,"P1",IF(P47&gt;=60,"P2","P3")))</x:f>
        <x:v>P1</x:v>
      </x:c>
      <x:c r="R47" s="28" t="str">
        <x:v>当你有很多跨市场节点时，显式建模 lead-lag network。</x:v>
      </x:c>
      <x:c r="S47" s="28" t="str">
        <x:v>图结构漂移、复杂度高，容易引入伪关系。</x:v>
      </x:c>
      <x:c r="T47" s="28" t="str">
        <x:v>TimeFilter</x:v>
      </x:c>
      <x:c r="U47" s="28" t="str">
        <x:v>2025</x:v>
      </x:c>
      <x:c r="V47" s="28" t="str">
        <x:v>https://proceedings.mlr.press/v267/hu25ac.html</x:v>
      </x:c>
      <x:c r="W47" s="28" t="str"/>
      <x:c r="X47" s="28" t="str">
        <x:v>适合第二阶段而非第一版。</x:v>
      </x:c>
    </x:row>
    <x:row r="48">
      <x:c r="A48" s="28" t="str">
        <x:v>M45</x:v>
      </x:c>
      <x:c r="B48" s="28" t="str">
        <x:v>深度学习</x:v>
      </x:c>
      <x:c r="C48" s="28" t="str">
        <x:v>轻量前沿</x:v>
      </x:c>
      <x:c r="D48" s="28" t="str">
        <x:v>CMoS / lightweight chunk correlation</x:v>
      </x:c>
      <x:c r="E48" s="28" t="str">
        <x:v>前沿候选</x:v>
      </x:c>
      <x:c r="F48" s="28" t="str">
        <x:v>multivariate forecast</x:v>
      </x:c>
      <x:c r="G48" s="28" t="str">
        <x:v>用 chunk-wise 空间相关，以极少参数建模多变量结构。</x:v>
      </x:c>
      <x:c r="H48" s="28" t="str">
        <x:v>multivariate sequences</x:v>
      </x:c>
      <x:c r="I48" s="32" t="n">
        <x:v>4</x:v>
      </x:c>
      <x:c r="J48" s="32" t="n">
        <x:v>4</x:v>
      </x:c>
      <x:c r="K48" s="32" t="n">
        <x:v>4</x:v>
      </x:c>
      <x:c r="L48" s="32" t="n">
        <x:v>2</x:v>
      </x:c>
      <x:c r="M48" s="32" t="n">
        <x:v>5</x:v>
      </x:c>
      <x:c r="N48" s="32" t="n">
        <x:v>3</x:v>
      </x:c>
      <x:c r="O48" s="32" t="n">
        <x:v>5</x:v>
      </x:c>
      <x:c r="P48" s="32" t="n">
        <x:f>ROUND(100*(0.25*I48+0.20*J48+0.20*K48+0.10*(6-L48)+0.10*M48+0.05*N48+0.10*O48)/5,0)</x:f>
        <x:v>83</x:v>
      </x:c>
      <x:c r="Q48" s="32" t="str">
        <x:f>IF(P48&gt;=80,"P0",IF(P48&gt;=70,"P1",IF(P48&gt;=60,"P2","P3")))</x:f>
        <x:v>P0</x:v>
      </x:c>
      <x:c r="R48" s="28" t="str">
        <x:v>若追求低延迟、低参数、频繁重训，很有吸引力。</x:v>
      </x:c>
      <x:c r="S48" s="28" t="str">
        <x:v>尚缺金融微观结构大规模验证。</x:v>
      </x:c>
      <x:c r="T48" s="28" t="str">
        <x:v>CMoS</x:v>
      </x:c>
      <x:c r="U48" s="28" t="str">
        <x:v>2025</x:v>
      </x:c>
      <x:c r="V48" s="28" t="str">
        <x:v>https://proceedings.mlr.press/v267/si25a.html</x:v>
      </x:c>
      <x:c r="W48" s="28" t="str"/>
      <x:c r="X48" s="28" t="str">
        <x:v>2025 值得关注的低估方向。</x:v>
      </x:c>
    </x:row>
    <x:row r="49">
      <x:c r="A49" s="28" t="str">
        <x:v>M46</x:v>
      </x:c>
      <x:c r="B49" s="28" t="str">
        <x:v>深度学习</x:v>
      </x:c>
      <x:c r="C49" s="28" t="str">
        <x:v>高效多变量</x:v>
      </x:c>
      <x:c r="D49" s="28" t="str">
        <x:v>Temporal Query Network (TQNet)</x:v>
      </x:c>
      <x:c r="E49" s="28" t="str">
        <x:v>前沿候选</x:v>
      </x:c>
      <x:c r="F49" s="28" t="str">
        <x:v>multivariate forecast</x:v>
      </x:c>
      <x:c r="G49" s="28" t="str">
        <x:v>用高效 query 机制建跨变量相关，目标是在性能与计算之间平衡。</x:v>
      </x:c>
      <x:c r="H49" s="28" t="str">
        <x:v>many exogenous channels</x:v>
      </x:c>
      <x:c r="I49" s="32" t="n">
        <x:v>4</x:v>
      </x:c>
      <x:c r="J49" s="32" t="n">
        <x:v>4</x:v>
      </x:c>
      <x:c r="K49" s="32" t="n">
        <x:v>4</x:v>
      </x:c>
      <x:c r="L49" s="32" t="n">
        <x:v>3</x:v>
      </x:c>
      <x:c r="M49" s="32" t="n">
        <x:v>5</x:v>
      </x:c>
      <x:c r="N49" s="32" t="n">
        <x:v>3</x:v>
      </x:c>
      <x:c r="O49" s="32" t="n">
        <x:v>4</x:v>
      </x:c>
      <x:c r="P49" s="32" t="n">
        <x:f>ROUND(100*(0.25*I49+0.20*J49+0.20*K49+0.10*(6-L49)+0.10*M49+0.05*N49+0.10*O49)/5,0)</x:f>
        <x:v>79</x:v>
      </x:c>
      <x:c r="Q49" s="32" t="str">
        <x:f>IF(P49&gt;=80,"P0",IF(P49&gt;=70,"P1",IF(P49&gt;=60,"P2","P3")))</x:f>
        <x:v>P1</x:v>
      </x:c>
      <x:c r="R49" s="28" t="str">
        <x:v>高维衍生品/跨市场变量场景可作为 iTransformer 的轻量对手。</x:v>
      </x:c>
      <x:c r="S49" s="28" t="str">
        <x:v>尚无 BTC 5m 直接证据。</x:v>
      </x:c>
      <x:c r="T49" s="28" t="str">
        <x:v>Temporal Query Network</x:v>
      </x:c>
      <x:c r="U49" s="28" t="str">
        <x:v>2025</x:v>
      </x:c>
      <x:c r="V49" s="28" t="str">
        <x:v>https://proceedings.mlr.press/v267/lin25e.html</x:v>
      </x:c>
      <x:c r="W49" s="28" t="str"/>
      <x:c r="X49" s="28" t="str">
        <x:v>前沿验证候选。</x:v>
      </x:c>
    </x:row>
    <x:row r="50">
      <x:c r="A50" s="28" t="str">
        <x:v>M47</x:v>
      </x:c>
      <x:c r="B50" s="28" t="str">
        <x:v>时间序列基础模型</x:v>
      </x:c>
      <x:c r="C50" s="28" t="str">
        <x:v>通用TSFM</x:v>
      </x:c>
      <x:c r="D50" s="28" t="str">
        <x:v>Chronos</x:v>
      </x:c>
      <x:c r="E50" s="28" t="str">
        <x:v>前沿基线</x:v>
      </x:c>
      <x:c r="F50" s="28" t="str">
        <x:v>probabilistic forecast</x:v>
      </x:c>
      <x:c r="G50" s="28" t="str">
        <x:v>把缩放后的连续值量化成 token，用语言模型式交叉熵学习并采样未来。</x:v>
      </x:c>
      <x:c r="H50" s="28" t="str">
        <x:v>univariate/multi-series context</x:v>
      </x:c>
      <x:c r="I50" s="32" t="n">
        <x:v>3</x:v>
      </x:c>
      <x:c r="J50" s="32" t="n">
        <x:v>3</x:v>
      </x:c>
      <x:c r="K50" s="32" t="n">
        <x:v>4</x:v>
      </x:c>
      <x:c r="L50" s="32" t="n">
        <x:v>4</x:v>
      </x:c>
      <x:c r="M50" s="32" t="n">
        <x:v>2</x:v>
      </x:c>
      <x:c r="N50" s="32" t="n">
        <x:v>2</x:v>
      </x:c>
      <x:c r="O50" s="32" t="n">
        <x:v>3</x:v>
      </x:c>
      <x:c r="P50" s="32" t="n">
        <x:f>ROUND(100*(0.25*I50+0.20*J50+0.20*K50+0.10*(6-L50)+0.10*M50+0.05*N50+0.10*O50)/5,0)</x:f>
        <x:v>59</x:v>
      </x:c>
      <x:c r="Q50" s="32" t="str">
        <x:f>IF(P50&gt;=80,"P0",IF(P50&gt;=70,"P1",IF(P50&gt;=60,"P2","P3")))</x:f>
        <x:v>P3</x:v>
      </x:c>
      <x:c r="R50" s="28" t="str">
        <x:v>作为 zero-shot / fine-tune benchmark，尤其是收益分布预测。</x:v>
      </x:c>
      <x:c r="S50" s="28" t="str">
        <x:v>通用预训练语料与金融 5m 分布差异大；zero-shot 可能弱。</x:v>
      </x:c>
      <x:c r="T50" s="28" t="str">
        <x:v>Chronos</x:v>
      </x:c>
      <x:c r="U50" s="28" t="str">
        <x:v>2024</x:v>
      </x:c>
      <x:c r="V50" s="28" t="str">
        <x:v>https://arxiv.org/abs/2403.07815</x:v>
      </x:c>
      <x:c r="W50" s="28" t="str"/>
      <x:c r="X50" s="28" t="str">
        <x:v>不应直接假设 foundation model &gt; specialized model。</x:v>
      </x:c>
    </x:row>
    <x:row r="51">
      <x:c r="A51" s="28" t="str">
        <x:v>M48</x:v>
      </x:c>
      <x:c r="B51" s="28" t="str">
        <x:v>时间序列基础模型</x:v>
      </x:c>
      <x:c r="C51" s="28" t="str">
        <x:v>通用TSFM</x:v>
      </x:c>
      <x:c r="D51" s="28" t="str">
        <x:v>TimesFM</x:v>
      </x:c>
      <x:c r="E51" s="28" t="str">
        <x:v>前沿基线</x:v>
      </x:c>
      <x:c r="F51" s="28" t="str">
        <x:v>point/quantile forecast</x:v>
      </x:c>
      <x:c r="G51" s="28" t="str">
        <x:v>patched decoder-only foundation model，在大规模时间序列语料预训练。</x:v>
      </x:c>
      <x:c r="H51" s="28" t="str">
        <x:v>univariate/multiseries</x:v>
      </x:c>
      <x:c r="I51" s="32" t="n">
        <x:v>3</x:v>
      </x:c>
      <x:c r="J51" s="32" t="n">
        <x:v>3</x:v>
      </x:c>
      <x:c r="K51" s="32" t="n">
        <x:v>4</x:v>
      </x:c>
      <x:c r="L51" s="32" t="n">
        <x:v>4</x:v>
      </x:c>
      <x:c r="M51" s="32" t="n">
        <x:v>3</x:v>
      </x:c>
      <x:c r="N51" s="32" t="n">
        <x:v>2</x:v>
      </x:c>
      <x:c r="O51" s="32" t="n">
        <x:v>3</x:v>
      </x:c>
      <x:c r="P51" s="32" t="n">
        <x:f>ROUND(100*(0.25*I51+0.20*J51+0.20*K51+0.10*(6-L51)+0.10*M51+0.05*N51+0.10*O51)/5,0)</x:f>
        <x:v>61</x:v>
      </x:c>
      <x:c r="Q51" s="32" t="str">
        <x:f>IF(P51&gt;=80,"P0",IF(P51&gt;=70,"P1",IF(P51&gt;=60,"P2","P3")))</x:f>
        <x:v>P2</x:v>
      </x:c>
      <x:c r="R51" s="28" t="str">
        <x:v>zero-shot sanity check；也可作为 latent forecast feature。</x:v>
      </x:c>
      <x:c r="S51" s="28" t="str">
        <x:v>金融 domain shift；5m alpha 对微观结构依赖更强。</x:v>
      </x:c>
      <x:c r="T51" s="28" t="str">
        <x:v>A decoder-only foundation model for time-series forecasting</x:v>
      </x:c>
      <x:c r="U51" s="28" t="str">
        <x:v>2024</x:v>
      </x:c>
      <x:c r="V51" s="28" t="str">
        <x:v>https://arxiv.org/abs/2310.10688</x:v>
      </x:c>
      <x:c r="W51" s="28" t="str"/>
      <x:c r="X51" s="28" t="str">
        <x:v>更像强通用先验，不是自动 alpha。</x:v>
      </x:c>
    </x:row>
    <x:row r="52">
      <x:c r="A52" s="28" t="str">
        <x:v>M49</x:v>
      </x:c>
      <x:c r="B52" s="28" t="str">
        <x:v>时间序列基础模型</x:v>
      </x:c>
      <x:c r="C52" s="28" t="str">
        <x:v>概率TSFM</x:v>
      </x:c>
      <x:c r="D52" s="28" t="str">
        <x:v>Lag-Llama</x:v>
      </x:c>
      <x:c r="E52" s="28" t="str">
        <x:v>前沿基线</x:v>
      </x:c>
      <x:c r="F52" s="28" t="str">
        <x:v>probabilistic forecast</x:v>
      </x:c>
      <x:c r="G52" s="28" t="str">
        <x:v>decoder-only Transformer，以 lag covariates 做通用概率预测。</x:v>
      </x:c>
      <x:c r="H52" s="28" t="str">
        <x:v>univariate series + lags</x:v>
      </x:c>
      <x:c r="I52" s="32" t="n">
        <x:v>3</x:v>
      </x:c>
      <x:c r="J52" s="32" t="n">
        <x:v>3</x:v>
      </x:c>
      <x:c r="K52" s="32" t="n">
        <x:v>4</x:v>
      </x:c>
      <x:c r="L52" s="32" t="n">
        <x:v>4</x:v>
      </x:c>
      <x:c r="M52" s="32" t="n">
        <x:v>2</x:v>
      </x:c>
      <x:c r="N52" s="32" t="n">
        <x:v>2</x:v>
      </x:c>
      <x:c r="O52" s="32" t="n">
        <x:v>3</x:v>
      </x:c>
      <x:c r="P52" s="32" t="n">
        <x:f>ROUND(100*(0.25*I52+0.20*J52+0.20*K52+0.10*(6-L52)+0.10*M52+0.05*N52+0.10*O52)/5,0)</x:f>
        <x:v>59</x:v>
      </x:c>
      <x:c r="Q52" s="32" t="str">
        <x:f>IF(P52&gt;=80,"P0",IF(P52&gt;=70,"P1",IF(P52&gt;=60,"P2","P3")))</x:f>
        <x:v>P3</x:v>
      </x:c>
      <x:c r="R52" s="28" t="str">
        <x:v>用于概率分布和跨币种 few-shot。</x:v>
      </x:c>
      <x:c r="S52" s="28" t="str">
        <x:v>对超短周期金融 domain shift 较大。</x:v>
      </x:c>
      <x:c r="T52" s="28" t="str">
        <x:v>Lag-Llama</x:v>
      </x:c>
      <x:c r="U52" s="28" t="str">
        <x:v>2024</x:v>
      </x:c>
      <x:c r="V52" s="28" t="str">
        <x:v>https://arxiv.org/abs/2310.08278</x:v>
      </x:c>
      <x:c r="W52" s="28" t="str"/>
      <x:c r="X52" s="28" t="str">
        <x:v>适合与传统 quantile baseline 比。</x:v>
      </x:c>
    </x:row>
    <x:row r="53">
      <x:c r="A53" s="28" t="str">
        <x:v>M50</x:v>
      </x:c>
      <x:c r="B53" s="28" t="str">
        <x:v>时间序列基础模型</x:v>
      </x:c>
      <x:c r="C53" s="28" t="str">
        <x:v>通用TSFM</x:v>
      </x:c>
      <x:c r="D53" s="28" t="str">
        <x:v>Moirai</x:v>
      </x:c>
      <x:c r="E53" s="28" t="str">
        <x:v>前沿候选</x:v>
      </x:c>
      <x:c r="F53" s="28" t="str">
        <x:v>universal forecast</x:v>
      </x:c>
      <x:c r="G53" s="28" t="str">
        <x:v>跨频率/多变量统一训练的通用 forecasting Transformer。</x:v>
      </x:c>
      <x:c r="H53" s="28" t="str">
        <x:v>mixed-frequency panel</x:v>
      </x:c>
      <x:c r="I53" s="32" t="n">
        <x:v>3</x:v>
      </x:c>
      <x:c r="J53" s="32" t="n">
        <x:v>4</x:v>
      </x:c>
      <x:c r="K53" s="32" t="n">
        <x:v>4</x:v>
      </x:c>
      <x:c r="L53" s="32" t="n">
        <x:v>5</x:v>
      </x:c>
      <x:c r="M53" s="32" t="n">
        <x:v>2</x:v>
      </x:c>
      <x:c r="N53" s="32" t="n">
        <x:v>2</x:v>
      </x:c>
      <x:c r="O53" s="32" t="n">
        <x:v>3</x:v>
      </x:c>
      <x:c r="P53" s="32" t="n">
        <x:f>ROUND(100*(0.25*I53+0.20*J53+0.20*K53+0.10*(6-L53)+0.10*M53+0.05*N53+0.10*O53)/5,0)</x:f>
        <x:v>61</x:v>
      </x:c>
      <x:c r="Q53" s="32" t="str">
        <x:f>IF(P53&gt;=80,"P0",IF(P53&gt;=70,"P1",IF(P53&gt;=60,"P2","P3")))</x:f>
        <x:v>P2</x:v>
      </x:c>
      <x:c r="R53" s="28" t="str">
        <x:v>研究跨币种/跨频率预训练再适配 BTC。</x:v>
      </x:c>
      <x:c r="S53" s="28" t="str">
        <x:v>模型重；production 5m alpha 未必经济。</x:v>
      </x:c>
      <x:c r="T53" s="28" t="str">
        <x:v>Unified Training of Universal Time Series Forecasting Transformers</x:v>
      </x:c>
      <x:c r="U53" s="28" t="str">
        <x:v>2024</x:v>
      </x:c>
      <x:c r="V53" s="28" t="str">
        <x:v>https://proceedings.mlr.press/v235/woo24a.html</x:v>
      </x:c>
      <x:c r="W53" s="28" t="str"/>
      <x:c r="X53" s="28" t="str">
        <x:v>适合作研究 benchmark。</x:v>
      </x:c>
    </x:row>
    <x:row r="54">
      <x:c r="A54" s="28" t="str">
        <x:v>M51</x:v>
      </x:c>
      <x:c r="B54" s="28" t="str">
        <x:v>时间序列基础模型</x:v>
      </x:c>
      <x:c r="C54" s="28" t="str">
        <x:v>通用表示</x:v>
      </x:c>
      <x:c r="D54" s="28" t="str">
        <x:v>MOMENT</x:v>
      </x:c>
      <x:c r="E54" s="28" t="str">
        <x:v>前沿候选</x:v>
      </x:c>
      <x:c r="F54" s="28" t="str">
        <x:v>forecast/representation</x:v>
      </x:c>
      <x:c r="G54" s="28" t="str">
        <x:v>开放时间序列基础模型家族，支持预测、分类、异常等。</x:v>
      </x:c>
      <x:c r="H54" s="28" t="str">
        <x:v>large multi-domain panel</x:v>
      </x:c>
      <x:c r="I54" s="32" t="n">
        <x:v>3</x:v>
      </x:c>
      <x:c r="J54" s="32" t="n">
        <x:v>3</x:v>
      </x:c>
      <x:c r="K54" s="32" t="n">
        <x:v>4</x:v>
      </x:c>
      <x:c r="L54" s="32" t="n">
        <x:v>4</x:v>
      </x:c>
      <x:c r="M54" s="32" t="n">
        <x:v>3</x:v>
      </x:c>
      <x:c r="N54" s="32" t="n">
        <x:v>2</x:v>
      </x:c>
      <x:c r="O54" s="32" t="n">
        <x:v>3</x:v>
      </x:c>
      <x:c r="P54" s="32" t="n">
        <x:f>ROUND(100*(0.25*I54+0.20*J54+0.20*K54+0.10*(6-L54)+0.10*M54+0.05*N54+0.10*O54)/5,0)</x:f>
        <x:v>61</x:v>
      </x:c>
      <x:c r="Q54" s="32" t="str">
        <x:f>IF(P54&gt;=80,"P0",IF(P54&gt;=70,"P1",IF(P54&gt;=60,"P2","P3")))</x:f>
        <x:v>P2</x:v>
      </x:c>
      <x:c r="R54" s="28" t="str">
        <x:v>可拿 embedding 给简单下游模型做迁移。</x:v>
      </x:c>
      <x:c r="S54" s="28" t="str">
        <x:v>预训练任务与交易目标不一致。</x:v>
      </x:c>
      <x:c r="T54" s="28" t="str">
        <x:v>MOMENT</x:v>
      </x:c>
      <x:c r="U54" s="28" t="str">
        <x:v>2024</x:v>
      </x:c>
      <x:c r="V54" s="28" t="str">
        <x:v>https://arxiv.org/abs/2402.03885</x:v>
      </x:c>
      <x:c r="W54" s="28" t="str"/>
      <x:c r="X54" s="28" t="str">
        <x:v>representation 用法可能优于直接 zero-shot forecast。</x:v>
      </x:c>
    </x:row>
    <x:row r="55">
      <x:c r="A55" s="28" t="str">
        <x:v>M52</x:v>
      </x:c>
      <x:c r="B55" s="28" t="str">
        <x:v>时间序列基础模型</x:v>
      </x:c>
      <x:c r="C55" s="28" t="str">
        <x:v>生成预训练</x:v>
      </x:c>
      <x:c r="D55" s="28" t="str">
        <x:v>Timer</x:v>
      </x:c>
      <x:c r="E55" s="28" t="str">
        <x:v>前沿候选</x:v>
      </x:c>
      <x:c r="F55" s="28" t="str">
        <x:v>forecast/impute/anomaly</x:v>
      </x:c>
      <x:c r="G55" s="28" t="str">
        <x:v>GPT-style next-token 预训练，把多种任务统一成生成式时间序列任务。</x:v>
      </x:c>
      <x:c r="H55" s="28" t="str">
        <x:v>large time-series corpus</x:v>
      </x:c>
      <x:c r="I55" s="32" t="n">
        <x:v>3</x:v>
      </x:c>
      <x:c r="J55" s="32" t="n">
        <x:v>4</x:v>
      </x:c>
      <x:c r="K55" s="32" t="n">
        <x:v>3</x:v>
      </x:c>
      <x:c r="L55" s="32" t="n">
        <x:v>5</x:v>
      </x:c>
      <x:c r="M55" s="32" t="n">
        <x:v>2</x:v>
      </x:c>
      <x:c r="N55" s="32" t="n">
        <x:v>2</x:v>
      </x:c>
      <x:c r="O55" s="32" t="n">
        <x:v>3</x:v>
      </x:c>
      <x:c r="P55" s="32" t="n">
        <x:f>ROUND(100*(0.25*I55+0.20*J55+0.20*K55+0.10*(6-L55)+0.10*M55+0.05*N55+0.10*O55)/5,0)</x:f>
        <x:v>57</x:v>
      </x:c>
      <x:c r="Q55" s="32" t="str">
        <x:f>IF(P55&gt;=80,"P0",IF(P55&gt;=70,"P1",IF(P55&gt;=60,"P2","P3")))</x:f>
        <x:v>P3</x:v>
      </x:c>
      <x:c r="R55" s="28" t="str">
        <x:v>多币种海量预训练 + BTC 微调。</x:v>
      </x:c>
      <x:c r="S55" s="28" t="str">
        <x:v>大模型成本与真实增益未必匹配。</x:v>
      </x:c>
      <x:c r="T55" s="28" t="str">
        <x:v>Timer</x:v>
      </x:c>
      <x:c r="U55" s="28" t="str">
        <x:v>2024</x:v>
      </x:c>
      <x:c r="V55" s="28" t="str">
        <x:v>https://arxiv.org/abs/2402.02368</x:v>
      </x:c>
      <x:c r="W55" s="28" t="str"/>
      <x:c r="X55" s="28" t="str">
        <x:v>研究价值高，production 需成本约束。</x:v>
      </x:c>
    </x:row>
    <x:row r="56">
      <x:c r="A56" s="28" t="str">
        <x:v>M53</x:v>
      </x:c>
      <x:c r="B56" s="28" t="str">
        <x:v>时间序列基础模型</x:v>
      </x:c>
      <x:c r="C56" s="28" t="str">
        <x:v>轻量TSFM</x:v>
      </x:c>
      <x:c r="D56" s="28" t="str">
        <x:v>Tiny Time Mixers (TTM)</x:v>
      </x:c>
      <x:c r="E56" s="28" t="str">
        <x:v>核心前沿</x:v>
      </x:c>
      <x:c r="F56" s="28" t="str">
        <x:v>multivariate forecast</x:v>
      </x:c>
      <x:c r="G56" s="28" t="str">
        <x:v>轻量 TSMixer 预训练，支持自适应 patch、多分辨率和外生变量微调。</x:v>
      </x:c>
      <x:c r="H56" s="28" t="str">
        <x:v>multivariate 1m/5m panel</x:v>
      </x:c>
      <x:c r="I56" s="32" t="n">
        <x:v>4</x:v>
      </x:c>
      <x:c r="J56" s="32" t="n">
        <x:v>4</x:v>
      </x:c>
      <x:c r="K56" s="32" t="n">
        <x:v>4</x:v>
      </x:c>
      <x:c r="L56" s="32" t="n">
        <x:v>2</x:v>
      </x:c>
      <x:c r="M56" s="32" t="n">
        <x:v>5</x:v>
      </x:c>
      <x:c r="N56" s="32" t="n">
        <x:v>3</x:v>
      </x:c>
      <x:c r="O56" s="32" t="n">
        <x:v>5</x:v>
      </x:c>
      <x:c r="P56" s="32" t="n">
        <x:f>ROUND(100*(0.25*I56+0.20*J56+0.20*K56+0.10*(6-L56)+0.10*M56+0.05*N56+0.10*O56)/5,0)</x:f>
        <x:v>83</x:v>
      </x:c>
      <x:c r="Q56" s="32" t="str">
        <x:f>IF(P56&gt;=80,"P0",IF(P56&gt;=70,"P1",IF(P56&gt;=60,"P2","P3")))</x:f>
        <x:v>P0</x:v>
      </x:c>
      <x:c r="R56" s="28" t="str">
        <x:v>比大型 TSFM 更适合高频反复重训；可 CPU/低成本推理。</x:v>
      </x:c>
      <x:c r="S56" s="28" t="str">
        <x:v>通用预训练仍需金融适配。</x:v>
      </x:c>
      <x:c r="T56" s="28" t="str">
        <x:v>Tiny Time Mixers</x:v>
      </x:c>
      <x:c r="U56" s="28" t="str">
        <x:v>2024</x:v>
      </x:c>
      <x:c r="V56" s="28" t="str">
        <x:v>https://arxiv.org/abs/2401.03955</x:v>
      </x:c>
      <x:c r="W56" s="28" t="str"/>
      <x:c r="X56" s="28" t="str">
        <x:v>我认为是 TSFM 里最值得实测的实用型候选之一。</x:v>
      </x:c>
    </x:row>
    <x:row r="57">
      <x:c r="A57" s="28" t="str">
        <x:v>M54</x:v>
      </x:c>
      <x:c r="B57" s="28" t="str">
        <x:v>时间序列基础模型</x:v>
      </x:c>
      <x:c r="C57" s="28" t="str">
        <x:v>MoE TSFM</x:v>
      </x:c>
      <x:c r="D57" s="28" t="str">
        <x:v>Time-MoE / Moirai-MoE</x:v>
      </x:c>
      <x:c r="E57" s="28" t="str">
        <x:v>前沿研究</x:v>
      </x:c>
      <x:c r="F57" s="28" t="str">
        <x:v>probabilistic/point forecast</x:v>
      </x:c>
      <x:c r="G57" s="28" t="str">
        <x:v>稀疏 Mixture-of-Experts 让不同 token/模式自动路由到不同专家。</x:v>
      </x:c>
      <x:c r="H57" s="28" t="str">
        <x:v>huge heterogeneous time-series corpora</x:v>
      </x:c>
      <x:c r="I57" s="32" t="n">
        <x:v>3</x:v>
      </x:c>
      <x:c r="J57" s="32" t="n">
        <x:v>4</x:v>
      </x:c>
      <x:c r="K57" s="32" t="n">
        <x:v>3</x:v>
      </x:c>
      <x:c r="L57" s="32" t="n">
        <x:v>5</x:v>
      </x:c>
      <x:c r="M57" s="32" t="n">
        <x:v>2</x:v>
      </x:c>
      <x:c r="N57" s="32" t="n">
        <x:v>1</x:v>
      </x:c>
      <x:c r="O57" s="32" t="n">
        <x:v>3</x:v>
      </x:c>
      <x:c r="P57" s="32" t="n">
        <x:f>ROUND(100*(0.25*I57+0.20*J57+0.20*K57+0.10*(6-L57)+0.10*M57+0.05*N57+0.10*O57)/5,0)</x:f>
        <x:v>56</x:v>
      </x:c>
      <x:c r="Q57" s="32" t="str">
        <x:f>IF(P57&gt;=80,"P0",IF(P57&gt;=70,"P1",IF(P57&gt;=60,"P2","P3")))</x:f>
        <x:v>P3</x:v>
      </x:c>
      <x:c r="R57" s="28" t="str">
        <x:v>研究自动 regime specialization；适合大规模多资产预训练。</x:v>
      </x:c>
      <x:c r="S57" s="28" t="str">
        <x:v>训练成本高，5m alpha 不一定需要十亿参数。</x:v>
      </x:c>
      <x:c r="T57" s="28" t="str">
        <x:v>Time-MoE</x:v>
      </x:c>
      <x:c r="U57" s="28" t="str">
        <x:v>2024</x:v>
      </x:c>
      <x:c r="V57" s="28" t="str">
        <x:v>https://arxiv.org/abs/2409.16040</x:v>
      </x:c>
      <x:c r="W57" s="28" t="str"/>
      <x:c r="X57" s="28" t="str">
        <x:v>更像未来方向而非第一阶段生产方案。</x:v>
      </x:c>
    </x:row>
    <x:row r="58">
      <x:c r="A58" s="28" t="str">
        <x:v>M55</x:v>
      </x:c>
      <x:c r="B58" s="28" t="str">
        <x:v>时间序列基础模型</x:v>
      </x:c>
      <x:c r="C58" s="28" t="str">
        <x:v>Flow TSFM</x:v>
      </x:c>
      <x:c r="D58" s="28" t="str">
        <x:v>Sundial</x:v>
      </x:c>
      <x:c r="E58" s="28" t="str">
        <x:v>前沿研究</x:v>
      </x:c>
      <x:c r="F58" s="28" t="str">
        <x:v>generative probabilistic forecast</x:v>
      </x:c>
      <x:c r="G58" s="28" t="str">
        <x:v>用 flow-matching 的 TimeFlow Loss 直接生成 next-patch 分布，避免离散 token。</x:v>
      </x:c>
      <x:c r="H58" s="28" t="str">
        <x:v>large heterogeneous time series</x:v>
      </x:c>
      <x:c r="I58" s="32" t="n">
        <x:v>3</x:v>
      </x:c>
      <x:c r="J58" s="32" t="n">
        <x:v>4</x:v>
      </x:c>
      <x:c r="K58" s="32" t="n">
        <x:v>3</x:v>
      </x:c>
      <x:c r="L58" s="32" t="n">
        <x:v>5</x:v>
      </x:c>
      <x:c r="M58" s="32" t="n">
        <x:v>2</x:v>
      </x:c>
      <x:c r="N58" s="32" t="n">
        <x:v>1</x:v>
      </x:c>
      <x:c r="O58" s="32" t="n">
        <x:v>3</x:v>
      </x:c>
      <x:c r="P58" s="32" t="n">
        <x:f>ROUND(100*(0.25*I58+0.20*J58+0.20*K58+0.10*(6-L58)+0.10*M58+0.05*N58+0.10*O58)/5,0)</x:f>
        <x:v>56</x:v>
      </x:c>
      <x:c r="Q58" s="32" t="str">
        <x:f>IF(P58&gt;=80,"P0",IF(P58&gt;=70,"P1",IF(P58&gt;=60,"P2","P3")))</x:f>
        <x:v>P3</x:v>
      </x:c>
      <x:c r="R58" s="28" t="str">
        <x:v>对厚尾/多峰 probabilistic forecast 很有研究价值。</x:v>
      </x:c>
      <x:c r="S58" s="28" t="str">
        <x:v>2025新方法；金融 5m 外推尚需验证。</x:v>
      </x:c>
      <x:c r="T58" s="28" t="str">
        <x:v>Sundial</x:v>
      </x:c>
      <x:c r="U58" s="28" t="str">
        <x:v>2025</x:v>
      </x:c>
      <x:c r="V58" s="28" t="str">
        <x:v>https://arxiv.org/abs/2502.00816</x:v>
      </x:c>
      <x:c r="W58" s="28" t="str"/>
      <x:c r="X58" s="28" t="str">
        <x:v>重点看概率校准，不只看 MSE。</x:v>
      </x:c>
    </x:row>
    <x:row r="59">
      <x:c r="A59" s="28" t="str">
        <x:v>M56</x:v>
      </x:c>
      <x:c r="B59" s="28" t="str">
        <x:v>时间序列基础模型</x:v>
      </x:c>
      <x:c r="C59" s="28" t="str">
        <x:v>金融TSFM</x:v>
      </x:c>
      <x:c r="D59" s="28" t="str">
        <x:v>FinCast</x:v>
      </x:c>
      <x:c r="E59" s="28" t="str">
        <x:v>前沿研究</x:v>
      </x:c>
      <x:c r="F59" s="28" t="str">
        <x:v>financial forecast</x:v>
      </x:c>
      <x:c r="G59" s="28" t="str">
        <x:v>针对金融时间序列做大规模预训练的专用基础模型。</x:v>
      </x:c>
      <x:c r="H59" s="28" t="str">
        <x:v>large financial panel</x:v>
      </x:c>
      <x:c r="I59" s="32" t="n">
        <x:v>4</x:v>
      </x:c>
      <x:c r="J59" s="32" t="n">
        <x:v>5</x:v>
      </x:c>
      <x:c r="K59" s="32" t="n">
        <x:v>3</x:v>
      </x:c>
      <x:c r="L59" s="32" t="n">
        <x:v>5</x:v>
      </x:c>
      <x:c r="M59" s="32" t="n">
        <x:v>2</x:v>
      </x:c>
      <x:c r="N59" s="32" t="n">
        <x:v>2</x:v>
      </x:c>
      <x:c r="O59" s="32" t="n">
        <x:v>4</x:v>
      </x:c>
      <x:c r="P59" s="32" t="n">
        <x:f>ROUND(100*(0.25*I59+0.20*J59+0.20*K59+0.10*(6-L59)+0.10*M59+0.05*N59+0.10*O59)/5,0)</x:f>
        <x:v>68</x:v>
      </x:c>
      <x:c r="Q59" s="32" t="str">
        <x:f>IF(P59&gt;=80,"P0",IF(P59&gt;=70,"P1",IF(P59&gt;=60,"P2","P3")))</x:f>
        <x:v>P2</x:v>
      </x:c>
      <x:c r="R59" s="28" t="str">
        <x:v>相比通用 TSFM，更值得测试金融 domain pretraining 的迁移增益。</x:v>
      </x:c>
      <x:c r="S59" s="28" t="str">
        <x:v>2025论文，需独立复现；不等于对 BTC 5m 有 edge。</x:v>
      </x:c>
      <x:c r="T59" s="28" t="str">
        <x:v>FinCast: A Foundation Model for Financial Time-Series Forecasting</x:v>
      </x:c>
      <x:c r="U59" s="28" t="str">
        <x:v>2025</x:v>
      </x:c>
      <x:c r="V59" s="28" t="str">
        <x:v>https://arxiv.org/abs/2508.19609</x:v>
      </x:c>
      <x:c r="W59" s="28" t="str"/>
      <x:c r="X59" s="28" t="str">
        <x:v>方向重要：domain-specific pretraining &gt; 通用 zero-shot。</x:v>
      </x:c>
    </x:row>
    <x:row r="60">
      <x:c r="A60" s="28" t="str">
        <x:v>M57</x:v>
      </x:c>
      <x:c r="B60" s="28" t="str">
        <x:v>市场微观结构深度学习</x:v>
      </x:c>
      <x:c r="C60" s="28" t="str">
        <x:v>LOB CNN-RNN</x:v>
      </x:c>
      <x:c r="D60" s="28" t="str">
        <x:v>DeepLOB</x:v>
      </x:c>
      <x:c r="E60" s="28" t="str">
        <x:v>必跑LOB基线</x:v>
      </x:c>
      <x:c r="F60" s="28" t="str">
        <x:v>mid-price move classification</x:v>
      </x:c>
      <x:c r="G60" s="28" t="str">
        <x:v>CNN 捕捉 LOB 空间结构，LSTM 捕捉时间依赖。</x:v>
      </x:c>
      <x:c r="H60" s="28" t="str">
        <x:v>10-level LOB snapshots</x:v>
      </x:c>
      <x:c r="I60" s="32" t="n">
        <x:v>5</x:v>
      </x:c>
      <x:c r="J60" s="32" t="n">
        <x:v>5</x:v>
      </x:c>
      <x:c r="K60" s="32" t="n">
        <x:v>4</x:v>
      </x:c>
      <x:c r="L60" s="32" t="n">
        <x:v>4</x:v>
      </x:c>
      <x:c r="M60" s="32" t="n">
        <x:v>3</x:v>
      </x:c>
      <x:c r="N60" s="32" t="n">
        <x:v>2</x:v>
      </x:c>
      <x:c r="O60" s="32" t="n">
        <x:v>4</x:v>
      </x:c>
      <x:c r="P60" s="32" t="n">
        <x:f>ROUND(100*(0.25*I60+0.20*J60+0.20*K60+0.10*(6-L60)+0.10*M60+0.05*N60+0.10*O60)/5,0)</x:f>
        <x:v>81</x:v>
      </x:c>
      <x:c r="Q60" s="32" t="str">
        <x:f>IF(P60&gt;=80,"P0",IF(P60&gt;=70,"P1",IF(P60&gt;=60,"P2","P3")))</x:f>
        <x:v>P0</x:v>
      </x:c>
      <x:c r="R60" s="28" t="str">
        <x:v>若有 L2 数据，作为所有 LOB 深度模型基线。</x:v>
      </x:c>
      <x:c r="S60" s="28" t="str">
        <x:v>分类准确率不代表可交易；标签和 horizon 极敏感。</x:v>
      </x:c>
      <x:c r="T60" s="28" t="str">
        <x:v>DeepLOB</x:v>
      </x:c>
      <x:c r="U60" s="28" t="str">
        <x:v>2018</x:v>
      </x:c>
      <x:c r="V60" s="28" t="str">
        <x:v>https://arxiv.org/abs/1808.03668</x:v>
      </x:c>
      <x:c r="W60" s="28" t="str"/>
      <x:c r="X60" s="28" t="str">
        <x:v>必须配合成本和交易完成概率评估。</x:v>
      </x:c>
    </x:row>
    <x:row r="61">
      <x:c r="A61" s="28" t="str">
        <x:v>M58</x:v>
      </x:c>
      <x:c r="B61" s="28" t="str">
        <x:v>市场微观结构深度学习</x:v>
      </x:c>
      <x:c r="C61" s="28" t="str">
        <x:v>Crypto LOB CNN</x:v>
      </x:c>
      <x:c r="D61" s="28" t="str">
        <x:v>Temporal CNN for Digital Asset LOB</x:v>
      </x:c>
      <x:c r="E61" s="28" t="str">
        <x:v>核心LOB候选</x:v>
      </x:c>
      <x:c r="F61" s="28" t="str">
        <x:v>short-horizon price move</x:v>
      </x:c>
      <x:c r="G61" s="28" t="str">
        <x:v>针对数字资产 LOB 的 temporal CNN，验证 crypto 微观结构可预测性。</x:v>
      </x:c>
      <x:c r="H61" s="28" t="str">
        <x:v>crypto LOB snapshots/events</x:v>
      </x:c>
      <x:c r="I61" s="32" t="n">
        <x:v>5</x:v>
      </x:c>
      <x:c r="J61" s="32" t="n">
        <x:v>5</x:v>
      </x:c>
      <x:c r="K61" s="32" t="n">
        <x:v>4</x:v>
      </x:c>
      <x:c r="L61" s="32" t="n">
        <x:v>3</x:v>
      </x:c>
      <x:c r="M61" s="32" t="n">
        <x:v>4</x:v>
      </x:c>
      <x:c r="N61" s="32" t="n">
        <x:v>2</x:v>
      </x:c>
      <x:c r="O61" s="32" t="n">
        <x:v>4</x:v>
      </x:c>
      <x:c r="P61" s="32" t="n">
        <x:f>ROUND(100*(0.25*I61+0.20*J61+0.20*K61+0.10*(6-L61)+0.10*M61+0.05*N61+0.10*O61)/5,0)</x:f>
        <x:v>85</x:v>
      </x:c>
      <x:c r="Q61" s="32" t="str">
        <x:f>IF(P61&gt;=80,"P0",IF(P61&gt;=70,"P1",IF(P61&gt;=60,"P2","P3")))</x:f>
        <x:v>P0</x:v>
      </x:c>
      <x:c r="R61" s="28" t="str">
        <x:v>为 BTC/ETH LOB 建模提供直接 crypto-specific 证据。</x:v>
      </x:c>
      <x:c r="S61" s="28" t="str">
        <x:v>论文 horizon 更短；不同交易所制度差异大。</x:v>
      </x:c>
      <x:c r="T61" s="28" t="str">
        <x:v>Deep Learning for Digital Asset Limit Order Books</x:v>
      </x:c>
      <x:c r="U61" s="28" t="str">
        <x:v>2020</x:v>
      </x:c>
      <x:c r="V61" s="28" t="str">
        <x:v>https://arxiv.org/abs/2010.01241</x:v>
      </x:c>
      <x:c r="W61" s="28" t="str">
        <x:v>https://github.com/Globe-Research/deep-orderbook</x:v>
      </x:c>
      <x:c r="X61" s="28" t="str">
        <x:v>需要重新定义到5m aggregated target。</x:v>
      </x:c>
    </x:row>
    <x:row r="62">
      <x:c r="A62" s="28" t="str">
        <x:v>M59</x:v>
      </x:c>
      <x:c r="B62" s="28" t="str">
        <x:v>市场微观结构深度学习</x:v>
      </x:c>
      <x:c r="C62" s="28" t="str">
        <x:v>LOB Transformer</x:v>
      </x:c>
      <x:c r="D62" s="28" t="str">
        <x:v>TLOB / dual-attention Transformer</x:v>
      </x:c>
      <x:c r="E62" s="28" t="str">
        <x:v>前沿LOB候选</x:v>
      </x:c>
      <x:c r="F62" s="28" t="str">
        <x:v>price trend classification</x:v>
      </x:c>
      <x:c r="G62" s="28" t="str">
        <x:v>在 LOB 序列上同时使用时间与特征/价格层级的注意力。</x:v>
      </x:c>
      <x:c r="H62" s="28" t="str">
        <x:v>10-level LOB sequences</x:v>
      </x:c>
      <x:c r="I62" s="32" t="n">
        <x:v>5</x:v>
      </x:c>
      <x:c r="J62" s="32" t="n">
        <x:v>5</x:v>
      </x:c>
      <x:c r="K62" s="32" t="n">
        <x:v>3</x:v>
      </x:c>
      <x:c r="L62" s="32" t="n">
        <x:v>4</x:v>
      </x:c>
      <x:c r="M62" s="32" t="n">
        <x:v>3</x:v>
      </x:c>
      <x:c r="N62" s="32" t="n">
        <x:v>2</x:v>
      </x:c>
      <x:c r="O62" s="32" t="n">
        <x:v>4</x:v>
      </x:c>
      <x:c r="P62" s="32" t="n">
        <x:f>ROUND(100*(0.25*I62+0.20*J62+0.20*K62+0.10*(6-L62)+0.10*M62+0.05*N62+0.10*O62)/5,0)</x:f>
        <x:v>77</x:v>
      </x:c>
      <x:c r="Q62" s="32" t="str">
        <x:f>IF(P62&gt;=80,"P0",IF(P62&gt;=70,"P1",IF(P62&gt;=60,"P2","P3")))</x:f>
        <x:v>P1</x:v>
      </x:c>
      <x:c r="R62" s="28" t="str">
        <x:v>作为 DeepLOB 之后的现代 Transformer 对照。</x:v>
      </x:c>
      <x:c r="S62" s="28" t="str">
        <x:v>2025新模型；对不同市场/crypto 泛化仍待验证。</x:v>
      </x:c>
      <x:c r="T62" s="28" t="str">
        <x:v>TLOB</x:v>
      </x:c>
      <x:c r="U62" s="28" t="str">
        <x:v>2025</x:v>
      </x:c>
      <x:c r="V62" s="28" t="str">
        <x:v>https://arxiv.org/abs/2502.15757</x:v>
      </x:c>
      <x:c r="W62" s="28" t="str"/>
      <x:c r="X62" s="28" t="str">
        <x:v>适合高质量 L2 数据。</x:v>
      </x:c>
    </x:row>
    <x:row r="63">
      <x:c r="A63" s="28" t="str">
        <x:v>M60</x:v>
      </x:c>
      <x:c r="B63" s="28" t="str">
        <x:v>市场微观结构深度学习</x:v>
      </x:c>
      <x:c r="C63" s="28" t="str">
        <x:v>LOB Foundation Model</x:v>
      </x:c>
      <x:c r="D63" s="28" t="str">
        <x:v>LOBERT</x:v>
      </x:c>
      <x:c r="E63" s="28" t="str">
        <x:v>前沿研究</x:v>
      </x:c>
      <x:c r="F63" s="28" t="str">
        <x:v>LOB representation / downstream tasks</x:v>
      </x:c>
      <x:c r="G63" s="28" t="str">
        <x:v>面向 message-level LOB 的通用 encoder foundation model，预训练后下游微调。</x:v>
      </x:c>
      <x:c r="H63" s="28" t="str">
        <x:v>massive LOB event streams</x:v>
      </x:c>
      <x:c r="I63" s="32" t="n">
        <x:v>4</x:v>
      </x:c>
      <x:c r="J63" s="32" t="n">
        <x:v>5</x:v>
      </x:c>
      <x:c r="K63" s="32" t="n">
        <x:v>2</x:v>
      </x:c>
      <x:c r="L63" s="32" t="n">
        <x:v>5</x:v>
      </x:c>
      <x:c r="M63" s="32" t="n">
        <x:v>2</x:v>
      </x:c>
      <x:c r="N63" s="32" t="n">
        <x:v>1</x:v>
      </x:c>
      <x:c r="O63" s="32" t="n">
        <x:v>3</x:v>
      </x:c>
      <x:c r="P63" s="32" t="n">
        <x:f>ROUND(100*(0.25*I63+0.20*J63+0.20*K63+0.10*(6-L63)+0.10*M63+0.05*N63+0.10*O63)/5,0)</x:f>
        <x:v>61</x:v>
      </x:c>
      <x:c r="Q63" s="32" t="str">
        <x:f>IF(P63&gt;=80,"P0",IF(P63&gt;=70,"P1",IF(P63&gt;=60,"P2","P3")))</x:f>
        <x:v>P2</x:v>
      </x:c>
      <x:c r="R63" s="28" t="str">
        <x:v>未来可能用多资产订单流预训练，再适配 BTC/交易所。</x:v>
      </x:c>
      <x:c r="S63" s="28" t="str">
        <x:v>2025新论文、非 crypto 专用；production 证据有限。</x:v>
      </x:c>
      <x:c r="T63" s="28" t="str">
        <x:v>LOBERT</x:v>
      </x:c>
      <x:c r="U63" s="28" t="str">
        <x:v>2025</x:v>
      </x:c>
      <x:c r="V63" s="28" t="str">
        <x:v>https://arxiv.org/abs/2511.12563</x:v>
      </x:c>
      <x:c r="W63" s="28" t="str"/>
      <x:c r="X63" s="28" t="str">
        <x:v>研究前沿，不要当现成 edge。</x:v>
      </x:c>
    </x:row>
    <x:row r="64">
      <x:c r="A64" s="28" t="str">
        <x:v>M61</x:v>
      </x:c>
      <x:c r="B64" s="28" t="str">
        <x:v>市场微观结构深度学习</x:v>
      </x:c>
      <x:c r="C64" s="28" t="str">
        <x:v>Trade-flow Foundation Model</x:v>
      </x:c>
      <x:c r="D64" s="28" t="str">
        <x:v>TradeFM</x:v>
      </x:c>
      <x:c r="E64" s="28" t="str">
        <x:v>前沿研究</x:v>
      </x:c>
      <x:c r="F64" s="28" t="str">
        <x:v>generative trade-flow / representation</x:v>
      </x:c>
      <x:c r="G64" s="28" t="str">
        <x:v>在数十亿成交事件上预训练生成式 Transformer，从部分可观测交易流学习市场微观结构。</x:v>
      </x:c>
      <x:c r="H64" s="28" t="str">
        <x:v>massive trade event streams</x:v>
      </x:c>
      <x:c r="I64" s="32" t="n">
        <x:v>4</x:v>
      </x:c>
      <x:c r="J64" s="32" t="n">
        <x:v>5</x:v>
      </x:c>
      <x:c r="K64" s="32" t="n">
        <x:v>2</x:v>
      </x:c>
      <x:c r="L64" s="32" t="n">
        <x:v>5</x:v>
      </x:c>
      <x:c r="M64" s="32" t="n">
        <x:v>2</x:v>
      </x:c>
      <x:c r="N64" s="32" t="n">
        <x:v>1</x:v>
      </x:c>
      <x:c r="O64" s="32" t="n">
        <x:v>3</x:v>
      </x:c>
      <x:c r="P64" s="32" t="n">
        <x:f>ROUND(100*(0.25*I64+0.20*J64+0.20*K64+0.10*(6-L64)+0.10*M64+0.05*N64+0.10*O64)/5,0)</x:f>
        <x:v>61</x:v>
      </x:c>
      <x:c r="Q64" s="32" t="str">
        <x:f>IF(P64&gt;=80,"P0",IF(P64&gt;=70,"P1",IF(P64&gt;=60,"P2","P3")))</x:f>
        <x:v>P2</x:v>
      </x:c>
      <x:c r="R64" s="28" t="str">
        <x:v>启发 BTC：跨币种/跨交易所 trade-flow foundation model，未必需要完整 LOB。</x:v>
      </x:c>
      <x:c r="S64" s="28" t="str">
        <x:v>2026新论文，训练资产为美股；迁移到 crypto 未验证。</x:v>
      </x:c>
      <x:c r="T64" s="28" t="str">
        <x:v>TradeFM</x:v>
      </x:c>
      <x:c r="U64" s="28" t="str">
        <x:v>2026</x:v>
      </x:c>
      <x:c r="V64" s="28" t="str">
        <x:v>https://arxiv.org/abs/2602.23784</x:v>
      </x:c>
      <x:c r="W64" s="28" t="str"/>
      <x:c r="X64" s="28" t="str">
        <x:v>非常前沿，适合作为中长期研发方向。</x:v>
      </x:c>
    </x:row>
    <x:row r="65">
      <x:c r="A65" s="28" t="str">
        <x:v>M62</x:v>
      </x:c>
      <x:c r="B65" s="28" t="str">
        <x:v>混合/研究范式</x:v>
      </x:c>
      <x:c r="C65" s="28" t="str">
        <x:v>混合方法</x:v>
      </x:c>
      <x:c r="D65" s="28" t="str">
        <x:v>Hawkes + ML / Deep Hawkes Hybrid</x:v>
      </x:c>
      <x:c r="E65" s="28" t="str">
        <x:v>核心候选</x:v>
      </x:c>
      <x:c r="F65" s="28" t="str">
        <x:v>event intensity + direction</x:v>
      </x:c>
      <x:c r="G65" s="28" t="str">
        <x:v>先用 Hawkes 提取事件强度/互激，再交给 XGBoost/TCN/Transformer。</x:v>
      </x:c>
      <x:c r="H65" s="28" t="str">
        <x:v>LOB/trade/liquidation events</x:v>
      </x:c>
      <x:c r="I65" s="32" t="n">
        <x:v>5</x:v>
      </x:c>
      <x:c r="J65" s="32" t="n">
        <x:v>5</x:v>
      </x:c>
      <x:c r="K65" s="32" t="n">
        <x:v>4</x:v>
      </x:c>
      <x:c r="L65" s="32" t="n">
        <x:v>4</x:v>
      </x:c>
      <x:c r="M65" s="32" t="n">
        <x:v>3</x:v>
      </x:c>
      <x:c r="N65" s="32" t="n">
        <x:v>4</x:v>
      </x:c>
      <x:c r="O65" s="32" t="n">
        <x:v>5</x:v>
      </x:c>
      <x:c r="P65" s="32" t="n">
        <x:f>ROUND(100*(0.25*I65+0.20*J65+0.20*K65+0.10*(6-L65)+0.10*M65+0.05*N65+0.10*O65)/5,0)</x:f>
        <x:v>85</x:v>
      </x:c>
      <x:c r="Q65" s="32" t="str">
        <x:f>IF(P65&gt;=80,"P0",IF(P65&gt;=70,"P1",IF(P65&gt;=60,"P2","P3")))</x:f>
        <x:v>P0</x:v>
      </x:c>
      <x:c r="R65" s="28" t="str">
        <x:v>把结构模型与非线性模型结合，避免纯黑箱。</x:v>
      </x:c>
      <x:c r="S65" s="28" t="str">
        <x:v>高维事件定义和同步处理复杂。</x:v>
      </x:c>
      <x:c r="T65" s="28" t="str">
        <x:v>Hawkes-based cryptocurrency forecasting via Limit Order Book data</x:v>
      </x:c>
      <x:c r="U65" s="28" t="str">
        <x:v>2023</x:v>
      </x:c>
      <x:c r="V65" s="28" t="str">
        <x:v>https://arxiv.org/abs/2312.16190</x:v>
      </x:c>
      <x:c r="W65" s="28" t="str"/>
      <x:c r="X65" s="28" t="str">
        <x:v>我认为比“直接Transformer吃K线”更有逻辑。</x:v>
      </x:c>
    </x:row>
    <x:row r="66">
      <x:c r="A66" s="28" t="str">
        <x:v>M63</x:v>
      </x:c>
      <x:c r="B66" s="28" t="str">
        <x:v>混合/研究范式</x:v>
      </x:c>
      <x:c r="C66" s="28" t="str">
        <x:v>混合方法</x:v>
      </x:c>
      <x:c r="D66" s="28" t="str">
        <x:v>Regime-gated Expert Ensemble</x:v>
      </x:c>
      <x:c r="E66" s="28" t="str">
        <x:v>必跑核心</x:v>
      </x:c>
      <x:c r="F66" s="28" t="str">
        <x:v>conditional model mixture</x:v>
      </x:c>
      <x:c r="G66" s="28" t="str">
        <x:v>HMM/change-point/vol state 先判 regime，再对不同模型动态加权。</x:v>
      </x:c>
      <x:c r="H66" s="28" t="str">
        <x:v>model forecasts + regime features</x:v>
      </x:c>
      <x:c r="I66" s="32" t="n">
        <x:v>5</x:v>
      </x:c>
      <x:c r="J66" s="32" t="n">
        <x:v>5</x:v>
      </x:c>
      <x:c r="K66" s="32" t="n">
        <x:v>5</x:v>
      </x:c>
      <x:c r="L66" s="32" t="n">
        <x:v>3</x:v>
      </x:c>
      <x:c r="M66" s="32" t="n">
        <x:v>4</x:v>
      </x:c>
      <x:c r="N66" s="32" t="n">
        <x:v>4</x:v>
      </x:c>
      <x:c r="O66" s="32" t="n">
        <x:v>5</x:v>
      </x:c>
      <x:c r="P66" s="32" t="n">
        <x:f>ROUND(100*(0.25*I66+0.20*J66+0.20*K66+0.10*(6-L66)+0.10*M66+0.05*N66+0.10*O66)/5,0)</x:f>
        <x:v>93</x:v>
      </x:c>
      <x:c r="Q66" s="32" t="str">
        <x:f>IF(P66&gt;=80,"P0",IF(P66&gt;=70,"P1",IF(P66&gt;=60,"P2","P3")))</x:f>
        <x:v>P0</x:v>
      </x:c>
      <x:c r="R66" s="28" t="str">
        <x:v>让 mean-reversion、momentum、LOB、vol 模型在合适状态工作。</x:v>
      </x:c>
      <x:c r="S66" s="28" t="str">
        <x:v>meta-layer 泄漏；专家数太多会过拟合。</x:v>
      </x:c>
      <x:c r="T66" s="28" t="str">
        <x:v>—</x:v>
      </x:c>
      <x:c r="U66" s="28" t="str">
        <x:v>—</x:v>
      </x:c>
      <x:c r="V66" s="28" t="str"/>
      <x:c r="W66" s="28" t="str"/>
      <x:c r="X66" s="28" t="str">
        <x:v>实际交易系统里往往比单一SOTA架构更稳。</x:v>
      </x:c>
    </x:row>
    <x:row r="67">
      <x:c r="A67" s="28" t="str">
        <x:v>M64</x:v>
      </x:c>
      <x:c r="B67" s="28" t="str">
        <x:v>混合/研究范式</x:v>
      </x:c>
      <x:c r="C67" s="28" t="str">
        <x:v>混合方法</x:v>
      </x:c>
      <x:c r="D67" s="28" t="str">
        <x:v>Multi-task: return + vol + direction + quantiles</x:v>
      </x:c>
      <x:c r="E67" s="28" t="str">
        <x:v>核心候选</x:v>
      </x:c>
      <x:c r="F67" s="28" t="str">
        <x:v>multi-head outputs</x:v>
      </x:c>
      <x:c r="G67" s="28" t="str">
        <x:v>共享 encoder，同时预测均值、方向、波动和分位数，用辅助任务提高表示稳定性。</x:v>
      </x:c>
      <x:c r="H67" s="28" t="str">
        <x:v>all sequences</x:v>
      </x:c>
      <x:c r="I67" s="32" t="n">
        <x:v>5</x:v>
      </x:c>
      <x:c r="J67" s="32" t="n">
        <x:v>5</x:v>
      </x:c>
      <x:c r="K67" s="32" t="n">
        <x:v>4</x:v>
      </x:c>
      <x:c r="L67" s="32" t="n">
        <x:v>4</x:v>
      </x:c>
      <x:c r="M67" s="32" t="n">
        <x:v>4</x:v>
      </x:c>
      <x:c r="N67" s="32" t="n">
        <x:v>3</x:v>
      </x:c>
      <x:c r="O67" s="32" t="n">
        <x:v>5</x:v>
      </x:c>
      <x:c r="P67" s="32" t="n">
        <x:f>ROUND(100*(0.25*I67+0.20*J67+0.20*K67+0.10*(6-L67)+0.10*M67+0.05*N67+0.10*O67)/5,0)</x:f>
        <x:v>86</x:v>
      </x:c>
      <x:c r="Q67" s="32" t="str">
        <x:f>IF(P67&gt;=80,"P0",IF(P67&gt;=70,"P1",IF(P67&gt;=60,"P2","P3")))</x:f>
        <x:v>P0</x:v>
      </x:c>
      <x:c r="R67" s="28" t="str">
        <x:v>减少只优化 noisy return 的过拟合；用 vol/quantile 作为结构性辅助目标。</x:v>
      </x:c>
      <x:c r="S67" s="28" t="str">
        <x:v>loss 权重敏感；任务冲突。</x:v>
      </x:c>
      <x:c r="T67" s="28" t="str">
        <x:v>—</x:v>
      </x:c>
      <x:c r="U67" s="28" t="str">
        <x:v>—</x:v>
      </x:c>
      <x:c r="V67" s="28" t="str"/>
      <x:c r="W67" s="28" t="str"/>
      <x:c r="X67" s="28" t="str">
        <x:v>非常适合金融低信噪比。</x:v>
      </x:c>
    </x:row>
    <x:row r="68">
      <x:c r="A68" s="28" t="str">
        <x:v>M65</x:v>
      </x:c>
      <x:c r="B68" s="28" t="str">
        <x:v>混合/研究范式</x:v>
      </x:c>
      <x:c r="C68" s="28" t="str">
        <x:v>混合方法</x:v>
      </x:c>
      <x:c r="D68" s="28" t="str">
        <x:v>Online Learning / Adaptive Window / Forgetting</x:v>
      </x:c>
      <x:c r="E68" s="28" t="str">
        <x:v>必跑核心</x:v>
      </x:c>
      <x:c r="F68" s="28" t="str">
        <x:v>adaptive forecast</x:v>
      </x:c>
      <x:c r="G68" s="28" t="str">
        <x:v>模型在线更新、指数遗忘、漂移触发重训，直接应对非平稳。</x:v>
      </x:c>
      <x:c r="H68" s="28" t="str">
        <x:v>streaming data</x:v>
      </x:c>
      <x:c r="I68" s="32" t="n">
        <x:v>5</x:v>
      </x:c>
      <x:c r="J68" s="32" t="n">
        <x:v>5</x:v>
      </x:c>
      <x:c r="K68" s="32" t="n">
        <x:v>5</x:v>
      </x:c>
      <x:c r="L68" s="32" t="n">
        <x:v>2</x:v>
      </x:c>
      <x:c r="M68" s="32" t="n">
        <x:v>5</x:v>
      </x:c>
      <x:c r="N68" s="32" t="n">
        <x:v>4</x:v>
      </x:c>
      <x:c r="O68" s="32" t="n">
        <x:v>5</x:v>
      </x:c>
      <x:c r="P68" s="32" t="n">
        <x:f>ROUND(100*(0.25*I68+0.20*J68+0.20*K68+0.10*(6-L68)+0.10*M68+0.05*N68+0.10*O68)/5,0)</x:f>
        <x:v>97</x:v>
      </x:c>
      <x:c r="Q68" s="32" t="str">
        <x:f>IF(P68&gt;=80,"P0",IF(P68&gt;=70,"P1",IF(P68&gt;=60,"P2","P3")))</x:f>
        <x:v>P0</x:v>
      </x:c>
      <x:c r="R68" s="28" t="str">
        <x:v>所有5m模型的训练制度，而不是某一架构。</x:v>
      </x:c>
      <x:c r="S68" s="28" t="str">
        <x:v>更新太快会追噪声；太慢则失效。</x:v>
      </x:c>
      <x:c r="T68" s="28" t="str">
        <x:v>—</x:v>
      </x:c>
      <x:c r="U68" s="28" t="str">
        <x:v>—</x:v>
      </x:c>
      <x:c r="V68" s="28" t="str"/>
      <x:c r="W68" s="28" t="str"/>
      <x:c r="X68" s="28" t="str">
        <x:v>真实 OOS 的关键往往在这里。</x:v>
      </x:c>
    </x:row>
    <x:row r="69">
      <x:c r="A69" s="28" t="str">
        <x:v>M66</x:v>
      </x:c>
      <x:c r="B69" s="28" t="str">
        <x:v>混合/研究范式</x:v>
      </x:c>
      <x:c r="C69" s="28" t="str">
        <x:v>混合方法</x:v>
      </x:c>
      <x:c r="D69" s="28" t="str">
        <x:v>Cross-sectional / Multi-asset pretrain then BTC fine-tune</x:v>
      </x:c>
      <x:c r="E69" s="28" t="str">
        <x:v>核心候选</x:v>
      </x:c>
      <x:c r="F69" s="28" t="str">
        <x:v>representation/forecast</x:v>
      </x:c>
      <x:c r="G69" s="28" t="str">
        <x:v>用多币种、多交易所共同训练提高有效样本量，再在 BTC 上微调。</x:v>
      </x:c>
      <x:c r="H69" s="28" t="str">
        <x:v>multi-crypto panel</x:v>
      </x:c>
      <x:c r="I69" s="32" t="n">
        <x:v>5</x:v>
      </x:c>
      <x:c r="J69" s="32" t="n">
        <x:v>5</x:v>
      </x:c>
      <x:c r="K69" s="32" t="n">
        <x:v>4</x:v>
      </x:c>
      <x:c r="L69" s="32" t="n">
        <x:v>4</x:v>
      </x:c>
      <x:c r="M69" s="32" t="n">
        <x:v>4</x:v>
      </x:c>
      <x:c r="N69" s="32" t="n">
        <x:v>3</x:v>
      </x:c>
      <x:c r="O69" s="32" t="n">
        <x:v>5</x:v>
      </x:c>
      <x:c r="P69" s="32" t="n">
        <x:f>ROUND(100*(0.25*I69+0.20*J69+0.20*K69+0.10*(6-L69)+0.10*M69+0.05*N69+0.10*O69)/5,0)</x:f>
        <x:v>86</x:v>
      </x:c>
      <x:c r="Q69" s="32" t="str">
        <x:f>IF(P69&gt;=80,"P0",IF(P69&gt;=70,"P1",IF(P69&gt;=60,"P2","P3")))</x:f>
        <x:v>P0</x:v>
      </x:c>
      <x:c r="R69" s="28" t="str">
        <x:v>缓解单资产有效样本不足；学习通用 crypto microstructure。</x:v>
      </x:c>
      <x:c r="S69" s="28" t="str">
        <x:v>跨资产结构差异与 survivorship bias。</x:v>
      </x:c>
      <x:c r="T69" s="28" t="str">
        <x:v>—</x:v>
      </x:c>
      <x:c r="U69" s="28" t="str">
        <x:v>—</x:v>
      </x:c>
      <x:c r="V69" s="28" t="str"/>
      <x:c r="W69" s="28" t="str"/>
      <x:c r="X69" s="28" t="str">
        <x:v>适合 TS2Vec/PatchTST/TTM/iTransformer。</x:v>
      </x:c>
    </x:row>
  </x:sheetData>
  <x:mergeCells>
    <x:mergeCell ref="A1:X1"/>
    <x:mergeCell ref="A2:X2"/>
  </x:mergeCells>
  <x:conditionalFormatting sqref="I4:O6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4:P69">
    <x:cfRule type="dataBar" priority="2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{346EE25B-3C3F-2959-101A-20E66DB934D5}</x14:id>
        </x:ext>
      </x:extLst>
    </x:cfRule>
  </x:conditionalFormatting>
  <x:conditionalFormatting sqref="Q4:Q69">
    <x:cfRule type="expression" dxfId="0" priority="3">
      <x:formula>Q4="P0"</x:formula>
    </x:cfRule>
    <x:cfRule type="expression" dxfId="1" priority="4">
      <x:formula>Q4="P1"</x:formula>
    </x:cfRule>
    <x:cfRule type="expression" dxfId="2" priority="5">
      <x:formula>Q4="P2"</x:formula>
    </x:cfRule>
    <x:cfRule type="expression" dxfId="3" priority="6">
      <x:formula>Q4="P3"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c3e83e059c472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46EE25B-3C3F-2959-101A-20E66DB934D5}">
            <x14:dataBar gradient="1">
              <x14:cfvo type="min"/>
              <x14:cfvo type="max"/>
              <x14:fillColor rgb="FF0F766E"/>
            </x14:dataBar>
          </x14:cfRule>
          <xm:sqref>P4:P69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27" hidden="0" customWidth="1"/>
    <x:col min="4" max="4" width="8" hidden="0" customWidth="1"/>
    <x:col min="5" max="5" width="22" hidden="0" customWidth="1"/>
    <x:col min="6" max="6" width="24" hidden="0" customWidth="1"/>
    <x:col min="7" max="7" width="48" hidden="0" customWidth="1"/>
    <x:col min="8" max="8" width="12" hidden="0" customWidth="1"/>
    <x:col min="9" max="9" width="18" hidden="0" customWidth="1"/>
    <x:col min="10" max="10" width="48" hidden="0" customWidth="1"/>
    <x:col min="11" max="11" width="50" hidden="0" customWidth="1"/>
    <x:col min="12" max="12" width="44" hidden="0" customWidth="1"/>
    <x:col min="13" max="13" width="14" hidden="0" customWidth="1"/>
  </x:cols>
  <x:sheetData>
    <x:row r="1" ht="28" customHeight="1">
      <x:c r="A1" s="4" t="str">
        <x:v>关键论文与前沿研究库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6" customHeight="1">
      <x:c r="A2" s="11" t="str">
        <x:v>优先纳入原始论文、会议 proceedings、作者代码库；“我的评级”针对 BTC 5m 研究价值，不等同于论文引用量。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3" ht="32" customHeight="1">
      <x:c r="A3" s="20" t="str">
        <x:v>ID</x:v>
      </x:c>
      <x:c r="B3" s="20" t="str">
        <x:v>论文</x:v>
      </x:c>
      <x:c r="C3" s="20" t="str">
        <x:v>作者</x:v>
      </x:c>
      <x:c r="D3" s="20" t="str">
        <x:v>年份</x:v>
      </x:c>
      <x:c r="E3" s="20" t="str">
        <x:v>Venue</x:v>
      </x:c>
      <x:c r="F3" s="20" t="str">
        <x:v>方法家族</x:v>
      </x:c>
      <x:c r="G3" s="20" t="str">
        <x:v>核心贡献</x:v>
      </x:c>
      <x:c r="H3" s="20" t="str">
        <x:v>影响力</x:v>
      </x:c>
      <x:c r="I3" s="20" t="str">
        <x:v>证据类型</x:v>
      </x:c>
      <x:c r="J3" s="20" t="str">
        <x:v>BTC 5m相关性</x:v>
      </x:c>
      <x:c r="K3" s="20" t="str">
        <x:v>论文URL</x:v>
      </x:c>
      <x:c r="L3" s="20" t="str">
        <x:v>代码URL</x:v>
      </x:c>
      <x:c r="M3" s="20" t="str">
        <x:v>我的评级</x:v>
      </x:c>
    </x:row>
    <x:row r="4">
      <x:c r="A4" s="28" t="str">
        <x:v>P01</x:v>
      </x:c>
      <x:c r="B4" s="28" t="str">
        <x:v>Kalman Filter</x:v>
      </x:c>
      <x:c r="C4" s="28" t="str">
        <x:v>R. E. Kalman</x:v>
      </x:c>
      <x:c r="D4" s="28" t="n">
        <x:v>1960</x:v>
      </x:c>
      <x:c r="E4" s="28" t="str">
        <x:v>Journal of Basic Engineering</x:v>
      </x:c>
      <x:c r="F4" s="28" t="str">
        <x:v>经典统计/状态空间</x:v>
      </x:c>
      <x:c r="G4" s="28" t="str">
        <x:v>递归估计隐藏状态，奠定在线滤波与动态 fair value 建模基础。</x:v>
      </x:c>
      <x:c r="H4" s="28" t="str">
        <x:v>极高</x:v>
      </x:c>
      <x:c r="I4" s="28" t="str">
        <x:v>通用方法</x:v>
      </x:c>
      <x:c r="J4" s="28" t="str">
        <x:v>对跨交易所 fair value、动态 beta、噪声过滤非常实用。</x:v>
      </x:c>
      <x:c r="K4" s="28" t="str">
        <x:v>https://doi.org/10.1115/1.3662552</x:v>
      </x:c>
      <x:c r="L4" s="28" t="str"/>
      <x:c r="M4" s="28" t="str">
        <x:v>P0经典</x:v>
      </x:c>
    </x:row>
    <x:row r="5">
      <x:c r="A5" s="28" t="str">
        <x:v>P02</x:v>
      </x:c>
      <x:c r="B5" s="28" t="str">
        <x:v>GARCH</x:v>
      </x:c>
      <x:c r="C5" s="28" t="str">
        <x:v>Tim Bollerslev</x:v>
      </x:c>
      <x:c r="D5" s="28" t="n">
        <x:v>1986</x:v>
      </x:c>
      <x:c r="E5" s="28" t="str">
        <x:v>Journal of Econometrics</x:v>
      </x:c>
      <x:c r="F5" s="28" t="str">
        <x:v>经典统计/波动率</x:v>
      </x:c>
      <x:c r="G5" s="28" t="str">
        <x:v>用条件异方差描述波动聚类。</x:v>
      </x:c>
      <x:c r="H5" s="28" t="str">
        <x:v>极高</x:v>
      </x:c>
      <x:c r="I5" s="28" t="str">
        <x:v>金融</x:v>
      </x:c>
      <x:c r="J5" s="28" t="str">
        <x:v>5m方向难预测时，波动率预测仍直接影响仓位与交易阈值。</x:v>
      </x:c>
      <x:c r="K5" s="28" t="str">
        <x:v>https://doi.org/10.1016/0304-4076(86)90063-1</x:v>
      </x:c>
      <x:c r="L5" s="28" t="str"/>
      <x:c r="M5" s="28" t="str">
        <x:v>P0经典</x:v>
      </x:c>
    </x:row>
    <x:row r="6">
      <x:c r="A6" s="28" t="str">
        <x:v>P03</x:v>
      </x:c>
      <x:c r="B6" s="28" t="str">
        <x:v>A New Approach to the Economic Analysis of Nonstationary Time Series and the Business Cycle</x:v>
      </x:c>
      <x:c r="C6" s="28" t="str">
        <x:v>James D. Hamilton</x:v>
      </x:c>
      <x:c r="D6" s="28" t="n">
        <x:v>1989</x:v>
      </x:c>
      <x:c r="E6" s="28" t="str">
        <x:v>Econometrica</x:v>
      </x:c>
      <x:c r="F6" s="28" t="str">
        <x:v>Regime Switching</x:v>
      </x:c>
      <x:c r="G6" s="28" t="str">
        <x:v>Markov switching 将序列拆为不同隐含状态。</x:v>
      </x:c>
      <x:c r="H6" s="28" t="str">
        <x:v>极高</x:v>
      </x:c>
      <x:c r="I6" s="28" t="str">
        <x:v>金融/宏观</x:v>
      </x:c>
      <x:c r="J6" s="28" t="str">
        <x:v>BTC regime shift 强，适合作 ensemble gating。</x:v>
      </x:c>
      <x:c r="K6" s="28" t="str">
        <x:v>https://doi.org/10.2307/1912559</x:v>
      </x:c>
      <x:c r="L6" s="28" t="str"/>
      <x:c r="M6" s="28" t="str">
        <x:v>P0经典</x:v>
      </x:c>
    </x:row>
    <x:row r="7">
      <x:c r="A7" s="28" t="str">
        <x:v>P04</x:v>
      </x:c>
      <x:c r="B7" s="28" t="str">
        <x:v>A Simple Approximate Long-Memory Model of Realized Volatility</x:v>
      </x:c>
      <x:c r="C7" s="28" t="str">
        <x:v>Fulvio Corsi</x:v>
      </x:c>
      <x:c r="D7" s="28" t="n">
        <x:v>2009</x:v>
      </x:c>
      <x:c r="E7" s="28" t="str">
        <x:v>Journal of Financial Econometrics</x:v>
      </x:c>
      <x:c r="F7" s="28" t="str">
        <x:v>Realized Volatility</x:v>
      </x:c>
      <x:c r="G7" s="28" t="str">
        <x:v>HAR-RV 用多尺度波动分量刻画长记忆。</x:v>
      </x:c>
      <x:c r="H7" s="28" t="str">
        <x:v>高</x:v>
      </x:c>
      <x:c r="I7" s="28" t="str">
        <x:v>金融</x:v>
      </x:c>
      <x:c r="J7" s="28" t="str">
        <x:v>对短期风险状态、动态阈值和多尺度 vol 特征非常强。</x:v>
      </x:c>
      <x:c r="K7" s="28" t="str">
        <x:v>https://doi.org/10.1093/jjfinec/nbp001</x:v>
      </x:c>
      <x:c r="L7" s="28" t="str"/>
      <x:c r="M7" s="28" t="str">
        <x:v>P0经典</x:v>
      </x:c>
    </x:row>
    <x:row r="8">
      <x:c r="A8" s="28" t="str">
        <x:v>P05</x:v>
      </x:c>
      <x:c r="B8" s="28" t="str">
        <x:v>The Price Impact of Order Book Events</x:v>
      </x:c>
      <x:c r="C8" s="28" t="str">
        <x:v>Rama Cont; Arseniy Kukanov; Sasha Stoikov</x:v>
      </x:c>
      <x:c r="D8" s="28" t="n">
        <x:v>2014</x:v>
      </x:c>
      <x:c r="E8" s="28" t="str">
        <x:v>Journal of Financial Econometrics</x:v>
      </x:c>
      <x:c r="F8" s="28" t="str">
        <x:v>市场微观结构/OFI</x:v>
      </x:c>
      <x:c r="G8" s="28" t="str">
        <x:v>证明短期价格变化与 order flow imbalance 的稳健关系。</x:v>
      </x:c>
      <x:c r="H8" s="28" t="str">
        <x:v>极高</x:v>
      </x:c>
      <x:c r="I8" s="28" t="str">
        <x:v>金融微观结构</x:v>
      </x:c>
      <x:c r="J8" s="28" t="str">
        <x:v>有 L2/L3 时是5m BTC最重要的结构性特征之一。</x:v>
      </x:c>
      <x:c r="K8" s="28" t="str">
        <x:v>https://academic.oup.com/jfec/article-abstract/12/1/47/816163</x:v>
      </x:c>
      <x:c r="L8" s="28" t="str">
        <x:v>https://arxiv.org/abs/1011.6402</x:v>
      </x:c>
      <x:c r="M8" s="28" t="str">
        <x:v>P0必读</x:v>
      </x:c>
    </x:row>
    <x:row r="9">
      <x:c r="A9" s="28" t="str">
        <x:v>P06</x:v>
      </x:c>
      <x:c r="B9" s="28" t="str">
        <x:v>Queue Imbalance as a One-Tick-Ahead Price Predictor in a Limit Order Book</x:v>
      </x:c>
      <x:c r="C9" s="28" t="str">
        <x:v>Martin D. Gould; Julius Bonart</x:v>
      </x:c>
      <x:c r="D9" s="28" t="n">
        <x:v>2015</x:v>
      </x:c>
      <x:c r="E9" s="28" t="str">
        <x:v>arXiv / Market Microstructure and Liquidity</x:v>
      </x:c>
      <x:c r="F9" s="28" t="str">
        <x:v>市场微观结构</x:v>
      </x:c>
      <x:c r="G9" s="28" t="str">
        <x:v>用 bid/ask queue imbalance + logistic 预测下一次价格变动方向概率。</x:v>
      </x:c>
      <x:c r="H9" s="28" t="str">
        <x:v>高</x:v>
      </x:c>
      <x:c r="I9" s="28" t="str">
        <x:v>金融微观结构</x:v>
      </x:c>
      <x:c r="J9" s="28" t="str">
        <x:v>简单、快速、可解释；是深度 LOB 模型的强基线。</x:v>
      </x:c>
      <x:c r="K9" s="28" t="str">
        <x:v>https://arxiv.org/abs/1512.03492</x:v>
      </x:c>
      <x:c r="L9" s="28" t="str"/>
      <x:c r="M9" s="28" t="str">
        <x:v>P0必读</x:v>
      </x:c>
    </x:row>
    <x:row r="10">
      <x:c r="A10" s="28" t="str">
        <x:v>P07</x:v>
      </x:c>
      <x:c r="B10" s="28" t="str">
        <x:v>The Micro-Price: A High-Frequency Estimator of Future Prices</x:v>
      </x:c>
      <x:c r="C10" s="28" t="str">
        <x:v>Sasha Stoikov</x:v>
      </x:c>
      <x:c r="D10" s="28" t="n">
        <x:v>2018</x:v>
      </x:c>
      <x:c r="E10" s="28" t="str">
        <x:v>Quantitative Finance</x:v>
      </x:c>
      <x:c r="F10" s="28" t="str">
        <x:v>市场微观结构</x:v>
      </x:c>
      <x:c r="G10" s="28" t="str">
        <x:v>用 spread 与 imbalance 构造比 mid-price 更前瞻的 microprice。</x:v>
      </x:c>
      <x:c r="H10" s="28" t="str">
        <x:v>高</x:v>
      </x:c>
      <x:c r="I10" s="28" t="str">
        <x:v>金融微观结构</x:v>
      </x:c>
      <x:c r="J10" s="28" t="str">
        <x:v>可作为 label/fair-value anchor，减少 raw mid 噪声。</x:v>
      </x:c>
      <x:c r="K10" s="28" t="str">
        <x:v>https://www.tandfonline.com/doi/abs/10.1080/14697688.2018.1489139</x:v>
      </x:c>
      <x:c r="L10" s="28" t="str"/>
      <x:c r="M10" s="28" t="str">
        <x:v>P0必读</x:v>
      </x:c>
    </x:row>
    <x:row r="11">
      <x:c r="A11" s="28" t="str">
        <x:v>P08</x:v>
      </x:c>
      <x:c r="B11" s="28" t="str">
        <x:v>DeepLOB: Deep Convolutional Neural Networks for Limit Order Books</x:v>
      </x:c>
      <x:c r="C11" s="28" t="str">
        <x:v>Zihao Zhang; Stefan Zohren; Stephen Roberts</x:v>
      </x:c>
      <x:c r="D11" s="28" t="n">
        <x:v>2018</x:v>
      </x:c>
      <x:c r="E11" s="28" t="str">
        <x:v>arXiv / IEEE TSP</x:v>
      </x:c>
      <x:c r="F11" s="28" t="str">
        <x:v>LOB Deep Learning</x:v>
      </x:c>
      <x:c r="G11" s="28" t="str">
        <x:v>CNN + LSTM 联合学习 LOB 空间与时间结构。</x:v>
      </x:c>
      <x:c r="H11" s="28" t="str">
        <x:v>极高</x:v>
      </x:c>
      <x:c r="I11" s="28" t="str">
        <x:v>金融微观结构</x:v>
      </x:c>
      <x:c r="J11" s="28" t="str">
        <x:v>是所有现代 LOB 深度模型必须超越的 benchmark。</x:v>
      </x:c>
      <x:c r="K11" s="28" t="str">
        <x:v>https://arxiv.org/abs/1808.03668</x:v>
      </x:c>
      <x:c r="L11" s="28" t="str"/>
      <x:c r="M11" s="28" t="str">
        <x:v>P0必读</x:v>
      </x:c>
    </x:row>
    <x:row r="12">
      <x:c r="A12" s="28" t="str">
        <x:v>P09</x:v>
      </x:c>
      <x:c r="B12" s="28" t="str">
        <x:v>Deep Learning for Digital Asset Limit Order Books</x:v>
      </x:c>
      <x:c r="C12" s="28" t="str">
        <x:v>Rakshit Jha et al.</x:v>
      </x:c>
      <x:c r="D12" s="28" t="n">
        <x:v>2020</x:v>
      </x:c>
      <x:c r="E12" s="28" t="str">
        <x:v>arXiv</x:v>
      </x:c>
      <x:c r="F12" s="28" t="str">
        <x:v>Crypto LOB</x:v>
      </x:c>
      <x:c r="G12" s="28" t="str">
        <x:v>Temporal CNN 直接用于数字资产 LOB 短期价格移动预测。</x:v>
      </x:c>
      <x:c r="H12" s="28" t="str">
        <x:v>中高</x:v>
      </x:c>
      <x:c r="I12" s="28" t="str">
        <x:v>直接Crypto</x:v>
      </x:c>
      <x:c r="J12" s="28" t="str">
        <x:v>提供 crypto-specific LOB 可预测性的直接证据。</x:v>
      </x:c>
      <x:c r="K12" s="28" t="str">
        <x:v>https://arxiv.org/abs/2010.01241</x:v>
      </x:c>
      <x:c r="L12" s="28" t="str">
        <x:v>https://github.com/Globe-Research/deep-orderbook</x:v>
      </x:c>
      <x:c r="M12" s="28" t="str">
        <x:v>P0直接相关</x:v>
      </x:c>
    </x:row>
    <x:row r="13">
      <x:c r="A13" s="28" t="str">
        <x:v>P10</x:v>
      </x:c>
      <x:c r="B13" s="28" t="str">
        <x:v>Hawkes-based cryptocurrency forecasting via Limit Order Book data</x:v>
      </x:c>
      <x:c r="C13" s="28" t="str">
        <x:v>—</x:v>
      </x:c>
      <x:c r="D13" s="28" t="n">
        <x:v>2023</x:v>
      </x:c>
      <x:c r="E13" s="28" t="str">
        <x:v>arXiv</x:v>
      </x:c>
      <x:c r="F13" s="28" t="str">
        <x:v>Crypto / Hawkes</x:v>
      </x:c>
      <x:c r="G13" s="28" t="str">
        <x:v>用 Hawkes 点过程对 LOB 事件与短期预测建模。</x:v>
      </x:c>
      <x:c r="H13" s="28" t="str">
        <x:v>中</x:v>
      </x:c>
      <x:c r="I13" s="28" t="str">
        <x:v>直接Crypto</x:v>
      </x:c>
      <x:c r="J13" s="28" t="str">
        <x:v>结构化 event-time 路线，比直接对 K 线用大模型更贴合微观机制。</x:v>
      </x:c>
      <x:c r="K13" s="28" t="str">
        <x:v>https://arxiv.org/abs/2312.16190</x:v>
      </x:c>
      <x:c r="L13" s="28" t="str"/>
      <x:c r="M13" s="28" t="str">
        <x:v>P1直接相关</x:v>
      </x:c>
    </x:row>
    <x:row r="14">
      <x:c r="A14" s="28" t="str">
        <x:v>P11</x:v>
      </x:c>
      <x:c r="B14" s="28" t="str">
        <x:v>Forecasting High Frequency Order Flow Imbalance</x:v>
      </x:c>
      <x:c r="C14" s="28" t="str">
        <x:v>Aditya Nittur Anantha; Shashi Jain</x:v>
      </x:c>
      <x:c r="D14" s="28" t="n">
        <x:v>2024</x:v>
      </x:c>
      <x:c r="E14" s="28" t="str">
        <x:v>arXiv</x:v>
      </x:c>
      <x:c r="F14" s="28" t="str">
        <x:v>Hawkes / OFI</x:v>
      </x:c>
      <x:c r="G14" s="28" t="str">
        <x:v>用 Hawkes 建模并预测未来 OFI 分布。</x:v>
      </x:c>
      <x:c r="H14" s="28" t="str">
        <x:v>中</x:v>
      </x:c>
      <x:c r="I14" s="28" t="str">
        <x:v>金融微观结构</x:v>
      </x:c>
      <x:c r="J14" s="28" t="str">
        <x:v>可把 Hawkes 输出作为5m方向/流动性模型的输入。</x:v>
      </x:c>
      <x:c r="K14" s="28" t="str">
        <x:v>https://arxiv.org/abs/2408.03594</x:v>
      </x:c>
      <x:c r="L14" s="28" t="str"/>
      <x:c r="M14" s="28" t="str">
        <x:v>P1</x:v>
      </x:c>
    </x:row>
    <x:row r="15">
      <x:c r="A15" s="28" t="str">
        <x:v>P12</x:v>
      </x:c>
      <x:c r="B15" s="28" t="str">
        <x:v>Deep Limit Order Book Forecasting</x:v>
      </x:c>
      <x:c r="C15" s="28" t="str">
        <x:v>Antonio Briola; Silvia Bartolucci; Tomaso Aste</x:v>
      </x:c>
      <x:c r="D15" s="28" t="n">
        <x:v>2024</x:v>
      </x:c>
      <x:c r="E15" s="28" t="str">
        <x:v>arXiv</x:v>
      </x:c>
      <x:c r="F15" s="28" t="str">
        <x:v>LOB Deep Learning</x:v>
      </x:c>
      <x:c r="G15" s="28" t="str">
        <x:v>系统比较 LOB 深度预测，并强调预测准确率不等于可交易性。</x:v>
      </x:c>
      <x:c r="H15" s="28" t="str">
        <x:v>中高</x:v>
      </x:c>
      <x:c r="I15" s="28" t="str">
        <x:v>金融微观结构</x:v>
      </x:c>
      <x:c r="J15" s="28" t="str">
        <x:v>非常重要的评估框架提醒：交易完成概率/成本应纳入。</x:v>
      </x:c>
      <x:c r="K15" s="28" t="str">
        <x:v>https://arxiv.org/abs/2403.09267</x:v>
      </x:c>
      <x:c r="L15" s="28" t="str"/>
      <x:c r="M15" s="28" t="str">
        <x:v>P0评估</x:v>
      </x:c>
    </x:row>
    <x:row r="16">
      <x:c r="A16" s="28" t="str">
        <x:v>P13</x:v>
      </x:c>
      <x:c r="B16" s="28" t="str">
        <x:v>TLOB: A Novel Transformer Model with Dual Attention for Price Trend Prediction with Limit Order Book Data</x:v>
      </x:c>
      <x:c r="C16" s="28" t="str">
        <x:v>Leonardo Berti; Gjergji Kasneci</x:v>
      </x:c>
      <x:c r="D16" s="28" t="n">
        <x:v>2025</x:v>
      </x:c>
      <x:c r="E16" s="28" t="str">
        <x:v>arXiv</x:v>
      </x:c>
      <x:c r="F16" s="28" t="str">
        <x:v>LOB Transformer</x:v>
      </x:c>
      <x:c r="G16" s="28" t="str">
        <x:v>双重注意力 Transformer 处理 LOB 时间和结构维度。</x:v>
      </x:c>
      <x:c r="H16" s="28" t="str">
        <x:v>新兴</x:v>
      </x:c>
      <x:c r="I16" s="28" t="str">
        <x:v>金融微观结构</x:v>
      </x:c>
      <x:c r="J16" s="28" t="str">
        <x:v>适合作 DeepLOB 之后的前沿对照。</x:v>
      </x:c>
      <x:c r="K16" s="28" t="str">
        <x:v>https://arxiv.org/abs/2502.15757</x:v>
      </x:c>
      <x:c r="L16" s="28" t="str"/>
      <x:c r="M16" s="28" t="str">
        <x:v>P1前沿</x:v>
      </x:c>
    </x:row>
    <x:row r="17">
      <x:c r="A17" s="28" t="str">
        <x:v>P14</x:v>
      </x:c>
      <x:c r="B17" s="28" t="str">
        <x:v>LOBERT: Generative AI Foundation Model for Limit Order Books</x:v>
      </x:c>
      <x:c r="C17" s="28" t="str">
        <x:v>E. Linna et al.</x:v>
      </x:c>
      <x:c r="D17" s="28" t="n">
        <x:v>2025</x:v>
      </x:c>
      <x:c r="E17" s="28" t="str">
        <x:v>arXiv</x:v>
      </x:c>
      <x:c r="F17" s="28" t="str">
        <x:v>LOB Foundation Model</x:v>
      </x:c>
      <x:c r="G17" s="28" t="str">
        <x:v>面向 message-level LOB 的通用 encoder foundation model。</x:v>
      </x:c>
      <x:c r="H17" s="28" t="str">
        <x:v>前沿</x:v>
      </x:c>
      <x:c r="I17" s="28" t="str">
        <x:v>金融微观结构</x:v>
      </x:c>
      <x:c r="J17" s="28" t="str">
        <x:v>代表订单簿 foundation model 路线，但尚非成熟 production alpha。</x:v>
      </x:c>
      <x:c r="K17" s="28" t="str">
        <x:v>https://arxiv.org/abs/2511.12563</x:v>
      </x:c>
      <x:c r="L17" s="28" t="str"/>
      <x:c r="M17" s="28" t="str">
        <x:v>P2研究</x:v>
      </x:c>
    </x:row>
    <x:row r="18">
      <x:c r="A18" s="28" t="str">
        <x:v>P15</x:v>
      </x:c>
      <x:c r="B18" s="28" t="str">
        <x:v>TradeFM: A Generative Foundation Model for Trade-flow</x:v>
      </x:c>
      <x:c r="C18" s="28" t="str">
        <x:v>—</x:v>
      </x:c>
      <x:c r="D18" s="28" t="n">
        <x:v>2026</x:v>
      </x:c>
      <x:c r="E18" s="28" t="str">
        <x:v>arXiv</x:v>
      </x:c>
      <x:c r="F18" s="28" t="str">
        <x:v>Market Microstructure Foundation Model</x:v>
      </x:c>
      <x:c r="G18" s="28" t="str">
        <x:v>在超大规模成交事件上预训练生成式 trade-flow Transformer。</x:v>
      </x:c>
      <x:c r="H18" s="28" t="str">
        <x:v>前沿</x:v>
      </x:c>
      <x:c r="I18" s="28" t="str">
        <x:v>金融微观结构</x:v>
      </x:c>
      <x:c r="J18" s="28" t="str">
        <x:v>启发 crypto 做跨资产/跨交易所 trade-flow 预训练。</x:v>
      </x:c>
      <x:c r="K18" s="28" t="str">
        <x:v>https://arxiv.org/abs/2602.23784</x:v>
      </x:c>
      <x:c r="L18" s="28" t="str"/>
      <x:c r="M18" s="28" t="str">
        <x:v>P2研究</x:v>
      </x:c>
    </x:row>
    <x:row r="19">
      <x:c r="A19" s="28" t="str">
        <x:v>P16</x:v>
      </x:c>
      <x:c r="B19" s="28" t="str">
        <x:v>Price Discovery in Cryptocurrency Markets</x:v>
      </x:c>
      <x:c r="C19" s="28" t="str">
        <x:v>Juan Plazuelo Pascual et al.</x:v>
      </x:c>
      <x:c r="D19" s="28" t="n">
        <x:v>2025</x:v>
      </x:c>
      <x:c r="E19" s="28" t="str">
        <x:v>arXiv</x:v>
      </x:c>
      <x:c r="F19" s="28" t="str">
        <x:v>Cross-market / Price Discovery</x:v>
      </x:c>
      <x:c r="G19" s="28" t="str">
        <x:v>比较 CEX/DEX、spot/futures 的 lead-lag、cointegration 与 price discovery。</x:v>
      </x:c>
      <x:c r="H19" s="28" t="str">
        <x:v>新兴</x:v>
      </x:c>
      <x:c r="I19" s="28" t="str">
        <x:v>直接Crypto</x:v>
      </x:c>
      <x:c r="J19" s="28" t="str">
        <x:v>提醒5m BTC模型要纳入跨交易所、spot-perp/CME lead-lag，而非只看单一序列。</x:v>
      </x:c>
      <x:c r="K19" s="28" t="str">
        <x:v>https://arxiv.org/abs/2506.08718</x:v>
      </x:c>
      <x:c r="L19" s="28" t="str"/>
      <x:c r="M19" s="28" t="str">
        <x:v>P1直接相关</x:v>
      </x:c>
    </x:row>
    <x:row r="20">
      <x:c r="A20" s="28" t="str">
        <x:v>P17</x:v>
      </x:c>
      <x:c r="B20" s="28" t="str">
        <x:v>DeepAR: Probabilistic Forecasting with Autoregressive Recurrent Networks</x:v>
      </x:c>
      <x:c r="C20" s="28" t="str">
        <x:v>David Salinas et al.</x:v>
      </x:c>
      <x:c r="D20" s="28" t="n">
        <x:v>2020</x:v>
      </x:c>
      <x:c r="E20" s="28" t="str">
        <x:v>International Journal of Forecasting</x:v>
      </x:c>
      <x:c r="F20" s="28" t="str">
        <x:v>概率深度预测</x:v>
      </x:c>
      <x:c r="G20" s="28" t="str">
        <x:v>RNN 自回归输出概率分布。</x:v>
      </x:c>
      <x:c r="H20" s="28" t="str">
        <x:v>高</x:v>
      </x:c>
      <x:c r="I20" s="28" t="str">
        <x:v>通用时间序列</x:v>
      </x:c>
      <x:c r="J20" s="28" t="str">
        <x:v>适合做 probabilistic baseline，但5m alpha需金融特化。</x:v>
      </x:c>
      <x:c r="K20" s="28" t="str">
        <x:v>https://doi.org/10.1016/j.ijforecast.2019.07.001</x:v>
      </x:c>
      <x:c r="L20" s="28" t="str"/>
      <x:c r="M20" s="28" t="str">
        <x:v>P1经典深度</x:v>
      </x:c>
    </x:row>
    <x:row r="21">
      <x:c r="A21" s="28" t="str">
        <x:v>P18</x:v>
      </x:c>
      <x:c r="B21" s="28" t="str">
        <x:v>N-BEATS: Neural Basis Expansion Analysis for Interpretable Time Series Forecasting</x:v>
      </x:c>
      <x:c r="C21" s="28" t="str">
        <x:v>Boris Oreshkin et al.</x:v>
      </x:c>
      <x:c r="D21" s="28" t="n">
        <x:v>2020</x:v>
      </x:c>
      <x:c r="E21" s="28" t="str">
        <x:v>ICLR</x:v>
      </x:c>
      <x:c r="F21" s="28" t="str">
        <x:v>MLP Forecasting</x:v>
      </x:c>
      <x:c r="G21" s="28" t="str">
        <x:v>残差式 basis expansion，简单全连接也能形成很强预测基线。</x:v>
      </x:c>
      <x:c r="H21" s="28" t="str">
        <x:v>极高</x:v>
      </x:c>
      <x:c r="I21" s="28" t="str">
        <x:v>通用时间序列</x:v>
      </x:c>
      <x:c r="J21" s="28" t="str">
        <x:v>证明不必默认 Transformer；适合建立强非注意力 benchmark。</x:v>
      </x:c>
      <x:c r="K21" s="28" t="str">
        <x:v>https://arxiv.org/abs/1905.10437</x:v>
      </x:c>
      <x:c r="L21" s="28" t="str"/>
      <x:c r="M21" s="28" t="str">
        <x:v>P0现代基线</x:v>
      </x:c>
    </x:row>
    <x:row r="22">
      <x:c r="A22" s="28" t="str">
        <x:v>P19</x:v>
      </x:c>
      <x:c r="B22" s="28" t="str">
        <x:v>Temporal Fusion Transformers for Interpretable Multi-horizon Time Series Forecasting</x:v>
      </x:c>
      <x:c r="C22" s="28" t="str">
        <x:v>Bryan Lim et al.</x:v>
      </x:c>
      <x:c r="D22" s="28" t="n">
        <x:v>2021</x:v>
      </x:c>
      <x:c r="E22" s="28" t="str">
        <x:v>International Journal of Forecasting</x:v>
      </x:c>
      <x:c r="F22" s="28" t="str">
        <x:v>Transformer / Multi-horizon</x:v>
      </x:c>
      <x:c r="G22" s="28" t="str">
        <x:v>变量选择、门控、RNN 与 attention 的多变量多 horizon 框架。</x:v>
      </x:c>
      <x:c r="H22" s="28" t="str">
        <x:v>极高</x:v>
      </x:c>
      <x:c r="I22" s="28" t="str">
        <x:v>通用时间序列</x:v>
      </x:c>
      <x:c r="J22" s="28" t="str">
        <x:v>如果 BTC 模型有大量 exogenous，它的 variable selection 很实用。</x:v>
      </x:c>
      <x:c r="K22" s="28" t="str">
        <x:v>https://arxiv.org/abs/1912.09363</x:v>
      </x:c>
      <x:c r="L22" s="28" t="str"/>
      <x:c r="M22" s="28" t="str">
        <x:v>P1</x:v>
      </x:c>
    </x:row>
    <x:row r="23">
      <x:c r="A23" s="28" t="str">
        <x:v>P20</x:v>
      </x:c>
      <x:c r="B23" s="28" t="str">
        <x:v>TS2Vec: Towards Universal Representation of Time Series</x:v>
      </x:c>
      <x:c r="C23" s="28" t="str">
        <x:v>Zhihan Yue et al.</x:v>
      </x:c>
      <x:c r="D23" s="28" t="n">
        <x:v>2021</x:v>
      </x:c>
      <x:c r="E23" s="28" t="str">
        <x:v>arXiv / AAAI 2022</x:v>
      </x:c>
      <x:c r="F23" s="28" t="str">
        <x:v>Self-supervised</x:v>
      </x:c>
      <x:c r="G23" s="28" t="str">
        <x:v>层级对比学习时间序列表征。</x:v>
      </x:c>
      <x:c r="H23" s="28" t="str">
        <x:v>高</x:v>
      </x:c>
      <x:c r="I23" s="28" t="str">
        <x:v>通用时间序列</x:v>
      </x:c>
      <x:c r="J23" s="28" t="str">
        <x:v>金融标签噪声高，先用无标签大样本预训练再下游预测非常合理。</x:v>
      </x:c>
      <x:c r="K23" s="28" t="str">
        <x:v>https://arxiv.org/abs/2106.10466</x:v>
      </x:c>
      <x:c r="L23" s="28" t="str">
        <x:v>https://github.com/yuezhihan/ts2vec</x:v>
      </x:c>
      <x:c r="M23" s="28" t="str">
        <x:v>P1低估</x:v>
      </x:c>
    </x:row>
    <x:row r="24">
      <x:c r="A24" s="28" t="str">
        <x:v>P21</x:v>
      </x:c>
      <x:c r="B24" s="28" t="str">
        <x:v>Efficiently Modeling Long Sequences with Structured State Spaces</x:v>
      </x:c>
      <x:c r="C24" s="28" t="str">
        <x:v>Albert Gu; Karan Goel; Christopher Ré</x:v>
      </x:c>
      <x:c r="D24" s="28" t="n">
        <x:v>2021</x:v>
      </x:c>
      <x:c r="E24" s="28" t="str">
        <x:v>ICLR 2022</x:v>
      </x:c>
      <x:c r="F24" s="28" t="str">
        <x:v>State Space / S4</x:v>
      </x:c>
      <x:c r="G24" s="28" t="str">
        <x:v>S4 以结构化状态空间高效处理长依赖。</x:v>
      </x:c>
      <x:c r="H24" s="28" t="str">
        <x:v>极高</x:v>
      </x:c>
      <x:c r="I24" s="28" t="str">
        <x:v>通用序列</x:v>
      </x:c>
      <x:c r="J24" s="28" t="str">
        <x:v>如果从5m下钻到秒级/事件级，长序列高效建模有意义。</x:v>
      </x:c>
      <x:c r="K24" s="28" t="str">
        <x:v>https://arxiv.org/abs/2111.00396</x:v>
      </x:c>
      <x:c r="L24" s="28" t="str"/>
      <x:c r="M24" s="28" t="str">
        <x:v>P1架构</x:v>
      </x:c>
    </x:row>
    <x:row r="25">
      <x:c r="A25" s="28" t="str">
        <x:v>P22</x:v>
      </x:c>
      <x:c r="B25" s="28" t="str">
        <x:v>N-HiTS: Neural Hierarchical Interpolation for Time Series Forecasting</x:v>
      </x:c>
      <x:c r="C25" s="28" t="str">
        <x:v>Cristian Challu et al.</x:v>
      </x:c>
      <x:c r="D25" s="28" t="n">
        <x:v>2022</x:v>
      </x:c>
      <x:c r="E25" s="28" t="str">
        <x:v>AAAI 2023</x:v>
      </x:c>
      <x:c r="F25" s="28" t="str">
        <x:v>Multi-scale MLP</x:v>
      </x:c>
      <x:c r="G25" s="28" t="str">
        <x:v>层级插值与多采样率组合，兼顾精度和效率。</x:v>
      </x:c>
      <x:c r="H25" s="28" t="str">
        <x:v>高</x:v>
      </x:c>
      <x:c r="I25" s="28" t="str">
        <x:v>通用时间序列</x:v>
      </x:c>
      <x:c r="J25" s="28" t="str">
        <x:v>多尺度结构与 BTC 的 1m/5m/15m/1h 信号天然契合。</x:v>
      </x:c>
      <x:c r="K25" s="28" t="str">
        <x:v>https://arxiv.org/abs/2201.12886</x:v>
      </x:c>
      <x:c r="L25" s="28" t="str"/>
      <x:c r="M25" s="28" t="str">
        <x:v>P0低估</x:v>
      </x:c>
    </x:row>
    <x:row r="26">
      <x:c r="A26" s="28" t="str">
        <x:v>P23</x:v>
      </x:c>
      <x:c r="B26" s="28" t="str">
        <x:v>CoST: Contrastive Learning of Disentangled Seasonal-Trend Representations for Time Series Forecasting</x:v>
      </x:c>
      <x:c r="C26" s="28" t="str">
        <x:v>Gerald Woo et al.</x:v>
      </x:c>
      <x:c r="D26" s="28" t="n">
        <x:v>2022</x:v>
      </x:c>
      <x:c r="E26" s="28" t="str">
        <x:v>ICLR / arXiv</x:v>
      </x:c>
      <x:c r="F26" s="28" t="str">
        <x:v>Self-supervised</x:v>
      </x:c>
      <x:c r="G26" s="28" t="str">
        <x:v>对比学习解耦 trend/seasonal 表示。</x:v>
      </x:c>
      <x:c r="H26" s="28" t="str">
        <x:v>高</x:v>
      </x:c>
      <x:c r="I26" s="28" t="str">
        <x:v>通用时间序列</x:v>
      </x:c>
      <x:c r="J26" s="28" t="str">
        <x:v>可把 representation 交给 ElasticNet/XGBoost，提升稳定性。</x:v>
      </x:c>
      <x:c r="K26" s="28" t="str">
        <x:v>https://arxiv.org/abs/2202.01575</x:v>
      </x:c>
      <x:c r="L26" s="28" t="str">
        <x:v>https://github.com/salesforce/CoST</x:v>
      </x:c>
      <x:c r="M26" s="28" t="str">
        <x:v>P1低估</x:v>
      </x:c>
    </x:row>
    <x:row r="27">
      <x:c r="A27" s="28" t="str">
        <x:v>P24</x:v>
      </x:c>
      <x:c r="B27" s="28" t="str">
        <x:v>Learning Latent Seasonal-Trend Representations for Time Series Forecasting</x:v>
      </x:c>
      <x:c r="C27" s="28" t="str">
        <x:v>Zhiyuan Wang et al.</x:v>
      </x:c>
      <x:c r="D27" s="28" t="n">
        <x:v>2022</x:v>
      </x:c>
      <x:c r="E27" s="28" t="str">
        <x:v>NeurIPS</x:v>
      </x:c>
      <x:c r="F27" s="28" t="str">
        <x:v>Representation Learning</x:v>
      </x:c>
      <x:c r="G27" s="28" t="str">
        <x:v>用 latent variable 解耦趋势与季节成分。</x:v>
      </x:c>
      <x:c r="H27" s="28" t="str">
        <x:v>中高</x:v>
      </x:c>
      <x:c r="I27" s="28" t="str">
        <x:v>通用时间序列</x:v>
      </x:c>
      <x:c r="J27" s="28" t="str">
        <x:v>对 vol/volume 等结构变量可能有价值。</x:v>
      </x:c>
      <x:c r="K27" s="28" t="str">
        <x:v>https://proceedings.neurips.cc/paper_files/paper/2022/hash/fd6613131889a4b656206c50a8bd7790-Abstract-Conference.html</x:v>
      </x:c>
      <x:c r="L27" s="28" t="str"/>
      <x:c r="M27" s="28" t="str">
        <x:v>P2</x:v>
      </x:c>
    </x:row>
    <x:row r="28">
      <x:c r="A28" s="28" t="str">
        <x:v>P25</x:v>
      </x:c>
      <x:c r="B28" s="28" t="str">
        <x:v>Are Transformers Effective for Time Series Forecasting?</x:v>
      </x:c>
      <x:c r="C28" s="28" t="str">
        <x:v>Ailing Zeng et al.</x:v>
      </x:c>
      <x:c r="D28" s="28" t="n">
        <x:v>2023</x:v>
      </x:c>
      <x:c r="E28" s="28" t="str">
        <x:v>AAAI</x:v>
      </x:c>
      <x:c r="F28" s="28" t="str">
        <x:v>DLinear / Critical Baseline</x:v>
      </x:c>
      <x:c r="G28" s="28" t="str">
        <x:v>显示简单线性模型可显著挑战复杂 Transformer。</x:v>
      </x:c>
      <x:c r="H28" s="28" t="str">
        <x:v>极高</x:v>
      </x:c>
      <x:c r="I28" s="28" t="str">
        <x:v>通用时间序列</x:v>
      </x:c>
      <x:c r="J28" s="28" t="str">
        <x:v>非常重要：5m BTC必须先打败 DLinear/ElasticNet/XGB，而非比论文 SOTA。</x:v>
      </x:c>
      <x:c r="K28" s="28" t="str">
        <x:v>https://ojs.aaai.org/index.php/AAAI/article/view/26317</x:v>
      </x:c>
      <x:c r="L28" s="28" t="str"/>
      <x:c r="M28" s="28" t="str">
        <x:v>P0必读</x:v>
      </x:c>
    </x:row>
    <x:row r="29">
      <x:c r="A29" s="28" t="str">
        <x:v>P26</x:v>
      </x:c>
      <x:c r="B29" s="28" t="str">
        <x:v>TimesNet: Temporal 2D-Variation Modeling for General Time Series Analysis</x:v>
      </x:c>
      <x:c r="C29" s="28" t="str">
        <x:v>Haixu Wu et al.</x:v>
      </x:c>
      <x:c r="D29" s="28" t="n">
        <x:v>2023</x:v>
      </x:c>
      <x:c r="E29" s="28" t="str">
        <x:v>ICLR</x:v>
      </x:c>
      <x:c r="F29" s="28" t="str">
        <x:v>2D Temporal</x:v>
      </x:c>
      <x:c r="G29" s="28" t="str">
        <x:v>把多周期时序转换为2D变化建模。</x:v>
      </x:c>
      <x:c r="H29" s="28" t="str">
        <x:v>极高</x:v>
      </x:c>
      <x:c r="I29" s="28" t="str">
        <x:v>通用时间序列</x:v>
      </x:c>
      <x:c r="J29" s="28" t="str">
        <x:v>可测试日内周期、资金费率周期、周末结构。</x:v>
      </x:c>
      <x:c r="K29" s="28" t="str">
        <x:v>https://openreview.net/forum?id=ju_Uqw384Oq</x:v>
      </x:c>
      <x:c r="L29" s="28" t="str"/>
      <x:c r="M29" s="28" t="str">
        <x:v>P1</x:v>
      </x:c>
    </x:row>
    <x:row r="30">
      <x:c r="A30" s="28" t="str">
        <x:v>P27</x:v>
      </x:c>
      <x:c r="B30" s="28" t="str">
        <x:v>A Time Series is Worth 64 Words: Long-term Forecasting with Transformers</x:v>
      </x:c>
      <x:c r="C30" s="28" t="str">
        <x:v>Yuqi Nie et al.</x:v>
      </x:c>
      <x:c r="D30" s="28" t="n">
        <x:v>2023</x:v>
      </x:c>
      <x:c r="E30" s="28" t="str">
        <x:v>ICLR</x:v>
      </x:c>
      <x:c r="F30" s="28" t="str">
        <x:v>PatchTST</x:v>
      </x:c>
      <x:c r="G30" s="28" t="str">
        <x:v>patch + channel independence 改善长 lookback 与自监督预训练。</x:v>
      </x:c>
      <x:c r="H30" s="28" t="str">
        <x:v>极高</x:v>
      </x:c>
      <x:c r="I30" s="28" t="str">
        <x:v>通用时间序列</x:v>
      </x:c>
      <x:c r="J30" s="28" t="str">
        <x:v>现代 Transformer 强基线；可结合多币种自监督。</x:v>
      </x:c>
      <x:c r="K30" s="28" t="str">
        <x:v>https://arxiv.org/abs/2211.14730</x:v>
      </x:c>
      <x:c r="L30" s="28" t="str">
        <x:v>https://github.com/yuqinie98/PatchTST</x:v>
      </x:c>
      <x:c r="M30" s="28" t="str">
        <x:v>P0现代基线</x:v>
      </x:c>
    </x:row>
    <x:row r="31">
      <x:c r="A31" s="28" t="str">
        <x:v>P28</x:v>
      </x:c>
      <x:c r="B31" s="28" t="str">
        <x:v>Non-autoregressive Conditional Diffusion Models for Time Series Prediction</x:v>
      </x:c>
      <x:c r="C31" s="28" t="str">
        <x:v>Shen et al.</x:v>
      </x:c>
      <x:c r="D31" s="28" t="n">
        <x:v>2023</x:v>
      </x:c>
      <x:c r="E31" s="28" t="str">
        <x:v>ICML</x:v>
      </x:c>
      <x:c r="F31" s="28" t="str">
        <x:v>Diffusion Forecasting</x:v>
      </x:c>
      <x:c r="G31" s="28" t="str">
        <x:v>TimeDiff 用非自回归扩散进行条件概率预测。</x:v>
      </x:c>
      <x:c r="H31" s="28" t="str">
        <x:v>高</x:v>
      </x:c>
      <x:c r="I31" s="28" t="str">
        <x:v>通用时间序列</x:v>
      </x:c>
      <x:c r="J31" s="28" t="str">
        <x:v>适合收益分布/路径生成，但不应以低延迟方向 alpha 为主诉求。</x:v>
      </x:c>
      <x:c r="K31" s="28" t="str">
        <x:v>https://proceedings.mlr.press/v202/shen23d.html</x:v>
      </x:c>
      <x:c r="L31" s="28" t="str"/>
      <x:c r="M31" s="28" t="str">
        <x:v>P2</x:v>
      </x:c>
    </x:row>
    <x:row r="32">
      <x:c r="A32" s="28" t="str">
        <x:v>P29</x:v>
      </x:c>
      <x:c r="B32" s="28" t="str">
        <x:v>Koopa: Learning Non-stationary Time Series Dynamics with Koopman Predictors</x:v>
      </x:c>
      <x:c r="C32" s="28" t="str">
        <x:v>Yong Liu et al.</x:v>
      </x:c>
      <x:c r="D32" s="28" t="n">
        <x:v>2023</x:v>
      </x:c>
      <x:c r="E32" s="28" t="str">
        <x:v>NeurIPS / arXiv</x:v>
      </x:c>
      <x:c r="F32" s="28" t="str">
        <x:v>Koopman / Nonstationary</x:v>
      </x:c>
      <x:c r="G32" s="28" t="str">
        <x:v>用 Koopman operator 与 Fourier filter 学习时变/时不变动力学。</x:v>
      </x:c>
      <x:c r="H32" s="28" t="str">
        <x:v>高</x:v>
      </x:c>
      <x:c r="I32" s="28" t="str">
        <x:v>通用时间序列</x:v>
      </x:c>
      <x:c r="J32" s="28" t="str">
        <x:v>非平稳是 BTC 核心问题；非常值得实测。</x:v>
      </x:c>
      <x:c r="K32" s="28" t="str">
        <x:v>https://arxiv.org/abs/2305.18803</x:v>
      </x:c>
      <x:c r="L32" s="28" t="str"/>
      <x:c r="M32" s="28" t="str">
        <x:v>P0低估</x:v>
      </x:c>
    </x:row>
    <x:row r="33">
      <x:c r="A33" s="28" t="str">
        <x:v>P30</x:v>
      </x:c>
      <x:c r="B33" s="28" t="str">
        <x:v>Mamba: Linear-Time Sequence Modeling with Selective State Spaces</x:v>
      </x:c>
      <x:c r="C33" s="28" t="str">
        <x:v>Albert Gu; Tri Dao</x:v>
      </x:c>
      <x:c r="D33" s="28" t="n">
        <x:v>2023</x:v>
      </x:c>
      <x:c r="E33" s="28" t="str">
        <x:v>arXiv</x:v>
      </x:c>
      <x:c r="F33" s="28" t="str">
        <x:v>Selective State Space</x:v>
      </x:c>
      <x:c r="G33" s="28" t="str">
        <x:v>输入依赖的 SSM 以线性复杂度处理长序列。</x:v>
      </x:c>
      <x:c r="H33" s="28" t="str">
        <x:v>极高</x:v>
      </x:c>
      <x:c r="I33" s="28" t="str">
        <x:v>通用序列</x:v>
      </x:c>
      <x:c r="J33" s="28" t="str">
        <x:v>适合长 event stream encoder；但原始论文不是金融预测。</x:v>
      </x:c>
      <x:c r="K33" s="28" t="str">
        <x:v>https://arxiv.org/abs/2312.00752</x:v>
      </x:c>
      <x:c r="L33" s="28" t="str"/>
      <x:c r="M33" s="28" t="str">
        <x:v>P1架构</x:v>
      </x:c>
    </x:row>
    <x:row r="34">
      <x:c r="A34" s="28" t="str">
        <x:v>P31</x:v>
      </x:c>
      <x:c r="B34" s="28" t="str">
        <x:v>iTransformer: Inverted Transformers Are Effective for Time Series Forecasting</x:v>
      </x:c>
      <x:c r="C34" s="28" t="str">
        <x:v>Yong Liu et al.</x:v>
      </x:c>
      <x:c r="D34" s="28" t="n">
        <x:v>2024</x:v>
      </x:c>
      <x:c r="E34" s="28" t="str">
        <x:v>ICLR</x:v>
      </x:c>
      <x:c r="F34" s="28" t="str">
        <x:v>Variate Transformer</x:v>
      </x:c>
      <x:c r="G34" s="28" t="str">
        <x:v>把变量作为 token，attention 直接学跨变量关系。</x:v>
      </x:c>
      <x:c r="H34" s="28" t="str">
        <x:v>极高</x:v>
      </x:c>
      <x:c r="I34" s="28" t="str">
        <x:v>通用时间序列</x:v>
      </x:c>
      <x:c r="J34" s="28" t="str">
        <x:v>特别适合 BTC + ETH + basis + OI + funding + cross-venue 多变量。</x:v>
      </x:c>
      <x:c r="K34" s="28" t="str">
        <x:v>https://arxiv.org/abs/2310.06625</x:v>
      </x:c>
      <x:c r="L34" s="28" t="str">
        <x:v>https://github.com/thuml/iTransformer</x:v>
      </x:c>
      <x:c r="M34" s="28" t="str">
        <x:v>P0现代基线</x:v>
      </x:c>
    </x:row>
    <x:row r="35">
      <x:c r="A35" s="28" t="str">
        <x:v>P32</x:v>
      </x:c>
      <x:c r="B35" s="28" t="str">
        <x:v>TimeMixer: Decomposable Multiscale Mixing for Time Series Forecasting</x:v>
      </x:c>
      <x:c r="C35" s="28" t="str">
        <x:v>Shiyu Wang et al.</x:v>
      </x:c>
      <x:c r="D35" s="28" t="n">
        <x:v>2024</x:v>
      </x:c>
      <x:c r="E35" s="28" t="str">
        <x:v>ICLR</x:v>
      </x:c>
      <x:c r="F35" s="28" t="str">
        <x:v>Multi-scale MLP</x:v>
      </x:c>
      <x:c r="G35" s="28" t="str">
        <x:v>在多尺度上分解并混合 trend/seasonal，预测端再做多预测器融合。</x:v>
      </x:c>
      <x:c r="H35" s="28" t="str">
        <x:v>高</x:v>
      </x:c>
      <x:c r="I35" s="28" t="str">
        <x:v>通用时间序列</x:v>
      </x:c>
      <x:c r="J35" s="28" t="str">
        <x:v>对5m BTC多尺度设计非常契合，且比大型 Transformer 轻。</x:v>
      </x:c>
      <x:c r="K35" s="28" t="str">
        <x:v>https://arxiv.org/abs/2405.14616</x:v>
      </x:c>
      <x:c r="L35" s="28" t="str"/>
      <x:c r="M35" s="28" t="str">
        <x:v>P0前沿低估</x:v>
      </x:c>
    </x:row>
    <x:row r="36">
      <x:c r="A36" s="28" t="str">
        <x:v>P33</x:v>
      </x:c>
      <x:c r="B36" s="28" t="str">
        <x:v>Chronos: Learning the Language of Time Series</x:v>
      </x:c>
      <x:c r="C36" s="28" t="str">
        <x:v>Abdul Fatir Ansari et al.</x:v>
      </x:c>
      <x:c r="D36" s="28" t="n">
        <x:v>2024</x:v>
      </x:c>
      <x:c r="E36" s="28" t="str">
        <x:v>arXiv</x:v>
      </x:c>
      <x:c r="F36" s="28" t="str">
        <x:v>TS Foundation Model</x:v>
      </x:c>
      <x:c r="G36" s="28" t="str">
        <x:v>量化连续值为 token，训练语言模型式概率 forecaster。</x:v>
      </x:c>
      <x:c r="H36" s="28" t="str">
        <x:v>极高</x:v>
      </x:c>
      <x:c r="I36" s="28" t="str">
        <x:v>通用TSFM</x:v>
      </x:c>
      <x:c r="J36" s="28" t="str">
        <x:v>适合 zero-shot/few-shot 概率 benchmark；金融域需谨慎。</x:v>
      </x:c>
      <x:c r="K36" s="28" t="str">
        <x:v>https://arxiv.org/abs/2403.07815</x:v>
      </x:c>
      <x:c r="L36" s="28" t="str"/>
      <x:c r="M36" s="28" t="str">
        <x:v>P1 TSFM</x:v>
      </x:c>
    </x:row>
    <x:row r="37">
      <x:c r="A37" s="28" t="str">
        <x:v>P34</x:v>
      </x:c>
      <x:c r="B37" s="28" t="str">
        <x:v>A decoder-only foundation model for time-series forecasting (TimesFM)</x:v>
      </x:c>
      <x:c r="C37" s="28" t="str">
        <x:v>Abhimanyu Das et al.</x:v>
      </x:c>
      <x:c r="D37" s="28" t="n">
        <x:v>2024</x:v>
      </x:c>
      <x:c r="E37" s="28" t="str">
        <x:v>arXiv</x:v>
      </x:c>
      <x:c r="F37" s="28" t="str">
        <x:v>TS Foundation Model</x:v>
      </x:c>
      <x:c r="G37" s="28" t="str">
        <x:v>patched decoder-only foundation forecaster。</x:v>
      </x:c>
      <x:c r="H37" s="28" t="str">
        <x:v>极高</x:v>
      </x:c>
      <x:c r="I37" s="28" t="str">
        <x:v>通用TSFM</x:v>
      </x:c>
      <x:c r="J37" s="28" t="str">
        <x:v>作为通用零样本 benchmark，而不是默认 production alpha。</x:v>
      </x:c>
      <x:c r="K37" s="28" t="str">
        <x:v>https://arxiv.org/abs/2310.10688</x:v>
      </x:c>
      <x:c r="L37" s="28" t="str"/>
      <x:c r="M37" s="28" t="str">
        <x:v>P1 TSFM</x:v>
      </x:c>
    </x:row>
    <x:row r="38">
      <x:c r="A38" s="28" t="str">
        <x:v>P35</x:v>
      </x:c>
      <x:c r="B38" s="28" t="str">
        <x:v>Lag-Llama: Towards Foundation Models for Probabilistic Time Series Forecasting</x:v>
      </x:c>
      <x:c r="C38" s="28" t="str">
        <x:v>Kashif Rasul et al.</x:v>
      </x:c>
      <x:c r="D38" s="28" t="n">
        <x:v>2024</x:v>
      </x:c>
      <x:c r="E38" s="28" t="str">
        <x:v>arXiv</x:v>
      </x:c>
      <x:c r="F38" s="28" t="str">
        <x:v>TS Foundation Model</x:v>
      </x:c>
      <x:c r="G38" s="28" t="str">
        <x:v>decoder-only + lags 的概率基础模型。</x:v>
      </x:c>
      <x:c r="H38" s="28" t="str">
        <x:v>高</x:v>
      </x:c>
      <x:c r="I38" s="28" t="str">
        <x:v>通用TSFM</x:v>
      </x:c>
      <x:c r="J38" s="28" t="str">
        <x:v>概率输出和 few-shot 有用，但需要金融特化。</x:v>
      </x:c>
      <x:c r="K38" s="28" t="str">
        <x:v>https://arxiv.org/abs/2310.08278</x:v>
      </x:c>
      <x:c r="L38" s="28" t="str"/>
      <x:c r="M38" s="28" t="str">
        <x:v>P2 TSFM</x:v>
      </x:c>
    </x:row>
    <x:row r="39">
      <x:c r="A39" s="28" t="str">
        <x:v>P36</x:v>
      </x:c>
      <x:c r="B39" s="28" t="str">
        <x:v>Unified Training of Universal Time Series Forecasting Transformers (Moirai)</x:v>
      </x:c>
      <x:c r="C39" s="28" t="str">
        <x:v>Gerald Woo et al.</x:v>
      </x:c>
      <x:c r="D39" s="28" t="n">
        <x:v>2024</x:v>
      </x:c>
      <x:c r="E39" s="28" t="str">
        <x:v>ICML</x:v>
      </x:c>
      <x:c r="F39" s="28" t="str">
        <x:v>TS Foundation Model</x:v>
      </x:c>
      <x:c r="G39" s="28" t="str">
        <x:v>统一多频率、多变量的通用 forecasting Transformer。</x:v>
      </x:c>
      <x:c r="H39" s="28" t="str">
        <x:v>高</x:v>
      </x:c>
      <x:c r="I39" s="28" t="str">
        <x:v>通用TSFM</x:v>
      </x:c>
      <x:c r="J39" s="28" t="str">
        <x:v>适合研究跨币种/跨频率预训练。</x:v>
      </x:c>
      <x:c r="K39" s="28" t="str">
        <x:v>https://proceedings.mlr.press/v235/woo24a.html</x:v>
      </x:c>
      <x:c r="L39" s="28" t="str"/>
      <x:c r="M39" s="28" t="str">
        <x:v>P1 TSFM</x:v>
      </x:c>
    </x:row>
    <x:row r="40">
      <x:c r="A40" s="28" t="str">
        <x:v>P37</x:v>
      </x:c>
      <x:c r="B40" s="28" t="str">
        <x:v>MOMENT: A Family of Open Time-series Foundation Models</x:v>
      </x:c>
      <x:c r="C40" s="28" t="str">
        <x:v>Mononito Goswami et al.</x:v>
      </x:c>
      <x:c r="D40" s="28" t="n">
        <x:v>2024</x:v>
      </x:c>
      <x:c r="E40" s="28" t="str">
        <x:v>arXiv / ICML</x:v>
      </x:c>
      <x:c r="F40" s="28" t="str">
        <x:v>TS Foundation Model</x:v>
      </x:c>
      <x:c r="G40" s="28" t="str">
        <x:v>开放的通用时间序列 foundation model 家族。</x:v>
      </x:c>
      <x:c r="H40" s="28" t="str">
        <x:v>高</x:v>
      </x:c>
      <x:c r="I40" s="28" t="str">
        <x:v>通用TSFM</x:v>
      </x:c>
      <x:c r="J40" s="28" t="str">
        <x:v>embedding + simple head 可能比直接 zero-shot 更实用。</x:v>
      </x:c>
      <x:c r="K40" s="28" t="str">
        <x:v>https://arxiv.org/abs/2402.03885</x:v>
      </x:c>
      <x:c r="L40" s="28" t="str"/>
      <x:c r="M40" s="28" t="str">
        <x:v>P2 TSFM</x:v>
      </x:c>
    </x:row>
    <x:row r="41">
      <x:c r="A41" s="28" t="str">
        <x:v>P38</x:v>
      </x:c>
      <x:c r="B41" s="28" t="str">
        <x:v>Timer: Generative Pre-trained Transformers Are Large Time Series Models</x:v>
      </x:c>
      <x:c r="C41" s="28" t="str">
        <x:v>Yong Liu et al.</x:v>
      </x:c>
      <x:c r="D41" s="28" t="n">
        <x:v>2024</x:v>
      </x:c>
      <x:c r="E41" s="28" t="str">
        <x:v>arXiv</x:v>
      </x:c>
      <x:c r="F41" s="28" t="str">
        <x:v>Large Time Series Model</x:v>
      </x:c>
      <x:c r="G41" s="28" t="str">
        <x:v>GPT-style generative pretraining，统一预测/插补/异常。</x:v>
      </x:c>
      <x:c r="H41" s="28" t="str">
        <x:v>高</x:v>
      </x:c>
      <x:c r="I41" s="28" t="str">
        <x:v>通用TSFM</x:v>
      </x:c>
      <x:c r="J41" s="28" t="str">
        <x:v>适合大规模多币种预训练研究。</x:v>
      </x:c>
      <x:c r="K41" s="28" t="str">
        <x:v>https://arxiv.org/abs/2402.02368</x:v>
      </x:c>
      <x:c r="L41" s="28" t="str"/>
      <x:c r="M41" s="28" t="str">
        <x:v>P2 TSFM</x:v>
      </x:c>
    </x:row>
    <x:row r="42">
      <x:c r="A42" s="28" t="str">
        <x:v>P39</x:v>
      </x:c>
      <x:c r="B42" s="28" t="str">
        <x:v>Tiny Time Mixers: Fast Pre-trained Models for Enhanced Zero/Few-Shot Forecasting</x:v>
      </x:c>
      <x:c r="C42" s="28" t="str">
        <x:v>Vijay Ekambaram et al.</x:v>
      </x:c>
      <x:c r="D42" s="28" t="n">
        <x:v>2024</x:v>
      </x:c>
      <x:c r="E42" s="28" t="str">
        <x:v>arXiv</x:v>
      </x:c>
      <x:c r="F42" s="28" t="str">
        <x:v>Lightweight TSFM</x:v>
      </x:c>
      <x:c r="G42" s="28" t="str">
        <x:v>约百万级参数的轻量预训练 TSMixer，多分辨率且可融入外生变量。</x:v>
      </x:c>
      <x:c r="H42" s="28" t="str">
        <x:v>高</x:v>
      </x:c>
      <x:c r="I42" s="28" t="str">
        <x:v>通用TSFM</x:v>
      </x:c>
      <x:c r="J42" s="28" t="str">
        <x:v>更符合高频生产的成本约束，我认为值得优先于巨型 TSFM。</x:v>
      </x:c>
      <x:c r="K42" s="28" t="str">
        <x:v>https://arxiv.org/abs/2401.03955</x:v>
      </x:c>
      <x:c r="L42" s="28" t="str"/>
      <x:c r="M42" s="28" t="str">
        <x:v>P0低估</x:v>
      </x:c>
    </x:row>
    <x:row r="43">
      <x:c r="A43" s="28" t="str">
        <x:v>P40</x:v>
      </x:c>
      <x:c r="B43" s="28" t="str">
        <x:v>Time-MoE: Billion-Scale Time Series Foundation Models with Mixture of Experts</x:v>
      </x:c>
      <x:c r="C43" s="28" t="str">
        <x:v>Xiaoming Shi et al.</x:v>
      </x:c>
      <x:c r="D43" s="28" t="n">
        <x:v>2024</x:v>
      </x:c>
      <x:c r="E43" s="28" t="str">
        <x:v>arXiv</x:v>
      </x:c>
      <x:c r="F43" s="28" t="str">
        <x:v>MoE TSFM</x:v>
      </x:c>
      <x:c r="G43" s="28" t="str">
        <x:v>稀疏专家路由把 TSFM 扩展到十亿级参数。</x:v>
      </x:c>
      <x:c r="H43" s="28" t="str">
        <x:v>前沿</x:v>
      </x:c>
      <x:c r="I43" s="28" t="str">
        <x:v>通用TSFM</x:v>
      </x:c>
      <x:c r="J43" s="28" t="str">
        <x:v>代表可自动模式 specialization 的方向，但成本高。</x:v>
      </x:c>
      <x:c r="K43" s="28" t="str">
        <x:v>https://arxiv.org/abs/2409.16040</x:v>
      </x:c>
      <x:c r="L43" s="28" t="str"/>
      <x:c r="M43" s="28" t="str">
        <x:v>P2研究</x:v>
      </x:c>
    </x:row>
    <x:row r="44">
      <x:c r="A44" s="28" t="str">
        <x:v>P41</x:v>
      </x:c>
      <x:c r="B44" s="28" t="str">
        <x:v>Moirai-MoE: Empowering Time Series Foundation Models with Sparse Mixture of Experts</x:v>
      </x:c>
      <x:c r="C44" s="28" t="str">
        <x:v>Xu Liu et al.</x:v>
      </x:c>
      <x:c r="D44" s="28" t="n">
        <x:v>2024</x:v>
      </x:c>
      <x:c r="E44" s="28" t="str">
        <x:v>arXiv</x:v>
      </x:c>
      <x:c r="F44" s="28" t="str">
        <x:v>MoE TSFM</x:v>
      </x:c>
      <x:c r="G44" s="28" t="str">
        <x:v>用 token-level sparse expert 替代粗粒度频率 specialization。</x:v>
      </x:c>
      <x:c r="H44" s="28" t="str">
        <x:v>前沿</x:v>
      </x:c>
      <x:c r="I44" s="28" t="str">
        <x:v>通用TSFM</x:v>
      </x:c>
      <x:c r="J44" s="28" t="str">
        <x:v>nonstationary 模式自动路由思想对金融很有启发。</x:v>
      </x:c>
      <x:c r="K44" s="28" t="str">
        <x:v>https://arxiv.org/abs/2410.10469</x:v>
      </x:c>
      <x:c r="L44" s="28" t="str"/>
      <x:c r="M44" s="28" t="str">
        <x:v>P2研究</x:v>
      </x:c>
    </x:row>
    <x:row r="45">
      <x:c r="A45" s="28" t="str">
        <x:v>P42</x:v>
      </x:c>
      <x:c r="B45" s="28" t="str">
        <x:v>Transformer-Modulated Diffusion Models for Probabilistic Multivariate Time Series Forecasting</x:v>
      </x:c>
      <x:c r="C45" s="28" t="str">
        <x:v>Yuxin Li et al.</x:v>
      </x:c>
      <x:c r="D45" s="28" t="n">
        <x:v>2024</x:v>
      </x:c>
      <x:c r="E45" s="28" t="str">
        <x:v>ICLR</x:v>
      </x:c>
      <x:c r="F45" s="28" t="str">
        <x:v>Diffusion + Transformer</x:v>
      </x:c>
      <x:c r="G45" s="28" t="str">
        <x:v>把 Transformer 信息融入扩散，输出多变量概率分布。</x:v>
      </x:c>
      <x:c r="H45" s="28" t="str">
        <x:v>中高</x:v>
      </x:c>
      <x:c r="I45" s="28" t="str">
        <x:v>通用时间序列</x:v>
      </x:c>
      <x:c r="J45" s="28" t="str">
        <x:v>适合做风险/分布层，而非单纯 direction。</x:v>
      </x:c>
      <x:c r="K45" s="28" t="str">
        <x:v>https://openreview.net/forum?id=qae04YACHs</x:v>
      </x:c>
      <x:c r="L45" s="28" t="str"/>
      <x:c r="M45" s="28" t="str">
        <x:v>P2</x:v>
      </x:c>
    </x:row>
    <x:row r="46">
      <x:c r="A46" s="28" t="str">
        <x:v>P43</x:v>
      </x:c>
      <x:c r="B46" s="28" t="str">
        <x:v>Sundial: A Family of Highly Capable Time Series Foundation Models</x:v>
      </x:c>
      <x:c r="C46" s="28" t="str">
        <x:v>Yong Liu et al.</x:v>
      </x:c>
      <x:c r="D46" s="28" t="n">
        <x:v>2025</x:v>
      </x:c>
      <x:c r="E46" s="28" t="str">
        <x:v>arXiv</x:v>
      </x:c>
      <x:c r="F46" s="28" t="str">
        <x:v>Flow-based TSFM</x:v>
      </x:c>
      <x:c r="G46" s="28" t="str">
        <x:v>TimeFlow Loss + flow matching 直接建 next-patch 分布。</x:v>
      </x:c>
      <x:c r="H46" s="28" t="str">
        <x:v>前沿</x:v>
      </x:c>
      <x:c r="I46" s="28" t="str">
        <x:v>通用TSFM</x:v>
      </x:c>
      <x:c r="J46" s="28" t="str">
        <x:v>概率预测新范式；需看金融校准和 OOS 经济价值。</x:v>
      </x:c>
      <x:c r="K46" s="28" t="str">
        <x:v>https://arxiv.org/abs/2502.00816</x:v>
      </x:c>
      <x:c r="L46" s="28" t="str"/>
      <x:c r="M46" s="28" t="str">
        <x:v>P2研究</x:v>
      </x:c>
    </x:row>
    <x:row r="47">
      <x:c r="A47" s="28" t="str">
        <x:v>P44</x:v>
      </x:c>
      <x:c r="B47" s="28" t="str">
        <x:v>A Closer Look at Transformers for Time Series Forecasting</x:v>
      </x:c>
      <x:c r="C47" s="28" t="str">
        <x:v>Yu Chen et al.</x:v>
      </x:c>
      <x:c r="D47" s="28" t="n">
        <x:v>2025</x:v>
      </x:c>
      <x:c r="E47" s="28" t="str">
        <x:v>ICML</x:v>
      </x:c>
      <x:c r="F47" s="28" t="str">
        <x:v>Transformer Analysis</x:v>
      </x:c>
      <x:c r="G47" s="28" t="str">
        <x:v>分析 point/patch/variate tokenization 下 Transformer 为什么有效、哪里失效。</x:v>
      </x:c>
      <x:c r="H47" s="28" t="str">
        <x:v>高</x:v>
      </x:c>
      <x:c r="I47" s="28" t="str">
        <x:v>通用时间序列</x:v>
      </x:c>
      <x:c r="J47" s="28" t="str">
        <x:v>帮助选择 PatchTST vs iTransformer，而不是盲目堆 attention。</x:v>
      </x:c>
      <x:c r="K47" s="28" t="str">
        <x:v>https://proceedings.mlr.press/v267/chen25f.html</x:v>
      </x:c>
      <x:c r="L47" s="28" t="str"/>
      <x:c r="M47" s="28" t="str">
        <x:v>P0方法论</x:v>
      </x:c>
    </x:row>
    <x:row r="48">
      <x:c r="A48" s="28" t="str">
        <x:v>P45</x:v>
      </x:c>
      <x:c r="B48" s="28" t="str">
        <x:v>Temporal Query Network for Efficient Multivariate Time Series Forecasting</x:v>
      </x:c>
      <x:c r="C48" s="28" t="str">
        <x:v>Shengsheng Lin et al.</x:v>
      </x:c>
      <x:c r="D48" s="28" t="n">
        <x:v>2025</x:v>
      </x:c>
      <x:c r="E48" s="28" t="str">
        <x:v>ICML</x:v>
      </x:c>
      <x:c r="F48" s="28" t="str">
        <x:v>Efficient MTS</x:v>
      </x:c>
      <x:c r="G48" s="28" t="str">
        <x:v>高效建模跨变量相关，兼顾计算成本。</x:v>
      </x:c>
      <x:c r="H48" s="28" t="str">
        <x:v>新兴</x:v>
      </x:c>
      <x:c r="I48" s="28" t="str">
        <x:v>通用时间序列</x:v>
      </x:c>
      <x:c r="J48" s="28" t="str">
        <x:v>高维 exogenous 的低延迟候选。</x:v>
      </x:c>
      <x:c r="K48" s="28" t="str">
        <x:v>https://proceedings.mlr.press/v267/lin25e.html</x:v>
      </x:c>
      <x:c r="L48" s="28" t="str"/>
      <x:c r="M48" s="28" t="str">
        <x:v>P1前沿</x:v>
      </x:c>
    </x:row>
    <x:row r="49">
      <x:c r="A49" s="28" t="str">
        <x:v>P46</x:v>
      </x:c>
      <x:c r="B49" s="28" t="str">
        <x:v>CMoS: Rethinking Time Series Prediction Through the Lens of Chunk-wise Spatial Correlations</x:v>
      </x:c>
      <x:c r="C49" s="28" t="str">
        <x:v>Haotian Si et al.</x:v>
      </x:c>
      <x:c r="D49" s="28" t="n">
        <x:v>2025</x:v>
      </x:c>
      <x:c r="E49" s="28" t="str">
        <x:v>ICML</x:v>
      </x:c>
      <x:c r="F49" s="28" t="str">
        <x:v>Lightweight MTS</x:v>
      </x:c>
      <x:c r="G49" s="28" t="str">
        <x:v>极少参数的 chunk-wise correlation 模型。</x:v>
      </x:c>
      <x:c r="H49" s="28" t="str">
        <x:v>新兴</x:v>
      </x:c>
      <x:c r="I49" s="28" t="str">
        <x:v>通用时间序列</x:v>
      </x:c>
      <x:c r="J49" s="28" t="str">
        <x:v>高频任务频繁重训时，小模型可能优于大模型。</x:v>
      </x:c>
      <x:c r="K49" s="28" t="str">
        <x:v>https://proceedings.mlr.press/v267/si25a.html</x:v>
      </x:c>
      <x:c r="L49" s="28" t="str"/>
      <x:c r="M49" s="28" t="str">
        <x:v>P1低估</x:v>
      </x:c>
    </x:row>
    <x:row r="50">
      <x:c r="A50" s="28" t="str">
        <x:v>P47</x:v>
      </x:c>
      <x:c r="B50" s="28" t="str">
        <x:v>TimeFilter: Patch-Specific Spatial-Temporal Graph Filtration for Time Series Forecasting</x:v>
      </x:c>
      <x:c r="C50" s="28" t="str">
        <x:v>Yifan Hu et al.</x:v>
      </x:c>
      <x:c r="D50" s="28" t="n">
        <x:v>2025</x:v>
      </x:c>
      <x:c r="E50" s="28" t="str">
        <x:v>ICML</x:v>
      </x:c>
      <x:c r="F50" s="28" t="str">
        <x:v>Graph Time Series</x:v>
      </x:c>
      <x:c r="G50" s="28" t="str">
        <x:v>动态过滤 patch-specific 空间-时间关系。</x:v>
      </x:c>
      <x:c r="H50" s="28" t="str">
        <x:v>新兴</x:v>
      </x:c>
      <x:c r="I50" s="28" t="str">
        <x:v>通用时间序列</x:v>
      </x:c>
      <x:c r="J50" s="28" t="str">
        <x:v>适合多资产/多交易所图结构，但需要防伪相关。</x:v>
      </x:c>
      <x:c r="K50" s="28" t="str">
        <x:v>https://proceedings.mlr.press/v267/hu25ac.html</x:v>
      </x:c>
      <x:c r="L50" s="28" t="str"/>
      <x:c r="M50" s="28" t="str">
        <x:v>P2</x:v>
      </x:c>
    </x:row>
    <x:row r="51">
      <x:c r="A51" s="28" t="str">
        <x:v>P48</x:v>
      </x:c>
      <x:c r="B51" s="28" t="str">
        <x:v>Patch-wise Structural Loss for Time Series Forecasting</x:v>
      </x:c>
      <x:c r="C51" s="28" t="str">
        <x:v>Dilfira Kudrat et al.</x:v>
      </x:c>
      <x:c r="D51" s="28" t="n">
        <x:v>2025</x:v>
      </x:c>
      <x:c r="E51" s="28" t="str">
        <x:v>ICML</x:v>
      </x:c>
      <x:c r="F51" s="28" t="str">
        <x:v>Loss Function</x:v>
      </x:c>
      <x:c r="G51" s="28" t="str">
        <x:v>用 patch-wise structural loss 替代只看逐点 MSE。</x:v>
      </x:c>
      <x:c r="H51" s="28" t="str">
        <x:v>新兴</x:v>
      </x:c>
      <x:c r="I51" s="28" t="str">
        <x:v>通用时间序列</x:v>
      </x:c>
      <x:c r="J51" s="28" t="str">
        <x:v>金融预测目标设计往往比 backbone 更关键，值得关注。</x:v>
      </x:c>
      <x:c r="K51" s="28" t="str">
        <x:v>https://proceedings.mlr.press/v267/kudrat25a.html</x:v>
      </x:c>
      <x:c r="L51" s="28" t="str"/>
      <x:c r="M51" s="28" t="str">
        <x:v>P1低估</x:v>
      </x:c>
    </x:row>
    <x:row r="52">
      <x:c r="A52" s="28" t="str">
        <x:v>P49</x:v>
      </x:c>
      <x:c r="B52" s="28" t="str">
        <x:v>DBLoss: Decomposition-based Loss Function for Time Series Forecasting</x:v>
      </x:c>
      <x:c r="C52" s="28" t="str">
        <x:v>Xiangfei Qiu et al.</x:v>
      </x:c>
      <x:c r="D52" s="28" t="n">
        <x:v>2025</x:v>
      </x:c>
      <x:c r="E52" s="28" t="str">
        <x:v>NeurIPS</x:v>
      </x:c>
      <x:c r="F52" s="28" t="str">
        <x:v>Loss Function</x:v>
      </x:c>
      <x:c r="G52" s="28" t="str">
        <x:v>将预测窗口分解为趋势/季节成分分别计算 loss。</x:v>
      </x:c>
      <x:c r="H52" s="28" t="str">
        <x:v>新兴</x:v>
      </x:c>
      <x:c r="I52" s="28" t="str">
        <x:v>通用时间序列</x:v>
      </x:c>
      <x:c r="J52" s="28" t="str">
        <x:v>提示应认真设计 loss，而不是只换 backbone。</x:v>
      </x:c>
      <x:c r="K52" s="28" t="str">
        <x:v>https://proceedings.neurips.cc/paper_files/paper/2025/hash/2823c4f838727564c108c85d7e6e8507-Abstract-Conference.html</x:v>
      </x:c>
      <x:c r="L52" s="28" t="str"/>
      <x:c r="M52" s="28" t="str">
        <x:v>P2</x:v>
      </x:c>
    </x:row>
    <x:row r="53">
      <x:c r="A53" s="28" t="str">
        <x:v>P50</x:v>
      </x:c>
      <x:c r="B53" s="28" t="str">
        <x:v>A Foundation Model for Financial Time-Series Forecasting (FinCast)</x:v>
      </x:c>
      <x:c r="C53" s="28" t="str">
        <x:v>Zhuohang Zhu et al.</x:v>
      </x:c>
      <x:c r="D53" s="28" t="n">
        <x:v>2025</x:v>
      </x:c>
      <x:c r="E53" s="28" t="str">
        <x:v>arXiv</x:v>
      </x:c>
      <x:c r="F53" s="28" t="str">
        <x:v>Financial TSFM</x:v>
      </x:c>
      <x:c r="G53" s="28" t="str">
        <x:v>针对金融时序做领域预训练。</x:v>
      </x:c>
      <x:c r="H53" s="28" t="str">
        <x:v>前沿</x:v>
      </x:c>
      <x:c r="I53" s="28" t="str">
        <x:v>金融</x:v>
      </x:c>
      <x:c r="J53" s="28" t="str">
        <x:v>金融 domain-specific pretraining 比通用 TSFM 更值得关注。</x:v>
      </x:c>
      <x:c r="K53" s="28" t="str">
        <x:v>https://arxiv.org/abs/2508.19609</x:v>
      </x:c>
      <x:c r="L53" s="28" t="str"/>
      <x:c r="M53" s="28" t="str">
        <x:v>P1前沿</x:v>
      </x:c>
    </x:row>
    <x:row r="54">
      <x:c r="A54" s="28" t="str">
        <x:v>P51</x:v>
      </x:c>
      <x:c r="B54" s="28" t="str">
        <x:v>Time Series Foundation Models for Multivariate Financial Time Series Forecasting</x:v>
      </x:c>
      <x:c r="C54" s="28" t="str">
        <x:v>Ben A. Marconi</x:v>
      </x:c>
      <x:c r="D54" s="28" t="n">
        <x:v>2025</x:v>
      </x:c>
      <x:c r="E54" s="28" t="str">
        <x:v>arXiv</x:v>
      </x:c>
      <x:c r="F54" s="28" t="str">
        <x:v>TSFM in Finance</x:v>
      </x:c>
      <x:c r="G54" s="28" t="str">
        <x:v>比较 TTM/Chronos 在多个金融任务的 zero/few-shot 与 fine-tuning。</x:v>
      </x:c>
      <x:c r="H54" s="28" t="str">
        <x:v>新兴</x:v>
      </x:c>
      <x:c r="I54" s="28" t="str">
        <x:v>金融</x:v>
      </x:c>
      <x:c r="J54" s="28" t="str">
        <x:v>重要结论：专用传统模型仍可能匹配/超过 TSFM；预训练优势主要在样本效率。</x:v>
      </x:c>
      <x:c r="K54" s="28" t="str">
        <x:v>https://arxiv.org/abs/2507.07296</x:v>
      </x:c>
      <x:c r="L54" s="28" t="str"/>
      <x:c r="M54" s="28" t="str">
        <x:v>P0方法论</x:v>
      </x:c>
    </x:row>
    <x:row r="55">
      <x:c r="A55" s="28" t="str">
        <x:v>P52</x:v>
      </x:c>
      <x:c r="B55" s="28" t="str">
        <x:v>Re(Visiting) Time Series Foundation Models in Finance</x:v>
      </x:c>
      <x:c r="C55" s="28" t="str">
        <x:v>Eghbal Rahimikia; Hao Ni; Weiguan Wang</x:v>
      </x:c>
      <x:c r="D55" s="28" t="n">
        <x:v>2025</x:v>
      </x:c>
      <x:c r="E55" s="28" t="str">
        <x:v>arXiv</x:v>
      </x:c>
      <x:c r="F55" s="28" t="str">
        <x:v>TSFM in Finance</x:v>
      </x:c>
      <x:c r="G55" s="28" t="str">
        <x:v>大规模评估金融 TSFM，强调通用 zero-shot/fine-tune 可能弱，领域预训练更关键。</x:v>
      </x:c>
      <x:c r="H55" s="28" t="str">
        <x:v>前沿</x:v>
      </x:c>
      <x:c r="I55" s="28" t="str">
        <x:v>金融</x:v>
      </x:c>
      <x:c r="J55" s="28" t="str">
        <x:v>直接支持“别迷信通用 TSFM；要做金融 domain pretraining”的判断。</x:v>
      </x:c>
      <x:c r="K55" s="28" t="str">
        <x:v>https://arxiv.org/abs/2511.18578</x:v>
      </x:c>
      <x:c r="L55" s="28" t="str"/>
      <x:c r="M55" s="28" t="str">
        <x:v>P0方法论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46851a7dbce46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8" hidden="0" customWidth="1"/>
    <x:col min="4" max="4" width="10" hidden="0" customWidth="1"/>
    <x:col min="5" max="5" width="24" hidden="0" customWidth="1"/>
    <x:col min="6" max="6" width="44" hidden="0" customWidth="1"/>
    <x:col min="7" max="7" width="32" hidden="0" customWidth="1"/>
  </x:cols>
  <x:sheetData>
    <x:row r="1" ht="28" customHeight="1">
      <x:c r="A1" s="4" t="str">
        <x:v>BTC 5分钟预测：目标变量与输入特征</x:v>
      </x:c>
      <x:c r="B1" s="4"/>
      <x:c r="C1" s="4"/>
      <x:c r="D1" s="4"/>
      <x:c r="E1" s="4"/>
      <x:c r="F1" s="4"/>
      <x:c r="G1" s="4"/>
    </x:row>
    <x:row r="2" ht="26" customHeight="1">
      <x:c r="A2" s="11" t="str">
        <x:v>建议先定义可交易目标，再选模型。目标优先级：P0 = 核心；P1 = 强烈建议；P2 = 扩展。</x:v>
      </x:c>
      <x:c r="B2" s="11"/>
      <x:c r="C2" s="11"/>
      <x:c r="D2" s="11"/>
      <x:c r="E2" s="11"/>
      <x:c r="F2" s="11"/>
      <x:c r="G2" s="11"/>
    </x:row>
    <x:row r="3" ht="32" customHeight="1">
      <x:c r="A3" s="20" t="str">
        <x:v>ID</x:v>
      </x:c>
      <x:c r="B3" s="20" t="str">
        <x:v>预测目标</x:v>
      </x:c>
      <x:c r="C3" s="20" t="str">
        <x:v>定义/标签</x:v>
      </x:c>
      <x:c r="D3" s="20" t="str">
        <x:v>任务类型</x:v>
      </x:c>
      <x:c r="E3" s="20" t="str">
        <x:v>优先级</x:v>
      </x:c>
      <x:c r="F3" s="20" t="str">
        <x:v>为什么重要</x:v>
      </x:c>
      <x:c r="G3" s="20" t="str">
        <x:v>主要评估指标</x:v>
      </x:c>
    </x:row>
    <x:row r="4">
      <x:c r="A4" s="28" t="str">
        <x:v>T1</x:v>
      </x:c>
      <x:c r="B4" s="28" t="str">
        <x:v>未来5分钟 log return</x:v>
      </x:c>
      <x:c r="C4" s="28" t="str">
        <x:v>ln(P[t+5m]/P[t])</x:v>
      </x:c>
      <x:c r="D4" s="28" t="str">
        <x:v>回归</x:v>
      </x:c>
      <x:c r="E4" s="28" t="str">
        <x:v>核心</x:v>
      </x:c>
      <x:c r="F4" s="28" t="str">
        <x:v>避免直接预测 raw price level；对交易最直接。</x:v>
      </x:c>
      <x:c r="G4" s="28" t="str">
        <x:v>MSE/MAE + IC + cost-adjusted PnL</x:v>
      </x:c>
    </x:row>
    <x:row r="5">
      <x:c r="A5" s="28" t="str">
        <x:v>T2</x:v>
      </x:c>
      <x:c r="B5" s="28" t="str">
        <x:v>成本阈值后的方向</x:v>
      </x:c>
      <x:c r="C5" s="28" t="str">
        <x:v>1[r &gt; cost+buffer], 0[|r|&lt;=buffer], -1[r &lt; -cost-buffer]</x:v>
      </x:c>
      <x:c r="D5" s="28" t="str">
        <x:v>三分类</x:v>
      </x:c>
      <x:c r="E5" s="28" t="str">
        <x:v>核心</x:v>
      </x:c>
      <x:c r="F5" s="28" t="str">
        <x:v>把不可交易的小波动归为 no-trade，防止模型优化噪声。</x:v>
      </x:c>
      <x:c r="G5" s="28" t="str">
        <x:v>Macro-F1 / MCC / precision@trade + PnL</x:v>
      </x:c>
    </x:row>
    <x:row r="6">
      <x:c r="A6" s="28" t="str">
        <x:v>T3</x:v>
      </x:c>
      <x:c r="B6" s="28" t="str">
        <x:v>条件分位数 q10/q50/q90</x:v>
      </x:c>
      <x:c r="C6" s="28" t="str">
        <x:v>Qτ(r[t:t+5m] | X_t)</x:v>
      </x:c>
      <x:c r="D6" s="28" t="str">
        <x:v>Quantile</x:v>
      </x:c>
      <x:c r="E6" s="28" t="str">
        <x:v>核心</x:v>
      </x:c>
      <x:c r="F6" s="28" t="str">
        <x:v>比点预测更适合厚尾；可根据分布偏斜决定是否交易。</x:v>
      </x:c>
      <x:c r="G6" s="28" t="str">
        <x:v>Pinball loss / coverage / calibration</x:v>
      </x:c>
    </x:row>
    <x:row r="7">
      <x:c r="A7" s="28" t="str">
        <x:v>T4</x:v>
      </x:c>
      <x:c r="B7" s="28" t="str">
        <x:v>未来5分钟 realized volatility</x:v>
      </x:c>
      <x:c r="C7" s="28" t="str">
        <x:v>sqrt(sum 1m_return^2)</x:v>
      </x:c>
      <x:c r="D7" s="28" t="str">
        <x:v>回归/概率</x:v>
      </x:c>
      <x:c r="E7" s="28" t="str">
        <x:v>核心</x:v>
      </x:c>
      <x:c r="F7" s="28" t="str">
        <x:v>用于 position sizing、动态阈值、regime 和 stop。</x:v>
      </x:c>
      <x:c r="G7" s="28" t="str">
        <x:v>QLIKE / MAE / rank IC</x:v>
      </x:c>
    </x:row>
    <x:row r="8">
      <x:c r="A8" s="28" t="str">
        <x:v>T5</x:v>
      </x:c>
      <x:c r="B8" s="28" t="str">
        <x:v>未来5分钟 High-Low / Parkinson range</x:v>
      </x:c>
      <x:c r="C8" s="28" t="str">
        <x:v>log(H/L) 或 range%</x:v>
      </x:c>
      <x:c r="D8" s="28" t="str">
        <x:v>回归</x:v>
      </x:c>
      <x:c r="E8" s="28" t="str">
        <x:v>高</x:v>
      </x:c>
      <x:c r="F8" s="28" t="str">
        <x:v>预测短期可实现波动与突破空间。</x:v>
      </x:c>
      <x:c r="G8" s="28" t="str">
        <x:v>MAE / quantile coverage</x:v>
      </x:c>
    </x:row>
    <x:row r="9">
      <x:c r="A9" s="28" t="str">
        <x:v>T6</x:v>
      </x:c>
      <x:c r="B9" s="28" t="str">
        <x:v>MFE / MAE（最大有利/不利波动）</x:v>
      </x:c>
      <x:c r="C9" s="28" t="str">
        <x:v>max/min path excursion over next 5m</x:v>
      </x:c>
      <x:c r="D9" s="28" t="str">
        <x:v>回归/分位数</x:v>
      </x:c>
      <x:c r="E9" s="28" t="str">
        <x:v>高</x:v>
      </x:c>
      <x:c r="F9" s="28" t="str">
        <x:v>比终点收益更贴近止盈止损与执行策略。</x:v>
      </x:c>
      <x:c r="G9" s="28" t="str">
        <x:v>Quantile loss / hit rate / economic utility</x:v>
      </x:c>
    </x:row>
    <x:row r="10">
      <x:c r="A10" s="28" t="str">
        <x:v>T7</x:v>
      </x:c>
      <x:c r="B10" s="28" t="str">
        <x:v>Regime probability</x:v>
      </x:c>
      <x:c r="C10" s="28" t="str">
        <x:v>P(state_{t+1}=k | X_t)</x:v>
      </x:c>
      <x:c r="D10" s="28" t="str">
        <x:v>分类/状态</x:v>
      </x:c>
      <x:c r="E10" s="28" t="str">
        <x:v>核心</x:v>
      </x:c>
      <x:c r="F10" s="28" t="str">
        <x:v>将趋势、均值回归、高波动、低流动性状态显式化。</x:v>
      </x:c>
      <x:c r="G10" s="28" t="str">
        <x:v>Log loss / Brier / state-conditioned PnL</x:v>
      </x:c>
    </x:row>
    <x:row r="11">
      <x:c r="A11" s="28" t="str">
        <x:v>T8</x:v>
      </x:c>
      <x:c r="B11" s="28" t="str">
        <x:v>未来 OFI / Queue imbalance</x:v>
      </x:c>
      <x:c r="C11" s="28" t="str">
        <x:v>OFI[t:t+5m] or imbalance delta</x:v>
      </x:c>
      <x:c r="D11" s="28" t="str">
        <x:v>回归/概率</x:v>
      </x:c>
      <x:c r="E11" s="28" t="str">
        <x:v>高</x:v>
      </x:c>
      <x:c r="F11" s="28" t="str">
        <x:v>微观结构信号常比 price 本身更可预测，可作为中间目标。</x:v>
      </x:c>
      <x:c r="G11" s="28" t="str">
        <x:v>MAE / distribution score / price impact link</x:v>
      </x:c>
    </x:row>
    <x:row r="12">
      <x:c r="A12" s="28" t="str">
        <x:v>T9</x:v>
      </x:c>
      <x:c r="B12" s="28" t="str">
        <x:v>跨市场 residual / basis change</x:v>
      </x:c>
      <x:c r="C12" s="28" t="str">
        <x:v>spot-perp, Binance-CME, BTC-ETH residual</x:v>
      </x:c>
      <x:c r="D12" s="28" t="str">
        <x:v>回归</x:v>
      </x:c>
      <x:c r="E12" s="28" t="str">
        <x:v>高</x:v>
      </x:c>
      <x:c r="F12" s="28" t="str">
        <x:v>预测结构性价差往往比绝对价格更稳定。</x:v>
      </x:c>
      <x:c r="G12" s="28" t="str">
        <x:v>MAE / half-life / arbitrage PnL</x:v>
      </x:c>
    </x:row>
    <x:row r="13">
      <x:c r="A13" s="28" t="str">
        <x:v>T10</x:v>
      </x:c>
      <x:c r="B13" s="28" t="str">
        <x:v>Liquidity shock / spread widening</x:v>
      </x:c>
      <x:c r="C13" s="28" t="str">
        <x:v>future spread/depth shock probability</x:v>
      </x:c>
      <x:c r="D13" s="28" t="str">
        <x:v>分类</x:v>
      </x:c>
      <x:c r="E13" s="28" t="str">
        <x:v>高</x:v>
      </x:c>
      <x:c r="F13" s="28" t="str">
        <x:v>在交易成本突然上升时抑制方向模型，提升实际净收益。</x:v>
      </x:c>
      <x:c r="G13" s="28" t="str">
        <x:v>PR-AUC / Brier / avoided loss</x:v>
      </x:c>
    </x:row>
    <x:row r="16">
      <x:c r="A16" s="35" t="str">
        <x:v>输入特征库：从 OHLCV 到微观结构、衍生品与跨市场</x:v>
      </x:c>
      <x:c r="B16" s="35"/>
      <x:c r="C16" s="35"/>
      <x:c r="D16" s="35"/>
      <x:c r="E16" s="35"/>
      <x:c r="F16" s="35"/>
    </x:row>
    <x:row r="17" ht="32" customHeight="1">
      <x:c r="A17" s="20" t="str">
        <x:v>特征组</x:v>
      </x:c>
      <x:c r="B17" s="20" t="str">
        <x:v>特征</x:v>
      </x:c>
      <x:c r="C17" s="20" t="str">
        <x:v>定义/计算</x:v>
      </x:c>
      <x:c r="D17" s="20" t="str">
        <x:v>优先级</x:v>
      </x:c>
      <x:c r="E17" s="20" t="str">
        <x:v>适用目标</x:v>
      </x:c>
      <x:c r="F17" s="20" t="str">
        <x:v>备注</x:v>
      </x:c>
    </x:row>
    <x:row r="18">
      <x:c r="A18" s="28" t="str">
        <x:v>价格与收益</x:v>
      </x:c>
      <x:c r="B18" s="28" t="str">
        <x:v>Lagged log returns</x:v>
      </x:c>
      <x:c r="C18" s="28" t="str">
        <x:v>1m/5m returns lags: 1,2,3,6,12,24,72</x:v>
      </x:c>
      <x:c r="D18" s="28" t="str">
        <x:v>P0</x:v>
      </x:c>
      <x:c r="E18" s="28" t="str">
        <x:v>均值/方向</x:v>
      </x:c>
      <x:c r="F18" s="28" t="str">
        <x:v>最基础，但要做多尺度而非几十个机械 lag。</x:v>
      </x:c>
    </x:row>
    <x:row r="19">
      <x:c r="A19" s="28" t="str">
        <x:v>价格与收益</x:v>
      </x:c>
      <x:c r="B19" s="28" t="str">
        <x:v>Momentum / reversal</x:v>
      </x:c>
      <x:c r="C19" s="28" t="str">
        <x:v>rolling cumulative return 5m/15m/30m/1h/4h</x:v>
      </x:c>
      <x:c r="D19" s="28" t="str">
        <x:v>P0</x:v>
      </x:c>
      <x:c r="E19" s="28" t="str">
        <x:v>方向/regime</x:v>
      </x:c>
      <x:c r="F19" s="28" t="str">
        <x:v>不同 horizon 的趋势和反转往往状态依赖。</x:v>
      </x:c>
    </x:row>
    <x:row r="20">
      <x:c r="A20" s="28" t="str">
        <x:v>价格与收益</x:v>
      </x:c>
      <x:c r="B20" s="28" t="str">
        <x:v>Range / candle geometry</x:v>
      </x:c>
      <x:c r="C20" s="28" t="str">
        <x:v>body, upper/lower wick, close location value</x:v>
      </x:c>
      <x:c r="D20" s="28" t="str">
        <x:v>P1</x:v>
      </x:c>
      <x:c r="E20" s="28" t="str">
        <x:v>方向/vol</x:v>
      </x:c>
      <x:c r="F20" s="28" t="str">
        <x:v>比纯技术指标更原子化，减少重复信息。</x:v>
      </x:c>
    </x:row>
    <x:row r="21">
      <x:c r="A21" s="28" t="str">
        <x:v>波动率</x:v>
      </x:c>
      <x:c r="B21" s="28" t="str">
        <x:v>Realized variance</x:v>
      </x:c>
      <x:c r="C21" s="28" t="str">
        <x:v>sum of squared 1m/tick returns</x:v>
      </x:c>
      <x:c r="D21" s="28" t="str">
        <x:v>P0</x:v>
      </x:c>
      <x:c r="E21" s="28" t="str">
        <x:v>vol/regime</x:v>
      </x:c>
      <x:c r="F21" s="28" t="str">
        <x:v>多尺度 RV 是核心状态变量。</x:v>
      </x:c>
    </x:row>
    <x:row r="22">
      <x:c r="A22" s="28" t="str">
        <x:v>波动率</x:v>
      </x:c>
      <x:c r="B22" s="28" t="str">
        <x:v>Bipower variation / jump proxy</x:v>
      </x:c>
      <x:c r="C22" s="28" t="str">
        <x:v>RV - BV</x:v>
      </x:c>
      <x:c r="D22" s="28" t="str">
        <x:v>P1</x:v>
      </x:c>
      <x:c r="E22" s="28" t="str">
        <x:v>tail/regime</x:v>
      </x:c>
      <x:c r="F22" s="28" t="str">
        <x:v>区分连续波动与 jump/liquidation shock。</x:v>
      </x:c>
    </x:row>
    <x:row r="23">
      <x:c r="A23" s="28" t="str">
        <x:v>波动率</x:v>
      </x:c>
      <x:c r="B23" s="28" t="str">
        <x:v>ATR / Parkinson / Garman-Klass</x:v>
      </x:c>
      <x:c r="C23" s="28" t="str">
        <x:v>range-based vol estimators</x:v>
      </x:c>
      <x:c r="D23" s="28" t="str">
        <x:v>P1</x:v>
      </x:c>
      <x:c r="E23" s="28" t="str">
        <x:v>vol/range</x:v>
      </x:c>
      <x:c r="F23" s="28" t="str">
        <x:v>用 OHLC 获取比 close-to-close 更充分的波动信息。</x:v>
      </x:c>
    </x:row>
    <x:row r="24">
      <x:c r="A24" s="28" t="str">
        <x:v>波动率</x:v>
      </x:c>
      <x:c r="B24" s="28" t="str">
        <x:v>Vol-of-vol</x:v>
      </x:c>
      <x:c r="C24" s="28" t="str">
        <x:v>rolling std/change of realized vol</x:v>
      </x:c>
      <x:c r="D24" s="28" t="str">
        <x:v>P1</x:v>
      </x:c>
      <x:c r="E24" s="28" t="str">
        <x:v>regime</x:v>
      </x:c>
      <x:c r="F24" s="28" t="str">
        <x:v>极端行情通常伴随波动率自身加速。</x:v>
      </x:c>
    </x:row>
    <x:row r="25">
      <x:c r="A25" s="28" t="str">
        <x:v>成交量与成交</x:v>
      </x:c>
      <x:c r="B25" s="28" t="str">
        <x:v>Volume imbalance</x:v>
      </x:c>
      <x:c r="C25" s="28" t="str">
        <x:v>buy volume - sell volume / total</x:v>
      </x:c>
      <x:c r="D25" s="28" t="str">
        <x:v>P0</x:v>
      </x:c>
      <x:c r="E25" s="28" t="str">
        <x:v>方向</x:v>
      </x:c>
      <x:c r="F25" s="28" t="str">
        <x:v>需要 aggressor side；比总成交量强。</x:v>
      </x:c>
    </x:row>
    <x:row r="26">
      <x:c r="A26" s="28" t="str">
        <x:v>成交量与成交</x:v>
      </x:c>
      <x:c r="B26" s="28" t="str">
        <x:v>Trade count imbalance</x:v>
      </x:c>
      <x:c r="C26" s="28" t="str">
        <x:v>buyer-initiated vs seller-initiated trade counts</x:v>
      </x:c>
      <x:c r="D26" s="28" t="str">
        <x:v>P1</x:v>
      </x:c>
      <x:c r="E26" s="28" t="str">
        <x:v>方向</x:v>
      </x:c>
      <x:c r="F26" s="28" t="str">
        <x:v>小单/大单信息可与 volume imbalance 区分。</x:v>
      </x:c>
    </x:row>
    <x:row r="27">
      <x:c r="A27" s="28" t="str">
        <x:v>成交量与成交</x:v>
      </x:c>
      <x:c r="B27" s="28" t="str">
        <x:v>VWAP deviation</x:v>
      </x:c>
      <x:c r="C27" s="28" t="str">
        <x:v>mid/last vs rolling VWAP</x:v>
      </x:c>
      <x:c r="D27" s="28" t="str">
        <x:v>P1</x:v>
      </x:c>
      <x:c r="E27" s="28" t="str">
        <x:v>reversion/trend</x:v>
      </x:c>
      <x:c r="F27" s="28" t="str">
        <x:v>作为短期拥挤与执行基准。</x:v>
      </x:c>
    </x:row>
    <x:row r="28">
      <x:c r="A28" s="28" t="str">
        <x:v>成交量与成交</x:v>
      </x:c>
      <x:c r="B28" s="28" t="str">
        <x:v>Signed volume autocorrelation</x:v>
      </x:c>
      <x:c r="C28" s="28" t="str">
        <x:v>ACF of trade signs / order signs</x:v>
      </x:c>
      <x:c r="D28" s="28" t="str">
        <x:v>P1</x:v>
      </x:c>
      <x:c r="E28" s="28" t="str">
        <x:v>event intensity</x:v>
      </x:c>
      <x:c r="F28" s="28" t="str">
        <x:v>对 meta-order 持续性有信息。</x:v>
      </x:c>
    </x:row>
    <x:row r="29">
      <x:c r="A29" s="28" t="str">
        <x:v>LOB微观结构</x:v>
      </x:c>
      <x:c r="B29" s="28" t="str">
        <x:v>Bid-ask spread</x:v>
      </x:c>
      <x:c r="C29" s="28" t="str">
        <x:v>absolute and bps spread</x:v>
      </x:c>
      <x:c r="D29" s="28" t="str">
        <x:v>P0</x:v>
      </x:c>
      <x:c r="E29" s="28" t="str">
        <x:v>liquidity/return</x:v>
      </x:c>
      <x:c r="F29" s="28" t="str">
        <x:v>成本与信息不对称的直接状态变量。</x:v>
      </x:c>
    </x:row>
    <x:row r="30">
      <x:c r="A30" s="28" t="str">
        <x:v>LOB微观结构</x:v>
      </x:c>
      <x:c r="B30" s="28" t="str">
        <x:v>Top-of-book queue imbalance</x:v>
      </x:c>
      <x:c r="C30" s="28" t="str">
        <x:v>(BidSize-AskSize)/(BidSize+AskSize)</x:v>
      </x:c>
      <x:c r="D30" s="28" t="str">
        <x:v>P0</x:v>
      </x:c>
      <x:c r="E30" s="28" t="str">
        <x:v>direction</x:v>
      </x:c>
      <x:c r="F30" s="28" t="str">
        <x:v>经典可解释短期预测器。</x:v>
      </x:c>
    </x:row>
    <x:row r="31">
      <x:c r="A31" s="28" t="str">
        <x:v>LOB微观结构</x:v>
      </x:c>
      <x:c r="B31" s="28" t="str">
        <x:v>Multi-level depth imbalance</x:v>
      </x:c>
      <x:c r="C31" s="28" t="str">
        <x:v>weighted imbalance across L2 levels</x:v>
      </x:c>
      <x:c r="D31" s="28" t="str">
        <x:v>P0</x:v>
      </x:c>
      <x:c r="E31" s="28" t="str">
        <x:v>direction</x:v>
      </x:c>
      <x:c r="F31" s="28" t="str">
        <x:v>多档深度比L1更稳。</x:v>
      </x:c>
    </x:row>
    <x:row r="32">
      <x:c r="A32" s="28" t="str">
        <x:v>LOB微观结构</x:v>
      </x:c>
      <x:c r="B32" s="28" t="str">
        <x:v>Order Flow Imbalance (OFI)</x:v>
      </x:c>
      <x:c r="C32" s="28" t="str">
        <x:v>price/size changes of bid/ask + trades/cancels</x:v>
      </x:c>
      <x:c r="D32" s="28" t="str">
        <x:v>P0</x:v>
      </x:c>
      <x:c r="E32" s="28" t="str">
        <x:v>direction/impact</x:v>
      </x:c>
      <x:c r="F32" s="28" t="str">
        <x:v>短期价格影响核心特征。</x:v>
      </x:c>
    </x:row>
    <x:row r="33">
      <x:c r="A33" s="28" t="str">
        <x:v>LOB微观结构</x:v>
      </x:c>
      <x:c r="B33" s="28" t="str">
        <x:v>Microprice gap</x:v>
      </x:c>
      <x:c r="C33" s="28" t="str">
        <x:v>microprice - midprice</x:v>
      </x:c>
      <x:c r="D33" s="28" t="str">
        <x:v>P0</x:v>
      </x:c>
      <x:c r="E33" s="28" t="str">
        <x:v>fair value/direction</x:v>
      </x:c>
      <x:c r="F33" s="28" t="str">
        <x:v>可做 label anchor 或直接 alpha。</x:v>
      </x:c>
    </x:row>
    <x:row r="34">
      <x:c r="A34" s="28" t="str">
        <x:v>LOB微观结构</x:v>
      </x:c>
      <x:c r="B34" s="28" t="str">
        <x:v>Book slope / convexity</x:v>
      </x:c>
      <x:c r="C34" s="28" t="str">
        <x:v>depth by distance from mid</x:v>
      </x:c>
      <x:c r="D34" s="28" t="str">
        <x:v>P1</x:v>
      </x:c>
      <x:c r="E34" s="28" t="str">
        <x:v>liquidity</x:v>
      </x:c>
      <x:c r="F34" s="28" t="str">
        <x:v>识别薄簿与潜在跳跃空间。</x:v>
      </x:c>
    </x:row>
    <x:row r="35">
      <x:c r="A35" s="28" t="str">
        <x:v>LOB微观结构</x:v>
      </x:c>
      <x:c r="B35" s="28" t="str">
        <x:v>Cancellation intensity</x:v>
      </x:c>
      <x:c r="C35" s="28" t="str">
        <x:v>cancel/new order ratio by side</x:v>
      </x:c>
      <x:c r="D35" s="28" t="str">
        <x:v>P1</x:v>
      </x:c>
      <x:c r="E35" s="28" t="str">
        <x:v>direction/liquidity</x:v>
      </x:c>
      <x:c r="F35" s="28" t="str">
        <x:v>撤单常包含比静态挂单更及时的信息。</x:v>
      </x:c>
    </x:row>
    <x:row r="36">
      <x:c r="A36" s="28" t="str">
        <x:v>LOB微观结构</x:v>
      </x:c>
      <x:c r="B36" s="28" t="str">
        <x:v>Order arrival intensity</x:v>
      </x:c>
      <x:c r="C36" s="28" t="str">
        <x:v>bid/ask market/limit/cancel event intensity</x:v>
      </x:c>
      <x:c r="D36" s="28" t="str">
        <x:v>P1</x:v>
      </x:c>
      <x:c r="E36" s="28" t="str">
        <x:v>direction/OFI</x:v>
      </x:c>
      <x:c r="F36" s="28" t="str">
        <x:v>Hawkes/point process 的直接输入。</x:v>
      </x:c>
    </x:row>
    <x:row r="37">
      <x:c r="A37" s="28" t="str">
        <x:v>LOB微观结构</x:v>
      </x:c>
      <x:c r="B37" s="28" t="str">
        <x:v>Order book entropy / concentration</x:v>
      </x:c>
      <x:c r="C37" s="28" t="str">
        <x:v>depth concentration across levels</x:v>
      </x:c>
      <x:c r="D37" s="28" t="str">
        <x:v>P2</x:v>
      </x:c>
      <x:c r="E37" s="28" t="str">
        <x:v>liquidity</x:v>
      </x:c>
      <x:c r="F37" s="28" t="str">
        <x:v>衡量订单簿脆弱性。</x:v>
      </x:c>
    </x:row>
    <x:row r="38">
      <x:c r="A38" s="28" t="str">
        <x:v>衍生品</x:v>
      </x:c>
      <x:c r="B38" s="28" t="str">
        <x:v>Perpetual basis</x:v>
      </x:c>
      <x:c r="C38" s="28" t="str">
        <x:v>perp mid - spot index</x:v>
      </x:c>
      <x:c r="D38" s="28" t="str">
        <x:v>P0</x:v>
      </x:c>
      <x:c r="E38" s="28" t="str">
        <x:v>direction/basis</x:v>
      </x:c>
      <x:c r="F38" s="28" t="str">
        <x:v>crypto 5m 独有的重要结构变量。</x:v>
      </x:c>
    </x:row>
    <x:row r="39">
      <x:c r="A39" s="28" t="str">
        <x:v>衍生品</x:v>
      </x:c>
      <x:c r="B39" s="28" t="str">
        <x:v>Basis change / z-score</x:v>
      </x:c>
      <x:c r="C39" s="28" t="str">
        <x:v>Δbasis, rolling normalized basis</x:v>
      </x:c>
      <x:c r="D39" s="28" t="str">
        <x:v>P0</x:v>
      </x:c>
      <x:c r="E39" s="28" t="str">
        <x:v>reversion/regime</x:v>
      </x:c>
      <x:c r="F39" s="28" t="str">
        <x:v>短期拥挤与套利压力。</x:v>
      </x:c>
    </x:row>
    <x:row r="40">
      <x:c r="A40" s="28" t="str">
        <x:v>衍生品</x:v>
      </x:c>
      <x:c r="B40" s="28" t="str">
        <x:v>Funding rate &amp; countdown</x:v>
      </x:c>
      <x:c r="C40" s="28" t="str">
        <x:v>current/next funding, time-to-funding</x:v>
      </x:c>
      <x:c r="D40" s="28" t="str">
        <x:v>P1</x:v>
      </x:c>
      <x:c r="E40" s="28" t="str">
        <x:v>regime</x:v>
      </x:c>
      <x:c r="F40" s="28" t="str">
        <x:v>资金费率本身频率低，但临近结算的行为可能有结构。</x:v>
      </x:c>
    </x:row>
    <x:row r="41">
      <x:c r="A41" s="28" t="str">
        <x:v>衍生品</x:v>
      </x:c>
      <x:c r="B41" s="28" t="str">
        <x:v>Open interest change</x:v>
      </x:c>
      <x:c r="C41" s="28" t="str">
        <x:v>ΔOI, ΔOI × return sign</x:v>
      </x:c>
      <x:c r="D41" s="28" t="str">
        <x:v>P0</x:v>
      </x:c>
      <x:c r="E41" s="28" t="str">
        <x:v>regime/direction</x:v>
      </x:c>
      <x:c r="F41" s="28" t="str">
        <x:v>区分增仓推动 vs 平仓/清算推动。</x:v>
      </x:c>
    </x:row>
    <x:row r="42">
      <x:c r="A42" s="28" t="str">
        <x:v>衍生品</x:v>
      </x:c>
      <x:c r="B42" s="28" t="str">
        <x:v>Liquidation intensity</x:v>
      </x:c>
      <x:c r="C42" s="28" t="str">
        <x:v>long/short liquidation notional/count</x:v>
      </x:c>
      <x:c r="D42" s="28" t="str">
        <x:v>P0</x:v>
      </x:c>
      <x:c r="E42" s="28" t="str">
        <x:v>tail/direction</x:v>
      </x:c>
      <x:c r="F42" s="28" t="str">
        <x:v>极端5m波动的关键事件特征。</x:v>
      </x:c>
    </x:row>
    <x:row r="43">
      <x:c r="A43" s="28" t="str">
        <x:v>衍生品</x:v>
      </x:c>
      <x:c r="B43" s="28" t="str">
        <x:v>Taker buy/sell ratio futures</x:v>
      </x:c>
      <x:c r="C43" s="28" t="str">
        <x:v>aggressive flow on perps</x:v>
      </x:c>
      <x:c r="D43" s="28" t="str">
        <x:v>P0</x:v>
      </x:c>
      <x:c r="E43" s="28" t="str">
        <x:v>direction</x:v>
      </x:c>
      <x:c r="F43" s="28" t="str">
        <x:v>与现货 flow 的 divergence 很有价值。</x:v>
      </x:c>
    </x:row>
    <x:row r="44">
      <x:c r="A44" s="28" t="str">
        <x:v>衍生品</x:v>
      </x:c>
      <x:c r="B44" s="28" t="str">
        <x:v>Options IV level/skew</x:v>
      </x:c>
      <x:c r="C44" s="28" t="str">
        <x:v>ATM IV, 25d skew, term structure</x:v>
      </x:c>
      <x:c r="D44" s="28" t="str">
        <x:v>P2</x:v>
      </x:c>
      <x:c r="E44" s="28" t="str">
        <x:v>vol/tail</x:v>
      </x:c>
      <x:c r="F44" s="28" t="str">
        <x:v>5m方向可能弱，但对风险 regime 与 jump probability 有帮助。</x:v>
      </x:c>
    </x:row>
    <x:row r="45">
      <x:c r="A45" s="28" t="str">
        <x:v>跨市场</x:v>
      </x:c>
      <x:c r="B45" s="28" t="str">
        <x:v>Cross-exchange returns</x:v>
      </x:c>
      <x:c r="C45" s="28" t="str">
        <x:v>Binance/OKX/Bybit/Coinbase/CME lagged returns</x:v>
      </x:c>
      <x:c r="D45" s="28" t="str">
        <x:v>P0</x:v>
      </x:c>
      <x:c r="E45" s="28" t="str">
        <x:v>direction</x:v>
      </x:c>
      <x:c r="F45" s="28" t="str">
        <x:v>找 price discovery / lead-lag，而非把每个交易所独立看。</x:v>
      </x:c>
    </x:row>
    <x:row r="46">
      <x:c r="A46" s="28" t="str">
        <x:v>跨市场</x:v>
      </x:c>
      <x:c r="B46" s="28" t="str">
        <x:v>Cross-venue basis dispersion</x:v>
      </x:c>
      <x:c r="C46" s="28" t="str">
        <x:v>max-min venue prices / basis</x:v>
      </x:c>
      <x:c r="D46" s="28" t="str">
        <x:v>P0</x:v>
      </x:c>
      <x:c r="E46" s="28" t="str">
        <x:v>reversion</x:v>
      </x:c>
      <x:c r="F46" s="28" t="str">
        <x:v>短时套利压力与流动性碎片化。</x:v>
      </x:c>
    </x:row>
    <x:row r="47">
      <x:c r="A47" s="28" t="str">
        <x:v>跨市场</x:v>
      </x:c>
      <x:c r="B47" s="28" t="str">
        <x:v>BTC-ETH lead-lag</x:v>
      </x:c>
      <x:c r="C47" s="28" t="str">
        <x:v>ETH/BTC returns and residuals</x:v>
      </x:c>
      <x:c r="D47" s="28" t="str">
        <x:v>P1</x:v>
      </x:c>
      <x:c r="E47" s="28" t="str">
        <x:v>direction</x:v>
      </x:c>
      <x:c r="F47" s="28" t="str">
        <x:v>市场 beta 与相对强弱，需滚动估计。</x:v>
      </x:c>
    </x:row>
    <x:row r="48">
      <x:c r="A48" s="28" t="str">
        <x:v>跨市场</x:v>
      </x:c>
      <x:c r="B48" s="28" t="str">
        <x:v>Crypto index / alt basket</x:v>
      </x:c>
      <x:c r="C48" s="28" t="str">
        <x:v>broad crypto momentum/dispersion</x:v>
      </x:c>
      <x:c r="D48" s="28" t="str">
        <x:v>P1</x:v>
      </x:c>
      <x:c r="E48" s="28" t="str">
        <x:v>regime</x:v>
      </x:c>
      <x:c r="F48" s="28" t="str">
        <x:v>横截面 risk-on/off 状态。</x:v>
      </x:c>
    </x:row>
    <x:row r="49">
      <x:c r="A49" s="28" t="str">
        <x:v>跨市场</x:v>
      </x:c>
      <x:c r="B49" s="28" t="str">
        <x:v>CME/ETF session variables</x:v>
      </x:c>
      <x:c r="C49" s="28" t="str">
        <x:v>US session, CME open/close, ETF flow time windows</x:v>
      </x:c>
      <x:c r="D49" s="28" t="str">
        <x:v>P1</x:v>
      </x:c>
      <x:c r="E49" s="28" t="str">
        <x:v>regime</x:v>
      </x:c>
      <x:c r="F49" s="28" t="str">
        <x:v>机构时段结构可能影响 price discovery。</x:v>
      </x:c>
    </x:row>
    <x:row r="50">
      <x:c r="A50" s="28" t="str">
        <x:v>时间结构</x:v>
      </x:c>
      <x:c r="B50" s="28" t="str">
        <x:v>Minute-of-hour / hour-of-day</x:v>
      </x:c>
      <x:c r="C50" s="28" t="str">
        <x:v>cyclical sin/cos encodings</x:v>
      </x:c>
      <x:c r="D50" s="28" t="str">
        <x:v>P1</x:v>
      </x:c>
      <x:c r="E50" s="28" t="str">
        <x:v>seasonality</x:v>
      </x:c>
      <x:c r="F50" s="28" t="str">
        <x:v>crypto 24/7 仍有明显流动性日内周期。</x:v>
      </x:c>
    </x:row>
    <x:row r="51">
      <x:c r="A51" s="28" t="str">
        <x:v>时间结构</x:v>
      </x:c>
      <x:c r="B51" s="28" t="str">
        <x:v>Day-of-week / weekend</x:v>
      </x:c>
      <x:c r="C51" s="28" t="str">
        <x:v>calendar cyclic features</x:v>
      </x:c>
      <x:c r="D51" s="28" t="str">
        <x:v>P1</x:v>
      </x:c>
      <x:c r="E51" s="28" t="str">
        <x:v>liquidity/regime</x:v>
      </x:c>
      <x:c r="F51" s="28" t="str">
        <x:v>周末流动性结构与机构参与不同。</x:v>
      </x:c>
    </x:row>
    <x:row r="52">
      <x:c r="A52" s="28" t="str">
        <x:v>事件/宏观</x:v>
      </x:c>
      <x:c r="B52" s="28" t="str">
        <x:v>Scheduled macro countdown</x:v>
      </x:c>
      <x:c r="C52" s="28" t="str">
        <x:v>CPI/FOMC/NFP time-to-event</x:v>
      </x:c>
      <x:c r="D52" s="28" t="str">
        <x:v>P1</x:v>
      </x:c>
      <x:c r="E52" s="28" t="str">
        <x:v>vol/regime</x:v>
      </x:c>
      <x:c r="F52" s="28" t="str">
        <x:v>事件前后模型机制不同，应做 gating 而非仅加 dummy。</x:v>
      </x:c>
    </x:row>
    <x:row r="53">
      <x:c r="A53" s="28" t="str">
        <x:v>链上</x:v>
      </x:c>
      <x:c r="B53" s="28" t="str">
        <x:v>Exchange inflow/outflow high-frequency proxy</x:v>
      </x:c>
      <x:c r="C53" s="28" t="str">
        <x:v>large transfers to/from exchanges</x:v>
      </x:c>
      <x:c r="D53" s="28" t="str">
        <x:v>P2</x:v>
      </x:c>
      <x:c r="E53" s="28" t="str">
        <x:v>tail/regime</x:v>
      </x:c>
      <x:c r="F53" s="28" t="str">
        <x:v>5m直接方向信号通常比 LOB 慢，但极端大额事件可用。</x:v>
      </x:c>
    </x:row>
    <x:row r="54">
      <x:c r="A54" s="28" t="str">
        <x:v>链上</x:v>
      </x:c>
      <x:c r="B54" s="28" t="str">
        <x:v>Mempool / fees</x:v>
      </x:c>
      <x:c r="C54" s="28" t="str">
        <x:v>fee pressure, unconfirmed tx</x:v>
      </x:c>
      <x:c r="D54" s="28" t="str">
        <x:v>P3</x:v>
      </x:c>
      <x:c r="E54" s="28" t="str">
        <x:v>regime</x:v>
      </x:c>
      <x:c r="F54" s="28" t="str">
        <x:v>对短周期价格通常不是第一优先级。</x:v>
      </x:c>
    </x:row>
    <x:row r="55">
      <x:c r="A55" s="28" t="str">
        <x:v>模型状态</x:v>
      </x:c>
      <x:c r="B55" s="28" t="str">
        <x:v>Rolling residual / model error</x:v>
      </x:c>
      <x:c r="C55" s="28" t="str">
        <x:v>recent OOS residual, calibration error</x:v>
      </x:c>
      <x:c r="D55" s="28" t="str">
        <x:v>P0</x:v>
      </x:c>
      <x:c r="E55" s="28" t="str">
        <x:v>meta/regime</x:v>
      </x:c>
      <x:c r="F55" s="28" t="str">
        <x:v>模型自身误差是 drift 检测的重要信号。</x:v>
      </x:c>
    </x:row>
    <x:row r="56">
      <x:c r="A56" s="28" t="str">
        <x:v>模型状态</x:v>
      </x:c>
      <x:c r="B56" s="28" t="str">
        <x:v>Change-point score</x:v>
      </x:c>
      <x:c r="C56" s="28" t="str">
        <x:v>online break probability</x:v>
      </x:c>
      <x:c r="D56" s="28" t="str">
        <x:v>P0</x:v>
      </x:c>
      <x:c r="E56" s="28" t="str">
        <x:v>meta/regime</x:v>
      </x:c>
      <x:c r="F56" s="28" t="str">
        <x:v>用于动态窗口和模型降权。</x:v>
      </x:c>
    </x:row>
  </x:sheetData>
  <x:mergeCells>
    <x:mergeCell ref="A1:G1"/>
    <x:mergeCell ref="A2:G2"/>
    <x:mergeCell ref="A16:F16"/>
  </x:mergeCells>
  <x:pageMargins left="0.7" right="0.7" top="0.75" bottom="0.75" header="0.3" footer="0.3"/>
  <x:tableParts count="2">
    <x:tablePart xmlns:r="http://schemas.openxmlformats.org/officeDocument/2006/relationships" r:id="R7b0dbcb9d383465f"/>
    <x:tablePart xmlns:r="http://schemas.openxmlformats.org/officeDocument/2006/relationships" r:id="R7a8669eca12b436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55" hidden="0" customWidth="1"/>
    <x:col min="4" max="4" width="11" hidden="0" customWidth="1"/>
    <x:col min="5" max="5" width="55" hidden="0" customWidth="1"/>
  </x:cols>
  <x:sheetData>
    <x:row r="1" ht="28" customHeight="1">
      <x:c r="A1" s="4" t="str">
        <x:v>5分钟预测的验证与回测框架</x:v>
      </x:c>
      <x:c r="B1" s="4"/>
      <x:c r="C1" s="4"/>
      <x:c r="D1" s="4"/>
      <x:c r="E1" s="4"/>
    </x:row>
    <x:row r="2" ht="26" customHeight="1">
      <x:c r="A2" s="11" t="str">
        <x:v>高频金融时间序列最容易在数据泄漏、重叠标签、手续费、滑点和成交假设上“虚高”。此表应作为所有实验的最低规范。</x:v>
      </x:c>
      <x:c r="B2" s="11"/>
      <x:c r="C2" s="11"/>
      <x:c r="D2" s="11"/>
      <x:c r="E2" s="11"/>
    </x:row>
    <x:row r="3" ht="32" customHeight="1">
      <x:c r="A3" s="20" t="str">
        <x:v>模块</x:v>
      </x:c>
      <x:c r="B3" s="20" t="str">
        <x:v>检查项</x:v>
      </x:c>
      <x:c r="C3" s="20" t="str">
        <x:v>建议规则</x:v>
      </x:c>
      <x:c r="D3" s="20" t="str">
        <x:v>优先级</x:v>
      </x:c>
      <x:c r="E3" s="20" t="str">
        <x:v>为什么</x:v>
      </x:c>
    </x:row>
    <x:row r="4">
      <x:c r="A4" s="28" t="str">
        <x:v>数据切分</x:v>
      </x:c>
      <x:c r="B4" s="28" t="str">
        <x:v>Walk-forward / rolling OOS</x:v>
      </x:c>
      <x:c r="C4" s="28" t="str">
        <x:v>训练→验证→测试严格按时间前进；不可 random split。</x:v>
      </x:c>
      <x:c r="D4" s="28" t="str">
        <x:v>P0</x:v>
      </x:c>
      <x:c r="E4" s="28" t="str">
        <x:v>防止未来信息泄漏与 regime 混合。</x:v>
      </x:c>
    </x:row>
    <x:row r="5">
      <x:c r="A5" s="28" t="str">
        <x:v>数据切分</x:v>
      </x:c>
      <x:c r="B5" s="28" t="str">
        <x:v>Purging + Embargo</x:v>
      </x:c>
      <x:c r="C5" s="28" t="str">
        <x:v>如果标签窗口重叠，训练样本需 purge；测试附近设 embargo。</x:v>
      </x:c>
      <x:c r="D5" s="28" t="str">
        <x:v>P0</x:v>
      </x:c>
      <x:c r="E5" s="28" t="str">
        <x:v>5m forward return 的相邻样本高度重叠。</x:v>
      </x:c>
    </x:row>
    <x:row r="6">
      <x:c r="A6" s="28" t="str">
        <x:v>数据切分</x:v>
      </x:c>
      <x:c r="B6" s="28" t="str">
        <x:v>Nested tuning by time</x:v>
      </x:c>
      <x:c r="C6" s="28" t="str">
        <x:v>超参数也只能用更早的 validation period。</x:v>
      </x:c>
      <x:c r="D6" s="28" t="str">
        <x:v>P0</x:v>
      </x:c>
      <x:c r="E6" s="28" t="str">
        <x:v>避免把测试期调参。</x:v>
      </x:c>
    </x:row>
    <x:row r="7">
      <x:c r="A7" s="28" t="str">
        <x:v>标准化</x:v>
      </x:c>
      <x:c r="B7" s="28" t="str">
        <x:v>Rolling fit scalers</x:v>
      </x:c>
      <x:c r="C7" s="28" t="str">
        <x:v>均值、标准差、PCA等只用历史窗口拟合。</x:v>
      </x:c>
      <x:c r="D7" s="28" t="str">
        <x:v>P0</x:v>
      </x:c>
      <x:c r="E7" s="28" t="str">
        <x:v>全样本 normalization 是常见隐形泄漏。</x:v>
      </x:c>
    </x:row>
    <x:row r="8">
      <x:c r="A8" s="28" t="str">
        <x:v>标签</x:v>
      </x:c>
      <x:c r="B8" s="28" t="str">
        <x:v>Cost-aware no-trade zone</x:v>
      </x:c>
      <x:c r="C8" s="28" t="str">
        <x:v>方向标签要扣手续费、spread、slippage buffer。</x:v>
      </x:c>
      <x:c r="D8" s="28" t="str">
        <x:v>P0</x:v>
      </x:c>
      <x:c r="E8" s="28" t="str">
        <x:v>避免优化不可交易的1-2bp噪声。</x:v>
      </x:c>
    </x:row>
    <x:row r="9">
      <x:c r="A9" s="28" t="str">
        <x:v>预测指标</x:v>
      </x:c>
      <x:c r="B9" s="28" t="str">
        <x:v>MAE / Huber on returns</x:v>
      </x:c>
      <x:c r="C9" s="28" t="str">
        <x:v>点预测误差；比 raw price RMSE 更有意义。</x:v>
      </x:c>
      <x:c r="D9" s="28" t="str">
        <x:v>P1</x:v>
      </x:c>
      <x:c r="E9" s="28" t="str">
        <x:v>但不能单独决定可交易性。</x:v>
      </x:c>
    </x:row>
    <x:row r="10">
      <x:c r="A10" s="28" t="str">
        <x:v>预测指标</x:v>
      </x:c>
      <x:c r="B10" s="28" t="str">
        <x:v>IC / Rank IC</x:v>
      </x:c>
      <x:c r="C10" s="28" t="str">
        <x:v>corr(predicted return, realized return) 按时间滚动。</x:v>
      </x:c>
      <x:c r="D10" s="28" t="str">
        <x:v>P0</x:v>
      </x:c>
      <x:c r="E10" s="28" t="str">
        <x:v>衡量横跨时间的信号方向性。</x:v>
      </x:c>
    </x:row>
    <x:row r="11">
      <x:c r="A11" s="28" t="str">
        <x:v>分类指标</x:v>
      </x:c>
      <x:c r="B11" s="28" t="str">
        <x:v>MCC / PR-AUC / precision@trade</x:v>
      </x:c>
      <x:c r="C11" s="28" t="str">
        <x:v>处理类别不平衡和只交易高置信样本。</x:v>
      </x:c>
      <x:c r="D11" s="28" t="str">
        <x:v>P0</x:v>
      </x:c>
      <x:c r="E11" s="28" t="str">
        <x:v>accuracy 很容易被 no-move 类误导。</x:v>
      </x:c>
    </x:row>
    <x:row r="12">
      <x:c r="A12" s="28" t="str">
        <x:v>概率指标</x:v>
      </x:c>
      <x:c r="B12" s="28" t="str">
        <x:v>Brier / Log Loss / Calibration</x:v>
      </x:c>
      <x:c r="C12" s="28" t="str">
        <x:v>方向或 regime 概率必须校准。</x:v>
      </x:c>
      <x:c r="D12" s="28" t="str">
        <x:v>P0</x:v>
      </x:c>
      <x:c r="E12" s="28" t="str">
        <x:v>置信度阈值是交易决策核心。</x:v>
      </x:c>
    </x:row>
    <x:row r="13">
      <x:c r="A13" s="28" t="str">
        <x:v>分位数指标</x:v>
      </x:c>
      <x:c r="B13" s="28" t="str">
        <x:v>Pinball loss + coverage</x:v>
      </x:c>
      <x:c r="C13" s="28" t="str">
        <x:v>验证 q10/q90 覆盖率与 crossing。</x:v>
      </x:c>
      <x:c r="D13" s="28" t="str">
        <x:v>P1</x:v>
      </x:c>
      <x:c r="E13" s="28" t="str">
        <x:v>概率预测必须可校准。</x:v>
      </x:c>
    </x:row>
    <x:row r="14">
      <x:c r="A14" s="28" t="str">
        <x:v>波动率指标</x:v>
      </x:c>
      <x:c r="B14" s="28" t="str">
        <x:v>QLIKE</x:v>
      </x:c>
      <x:c r="C14" s="28" t="str">
        <x:v>适合条件方差/realized vol 预测。</x:v>
      </x:c>
      <x:c r="D14" s="28" t="str">
        <x:v>P1</x:v>
      </x:c>
      <x:c r="E14" s="28" t="str">
        <x:v>对 vol 模型比 MSE 更标准。</x:v>
      </x:c>
    </x:row>
    <x:row r="15">
      <x:c r="A15" s="28" t="str">
        <x:v>经济指标</x:v>
      </x:c>
      <x:c r="B15" s="28" t="str">
        <x:v>Net PnL after all costs</x:v>
      </x:c>
      <x:c r="C15" s="28" t="str">
        <x:v>手续费 + spread + slippage + funding + market impact。</x:v>
      </x:c>
      <x:c r="D15" s="28" t="str">
        <x:v>P0</x:v>
      </x:c>
      <x:c r="E15" s="28" t="str">
        <x:v>最终真值。</x:v>
      </x:c>
    </x:row>
    <x:row r="16">
      <x:c r="A16" s="28" t="str">
        <x:v>经济指标</x:v>
      </x:c>
      <x:c r="B16" s="28" t="str">
        <x:v>Sharpe / Sortino / Calmar</x:v>
      </x:c>
      <x:c r="C16" s="28" t="str">
        <x:v>风险调整后表现。</x:v>
      </x:c>
      <x:c r="D16" s="28" t="str">
        <x:v>P0</x:v>
      </x:c>
      <x:c r="E16" s="28" t="str">
        <x:v>只看总收益容易被尾部掩盖。</x:v>
      </x:c>
    </x:row>
    <x:row r="17">
      <x:c r="A17" s="28" t="str">
        <x:v>经济指标</x:v>
      </x:c>
      <x:c r="B17" s="28" t="str">
        <x:v>Max drawdown / tail loss</x:v>
      </x:c>
      <x:c r="C17" s="28" t="str">
        <x:v>检查极端行情模型失效。</x:v>
      </x:c>
      <x:c r="D17" s="28" t="str">
        <x:v>P0</x:v>
      </x:c>
      <x:c r="E17" s="28" t="str">
        <x:v>BTC 必须看 liquidation/crash regime。</x:v>
      </x:c>
    </x:row>
    <x:row r="18">
      <x:c r="A18" s="28" t="str">
        <x:v>经济指标</x:v>
      </x:c>
      <x:c r="B18" s="28" t="str">
        <x:v>Turnover / trade frequency</x:v>
      </x:c>
      <x:c r="C18" s="28" t="str">
        <x:v>高预测准确率若带来过高 turnover 可能无用。</x:v>
      </x:c>
      <x:c r="D18" s="28" t="str">
        <x:v>P0</x:v>
      </x:c>
      <x:c r="E18" s="28" t="str">
        <x:v>成本敏感性核心。</x:v>
      </x:c>
    </x:row>
    <x:row r="19">
      <x:c r="A19" s="28" t="str">
        <x:v>稳定性</x:v>
      </x:c>
      <x:c r="B19" s="28" t="str">
        <x:v>Performance by regime</x:v>
      </x:c>
      <x:c r="C19" s="28" t="str">
        <x:v>按 vol、spread、session、trend state 分组。</x:v>
      </x:c>
      <x:c r="D19" s="28" t="str">
        <x:v>P0</x:v>
      </x:c>
      <x:c r="E19" s="28" t="str">
        <x:v>判断 edge 来自何处、何时失效。</x:v>
      </x:c>
    </x:row>
    <x:row r="20">
      <x:c r="A20" s="28" t="str">
        <x:v>稳定性</x:v>
      </x:c>
      <x:c r="B20" s="28" t="str">
        <x:v>Performance decay</x:v>
      </x:c>
      <x:c r="C20" s="28" t="str">
        <x:v>按训练后时间距观察 edge 衰减。</x:v>
      </x:c>
      <x:c r="D20" s="28" t="str">
        <x:v>P0</x:v>
      </x:c>
      <x:c r="E20" s="28" t="str">
        <x:v>决定重训频率。</x:v>
      </x:c>
    </x:row>
    <x:row r="21">
      <x:c r="A21" s="28" t="str">
        <x:v>稳定性</x:v>
      </x:c>
      <x:c r="B21" s="28" t="str">
        <x:v>Cross-exchange / cross-year validation</x:v>
      </x:c>
      <x:c r="C21" s="28" t="str">
        <x:v>不同交易所、年份、牛熊周期外推。</x:v>
      </x:c>
      <x:c r="D21" s="28" t="str">
        <x:v>P0</x:v>
      </x:c>
      <x:c r="E21" s="28" t="str">
        <x:v>避免只拟合某一交易所微结构。</x:v>
      </x:c>
    </x:row>
    <x:row r="22">
      <x:c r="A22" s="28" t="str">
        <x:v>统计显著性</x:v>
      </x:c>
      <x:c r="B22" s="28" t="str">
        <x:v>Block bootstrap / reality check</x:v>
      </x:c>
      <x:c r="C22" s="28" t="str">
        <x:v>考虑自相关后估计置信区间；多模型选择要控制 data snooping。</x:v>
      </x:c>
      <x:c r="D22" s="28" t="str">
        <x:v>P1</x:v>
      </x:c>
      <x:c r="E22" s="28" t="str">
        <x:v>避免从大量试验里挑出幸运模型。</x:v>
      </x:c>
    </x:row>
    <x:row r="23">
      <x:c r="A23" s="28" t="str">
        <x:v>执行</x:v>
      </x:c>
      <x:c r="B23" s="28" t="str">
        <x:v>Fill probability / adverse selection</x:v>
      </x:c>
      <x:c r="C23" s="28" t="str">
        <x:v>LOB模型需评估订单能否成交及成交后不利选择。</x:v>
      </x:c>
      <x:c r="D23" s="28" t="str">
        <x:v>P0</x:v>
      </x:c>
      <x:c r="E23" s="28" t="str">
        <x:v>分类准确率≠可实现交易收益。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e94d0ce0f414e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6" hidden="0" customWidth="1"/>
    <x:col min="4" max="4" width="48" hidden="0" customWidth="1"/>
    <x:col min="5" max="5" width="10" hidden="0" customWidth="1"/>
    <x:col min="6" max="6" width="10" hidden="0" customWidth="1"/>
    <x:col min="7" max="7" width="10" hidden="0" customWidth="1"/>
    <x:col min="8" max="8" width="11" hidden="0" customWidth="1"/>
    <x:col min="9" max="9" width="11" hidden="0" customWidth="1"/>
    <x:col min="10" max="10" width="52" hidden="0" customWidth="1"/>
  </x:cols>
  <x:sheetData>
    <x:row r="1" ht="28" customHeight="1">
      <x:c r="A1" s="4" t="str">
        <x:v>建议的实验顺序：先证明有 edge，再升级模型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11" t="str">
        <x:v>优先分数 = 35% Alpha潜力 + 25%稳健性 + 20%易实现 + 20%数据就绪度；四项均为 1–5。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 ht="32" customHeight="1">
      <x:c r="A3" s="20" t="str">
        <x:v>ID</x:v>
      </x:c>
      <x:c r="B3" s="20" t="str">
        <x:v>实验</x:v>
      </x:c>
      <x:c r="C3" s="20" t="str">
        <x:v>数据需求</x:v>
      </x:c>
      <x:c r="D3" s="20" t="str">
        <x:v>目的</x:v>
      </x:c>
      <x:c r="E3" s="20" t="str">
        <x:v>Alpha潜力</x:v>
      </x:c>
      <x:c r="F3" s="20" t="str">
        <x:v>稳健性</x:v>
      </x:c>
      <x:c r="G3" s="20" t="str">
        <x:v>易实现</x:v>
      </x:c>
      <x:c r="H3" s="20" t="str">
        <x:v>数据就绪度</x:v>
      </x:c>
      <x:c r="I3" s="20" t="str">
        <x:v>优先分数</x:v>
      </x:c>
      <x:c r="J3" s="20" t="str">
        <x:v>建议/备注</x:v>
      </x:c>
    </x:row>
    <x:row r="4">
      <x:c r="A4" s="28" t="str">
        <x:v>E01</x:v>
      </x:c>
      <x:c r="B4" s="28" t="str">
        <x:v>Naive zero-return + cost hurdle</x:v>
      </x:c>
      <x:c r="C4" s="28" t="str">
        <x:v>Raw 5m close/mid</x:v>
      </x:c>
      <x:c r="D4" s="28" t="str">
        <x:v>建立不可被省略的最低门槛。</x:v>
      </x:c>
      <x:c r="E4" s="32" t="n">
        <x:v>2</x:v>
      </x:c>
      <x:c r="F4" s="32" t="n">
        <x:v>5</x:v>
      </x:c>
      <x:c r="G4" s="32" t="n">
        <x:v>5</x:v>
      </x:c>
      <x:c r="H4" s="32" t="n">
        <x:v>5</x:v>
      </x:c>
      <x:c r="I4" s="32" t="n">
        <x:f>ROUND(20*(0.35*E4+0.25*F4+0.20*G4+0.20*H4),0)</x:f>
        <x:v>79</x:v>
      </x:c>
      <x:c r="J4" s="28" t="str">
        <x:v>1天内可完成；所有模型必须对比。</x:v>
      </x:c>
    </x:row>
    <x:row r="5">
      <x:c r="A5" s="28" t="str">
        <x:v>E02</x:v>
      </x:c>
      <x:c r="B5" s="28" t="str">
        <x:v>ElasticNet multi-scale lags</x:v>
      </x:c>
      <x:c r="C5" s="28" t="str">
        <x:v>OHLCV + returns + RV</x:v>
      </x:c>
      <x:c r="D5" s="28" t="str">
        <x:v>强线性 production benchmark。</x:v>
      </x:c>
      <x:c r="E5" s="32" t="n">
        <x:v>4</x:v>
      </x:c>
      <x:c r="F5" s="32" t="n">
        <x:v>5</x:v>
      </x:c>
      <x:c r="G5" s="32" t="n">
        <x:v>5</x:v>
      </x:c>
      <x:c r="H5" s="32" t="n">
        <x:v>5</x:v>
      </x:c>
      <x:c r="I5" s="32" t="n">
        <x:f>ROUND(20*(0.35*E5+0.25*F5+0.20*G5+0.20*H5),0)</x:f>
        <x:v>93</x:v>
      </x:c>
      <x:c r="J5" s="28" t="str">
        <x:v>P0</x:v>
      </x:c>
    </x:row>
    <x:row r="6">
      <x:c r="A6" s="28" t="str">
        <x:v>E03</x:v>
      </x:c>
      <x:c r="B6" s="28" t="str">
        <x:v>XGBoost engineered features</x:v>
      </x:c>
      <x:c r="C6" s="28" t="str">
        <x:v>OHLCV + vol + derivatives + cross-venue</x:v>
      </x:c>
      <x:c r="D6" s="28" t="str">
        <x:v>检验非线性阈值/交互。</x:v>
      </x:c>
      <x:c r="E6" s="32" t="n">
        <x:v>5</x:v>
      </x:c>
      <x:c r="F6" s="32" t="n">
        <x:v>5</x:v>
      </x:c>
      <x:c r="G6" s="32" t="n">
        <x:v>4</x:v>
      </x:c>
      <x:c r="H6" s="32" t="n">
        <x:v>5</x:v>
      </x:c>
      <x:c r="I6" s="32" t="n">
        <x:f>ROUND(20*(0.35*E6+0.25*F6+0.20*G6+0.20*H6),0)</x:f>
        <x:v>96</x:v>
      </x:c>
      <x:c r="J6" s="28" t="str">
        <x:v>P0</x:v>
      </x:c>
    </x:row>
    <x:row r="7">
      <x:c r="A7" s="28" t="str">
        <x:v>E04</x:v>
      </x:c>
      <x:c r="B7" s="28" t="str">
        <x:v>GARCH/EGARCH + HAR-RV risk layer</x:v>
      </x:c>
      <x:c r="C7" s="28" t="str">
        <x:v>1m/5m returns</x:v>
      </x:c>
      <x:c r="D7" s="28" t="str">
        <x:v>先把 volatility forecast 做扎实。</x:v>
      </x:c>
      <x:c r="E7" s="32" t="n">
        <x:v>4</x:v>
      </x:c>
      <x:c r="F7" s="32" t="n">
        <x:v>5</x:v>
      </x:c>
      <x:c r="G7" s="32" t="n">
        <x:v>5</x:v>
      </x:c>
      <x:c r="H7" s="32" t="n">
        <x:v>5</x:v>
      </x:c>
      <x:c r="I7" s="32" t="n">
        <x:f>ROUND(20*(0.35*E7+0.25*F7+0.20*G7+0.20*H7),0)</x:f>
        <x:v>93</x:v>
      </x:c>
      <x:c r="J7" s="28" t="str">
        <x:v>P0</x:v>
      </x:c>
    </x:row>
    <x:row r="8">
      <x:c r="A8" s="28" t="str">
        <x:v>E05</x:v>
      </x:c>
      <x:c r="B8" s="28" t="str">
        <x:v>HMM + BOCPD regime gating</x:v>
      </x:c>
      <x:c r="C8" s="28" t="str">
        <x:v>returns + vol + spread + OI/basis</x:v>
      </x:c>
      <x:c r="D8" s="28" t="str">
        <x:v>把非平稳显式化。</x:v>
      </x:c>
      <x:c r="E8" s="32" t="n">
        <x:v>5</x:v>
      </x:c>
      <x:c r="F8" s="32" t="n">
        <x:v>5</x:v>
      </x:c>
      <x:c r="G8" s="32" t="n">
        <x:v>4</x:v>
      </x:c>
      <x:c r="H8" s="32" t="n">
        <x:v>5</x:v>
      </x:c>
      <x:c r="I8" s="32" t="n">
        <x:f>ROUND(20*(0.35*E8+0.25*F8+0.20*G8+0.20*H8),0)</x:f>
        <x:v>96</x:v>
      </x:c>
      <x:c r="J8" s="28" t="str">
        <x:v>P0</x:v>
      </x:c>
    </x:row>
    <x:row r="9">
      <x:c r="A9" s="28" t="str">
        <x:v>E06</x:v>
      </x:c>
      <x:c r="B9" s="28" t="str">
        <x:v>Microprice + Queue Imbalance Logistic</x:v>
      </x:c>
      <x:c r="C9" s="28" t="str">
        <x:v>L1/L2 book</x:v>
      </x:c>
      <x:c r="D9" s="28" t="str">
        <x:v>最强可解释微观结构基线。</x:v>
      </x:c>
      <x:c r="E9" s="32" t="n">
        <x:v>5</x:v>
      </x:c>
      <x:c r="F9" s="32" t="n">
        <x:v>5</x:v>
      </x:c>
      <x:c r="G9" s="32" t="n">
        <x:v>5</x:v>
      </x:c>
      <x:c r="H9" s="32" t="n">
        <x:v>4</x:v>
      </x:c>
      <x:c r="I9" s="32" t="n">
        <x:f>ROUND(20*(0.35*E9+0.25*F9+0.20*G9+0.20*H9),0)</x:f>
        <x:v>96</x:v>
      </x:c>
      <x:c r="J9" s="28" t="str">
        <x:v>有LOB则P0</x:v>
      </x:c>
    </x:row>
    <x:row r="10">
      <x:c r="A10" s="28" t="str">
        <x:v>E07</x:v>
      </x:c>
      <x:c r="B10" s="28" t="str">
        <x:v>OFI + XGBoost</x:v>
      </x:c>
      <x:c r="C10" s="28" t="str">
        <x:v>L2/L3 events</x:v>
      </x:c>
      <x:c r="D10" s="28" t="str">
        <x:v>结构特征 + 非线性组合。</x:v>
      </x:c>
      <x:c r="E10" s="32" t="n">
        <x:v>5</x:v>
      </x:c>
      <x:c r="F10" s="32" t="n">
        <x:v>5</x:v>
      </x:c>
      <x:c r="G10" s="32" t="n">
        <x:v>4</x:v>
      </x:c>
      <x:c r="H10" s="32" t="n">
        <x:v>4</x:v>
      </x:c>
      <x:c r="I10" s="32" t="n">
        <x:f>ROUND(20*(0.35*E10+0.25*F10+0.20*G10+0.20*H10),0)</x:f>
        <x:v>92</x:v>
      </x:c>
      <x:c r="J10" s="28" t="str">
        <x:v>有LOB则P0</x:v>
      </x:c>
    </x:row>
    <x:row r="11">
      <x:c r="A11" s="28" t="str">
        <x:v>E08</x:v>
      </x:c>
      <x:c r="B11" s="28" t="str">
        <x:v>Hawkes OFI / event intensity</x:v>
      </x:c>
      <x:c r="C11" s="28" t="str">
        <x:v>LOB/trade/liquidation events</x:v>
      </x:c>
      <x:c r="D11" s="28" t="str">
        <x:v>事件时间预测，聚合到未来5m。</x:v>
      </x:c>
      <x:c r="E11" s="32" t="n">
        <x:v>5</x:v>
      </x:c>
      <x:c r="F11" s="32" t="n">
        <x:v>4</x:v>
      </x:c>
      <x:c r="G11" s="32" t="n">
        <x:v>3</x:v>
      </x:c>
      <x:c r="H11" s="32" t="n">
        <x:v>3</x:v>
      </x:c>
      <x:c r="I11" s="32" t="n">
        <x:f>ROUND(20*(0.35*E11+0.25*F11+0.20*G11+0.20*H11),0)</x:f>
        <x:v>79</x:v>
      </x:c>
      <x:c r="J11" s="28" t="str">
        <x:v>P1</x:v>
      </x:c>
    </x:row>
    <x:row r="12">
      <x:c r="A12" s="28" t="str">
        <x:v>E09</x:v>
      </x:c>
      <x:c r="B12" s="28" t="str">
        <x:v>TCN multichannel</x:v>
      </x:c>
      <x:c r="C12" s="28" t="str">
        <x:v>1m/5m + exogenous</x:v>
      </x:c>
      <x:c r="D12" s="28" t="str">
        <x:v>低延迟深度序列 baseline。</x:v>
      </x:c>
      <x:c r="E12" s="32" t="n">
        <x:v>4</x:v>
      </x:c>
      <x:c r="F12" s="32" t="n">
        <x:v>5</x:v>
      </x:c>
      <x:c r="G12" s="32" t="n">
        <x:v>4</x:v>
      </x:c>
      <x:c r="H12" s="32" t="n">
        <x:v>4</x:v>
      </x:c>
      <x:c r="I12" s="32" t="n">
        <x:f>ROUND(20*(0.35*E12+0.25*F12+0.20*G12+0.20*H12),0)</x:f>
        <x:v>85</x:v>
      </x:c>
      <x:c r="J12" s="28" t="str">
        <x:v>P1</x:v>
      </x:c>
    </x:row>
    <x:row r="13">
      <x:c r="A13" s="28" t="str">
        <x:v>E10</x:v>
      </x:c>
      <x:c r="B13" s="28" t="str">
        <x:v>N-HiTS multi-scale</x:v>
      </x:c>
      <x:c r="C13" s="28" t="str">
        <x:v>1m/5m/15m/1h features</x:v>
      </x:c>
      <x:c r="D13" s="28" t="str">
        <x:v>多尺度轻量深度预测。</x:v>
      </x:c>
      <x:c r="E13" s="32" t="n">
        <x:v>4</x:v>
      </x:c>
      <x:c r="F13" s="32" t="n">
        <x:v>5</x:v>
      </x:c>
      <x:c r="G13" s="32" t="n">
        <x:v>4</x:v>
      </x:c>
      <x:c r="H13" s="32" t="n">
        <x:v>5</x:v>
      </x:c>
      <x:c r="I13" s="32" t="n">
        <x:f>ROUND(20*(0.35*E13+0.25*F13+0.20*G13+0.20*H13),0)</x:f>
        <x:v>89</x:v>
      </x:c>
      <x:c r="J13" s="28" t="str">
        <x:v>P1</x:v>
      </x:c>
    </x:row>
    <x:row r="14">
      <x:c r="A14" s="28" t="str">
        <x:v>E11</x:v>
      </x:c>
      <x:c r="B14" s="28" t="str">
        <x:v>DLinear/NLinear</x:v>
      </x:c>
      <x:c r="C14" s="28" t="str">
        <x:v>multivariate sequences</x:v>
      </x:c>
      <x:c r="D14" s="28" t="str">
        <x:v>复杂模型的强最简对手。</x:v>
      </x:c>
      <x:c r="E14" s="32" t="n">
        <x:v>3</x:v>
      </x:c>
      <x:c r="F14" s="32" t="n">
        <x:v>5</x:v>
      </x:c>
      <x:c r="G14" s="32" t="n">
        <x:v>5</x:v>
      </x:c>
      <x:c r="H14" s="32" t="n">
        <x:v>5</x:v>
      </x:c>
      <x:c r="I14" s="32" t="n">
        <x:f>ROUND(20*(0.35*E14+0.25*F14+0.20*G14+0.20*H14),0)</x:f>
        <x:v>86</x:v>
      </x:c>
      <x:c r="J14" s="28" t="str">
        <x:v>P0基线</x:v>
      </x:c>
    </x:row>
    <x:row r="15">
      <x:c r="A15" s="28" t="str">
        <x:v>E12</x:v>
      </x:c>
      <x:c r="B15" s="28" t="str">
        <x:v>PatchTST</x:v>
      </x:c>
      <x:c r="C15" s="28" t="str">
        <x:v>multivariate sequences</x:v>
      </x:c>
      <x:c r="D15" s="28" t="str">
        <x:v>现代 patch Transformer。</x:v>
      </x:c>
      <x:c r="E15" s="32" t="n">
        <x:v>4</x:v>
      </x:c>
      <x:c r="F15" s="32" t="n">
        <x:v>4</x:v>
      </x:c>
      <x:c r="G15" s="32" t="n">
        <x:v>3</x:v>
      </x:c>
      <x:c r="H15" s="32" t="n">
        <x:v>4</x:v>
      </x:c>
      <x:c r="I15" s="32" t="n">
        <x:f>ROUND(20*(0.35*E15+0.25*F15+0.20*G15+0.20*H15),0)</x:f>
        <x:v>76</x:v>
      </x:c>
      <x:c r="J15" s="28" t="str">
        <x:v>P1</x:v>
      </x:c>
    </x:row>
    <x:row r="16">
      <x:c r="A16" s="28" t="str">
        <x:v>E13</x:v>
      </x:c>
      <x:c r="B16" s="28" t="str">
        <x:v>iTransformer</x:v>
      </x:c>
      <x:c r="C16" s="28" t="str">
        <x:v>many exogenous channels</x:v>
      </x:c>
      <x:c r="D16" s="28" t="str">
        <x:v>直接学跨变量关系。</x:v>
      </x:c>
      <x:c r="E16" s="32" t="n">
        <x:v>5</x:v>
      </x:c>
      <x:c r="F16" s="32" t="n">
        <x:v>4</x:v>
      </x:c>
      <x:c r="G16" s="32" t="n">
        <x:v>3</x:v>
      </x:c>
      <x:c r="H16" s="32" t="n">
        <x:v>4</x:v>
      </x:c>
      <x:c r="I16" s="32" t="n">
        <x:f>ROUND(20*(0.35*E16+0.25*F16+0.20*G16+0.20*H16),0)</x:f>
        <x:v>83</x:v>
      </x:c>
      <x:c r="J16" s="28" t="str">
        <x:v>P1</x:v>
      </x:c>
    </x:row>
    <x:row r="17">
      <x:c r="A17" s="28" t="str">
        <x:v>E14</x:v>
      </x:c>
      <x:c r="B17" s="28" t="str">
        <x:v>TimeMixer</x:v>
      </x:c>
      <x:c r="C17" s="28" t="str">
        <x:v>multi-resolution series</x:v>
      </x:c>
      <x:c r="D17" s="28" t="str">
        <x:v>多尺度 mixing，兼顾效率。</x:v>
      </x:c>
      <x:c r="E17" s="32" t="n">
        <x:v>5</x:v>
      </x:c>
      <x:c r="F17" s="32" t="n">
        <x:v>4</x:v>
      </x:c>
      <x:c r="G17" s="32" t="n">
        <x:v>4</x:v>
      </x:c>
      <x:c r="H17" s="32" t="n">
        <x:v>4</x:v>
      </x:c>
      <x:c r="I17" s="32" t="n">
        <x:f>ROUND(20*(0.35*E17+0.25*F17+0.20*G17+0.20*H17),0)</x:f>
        <x:v>87</x:v>
      </x:c>
      <x:c r="J17" s="28" t="str">
        <x:v>P1优先</x:v>
      </x:c>
    </x:row>
    <x:row r="18">
      <x:c r="A18" s="28" t="str">
        <x:v>E15</x:v>
      </x:c>
      <x:c r="B18" s="28" t="str">
        <x:v>Koopa + change-point reset</x:v>
      </x:c>
      <x:c r="C18" s="28" t="str">
        <x:v>nonstationary multivariate</x:v>
      </x:c>
      <x:c r="D18" s="28" t="str">
        <x:v>非平稳动力学 + 断点保护。</x:v>
      </x:c>
      <x:c r="E18" s="32" t="n">
        <x:v>5</x:v>
      </x:c>
      <x:c r="F18" s="32" t="n">
        <x:v>4</x:v>
      </x:c>
      <x:c r="G18" s="32" t="n">
        <x:v>3</x:v>
      </x:c>
      <x:c r="H18" s="32" t="n">
        <x:v>4</x:v>
      </x:c>
      <x:c r="I18" s="32" t="n">
        <x:f>ROUND(20*(0.35*E18+0.25*F18+0.20*G18+0.20*H18),0)</x:f>
        <x:v>83</x:v>
      </x:c>
      <x:c r="J18" s="28" t="str">
        <x:v>P1优先</x:v>
      </x:c>
    </x:row>
    <x:row r="19">
      <x:c r="A19" s="28" t="str">
        <x:v>E16</x:v>
      </x:c>
      <x:c r="B19" s="28" t="str">
        <x:v>TTM fine-tune</x:v>
      </x:c>
      <x:c r="C19" s="28" t="str">
        <x:v>multi-crypto panel</x:v>
      </x:c>
      <x:c r="D19" s="28" t="str">
        <x:v>轻量 foundation model 迁移。</x:v>
      </x:c>
      <x:c r="E19" s="32" t="n">
        <x:v>4</x:v>
      </x:c>
      <x:c r="F19" s="32" t="n">
        <x:v>4</x:v>
      </x:c>
      <x:c r="G19" s="32" t="n">
        <x:v>4</x:v>
      </x:c>
      <x:c r="H19" s="32" t="n">
        <x:v>4</x:v>
      </x:c>
      <x:c r="I19" s="32" t="n">
        <x:f>ROUND(20*(0.35*E19+0.25*F19+0.20*G19+0.20*H19),0)</x:f>
        <x:v>80</x:v>
      </x:c>
      <x:c r="J19" s="28" t="str">
        <x:v>P1研究</x:v>
      </x:c>
    </x:row>
    <x:row r="20">
      <x:c r="A20" s="28" t="str">
        <x:v>E17</x:v>
      </x:c>
      <x:c r="B20" s="28" t="str">
        <x:v>Chronos/TimesFM zero-shot benchmark</x:v>
      </x:c>
      <x:c r="C20" s="28" t="str">
        <x:v>return/vol series</x:v>
      </x:c>
      <x:c r="D20" s="28" t="str">
        <x:v>验证通用 TSFM 是否真有价值。</x:v>
      </x:c>
      <x:c r="E20" s="32" t="n">
        <x:v>2</x:v>
      </x:c>
      <x:c r="F20" s="32" t="n">
        <x:v>4</x:v>
      </x:c>
      <x:c r="G20" s="32" t="n">
        <x:v>3</x:v>
      </x:c>
      <x:c r="H20" s="32" t="n">
        <x:v>4</x:v>
      </x:c>
      <x:c r="I20" s="32" t="n">
        <x:f>ROUND(20*(0.35*E20+0.25*F20+0.20*G20+0.20*H20),0)</x:f>
        <x:v>62</x:v>
      </x:c>
      <x:c r="J20" s="28" t="str">
        <x:v>P2；只做benchmark</x:v>
      </x:c>
    </x:row>
    <x:row r="21">
      <x:c r="A21" s="28" t="str">
        <x:v>E18</x:v>
      </x:c>
      <x:c r="B21" s="28" t="str">
        <x:v>TS2Vec/CoST pretrain + XGBoost head</x:v>
      </x:c>
      <x:c r="C21" s="28" t="str">
        <x:v>large unlabeled multi-crypto panel</x:v>
      </x:c>
      <x:c r="D21" s="28" t="str">
        <x:v>无标签表征 + 简单下游。</x:v>
      </x:c>
      <x:c r="E21" s="32" t="n">
        <x:v>5</x:v>
      </x:c>
      <x:c r="F21" s="32" t="n">
        <x:v>4</x:v>
      </x:c>
      <x:c r="G21" s="32" t="n">
        <x:v>3</x:v>
      </x:c>
      <x:c r="H21" s="32" t="n">
        <x:v>3</x:v>
      </x:c>
      <x:c r="I21" s="32" t="n">
        <x:f>ROUND(20*(0.35*E21+0.25*F21+0.20*G21+0.20*H21),0)</x:f>
        <x:v>79</x:v>
      </x:c>
      <x:c r="J21" s="28" t="str">
        <x:v>P1低估</x:v>
      </x:c>
    </x:row>
    <x:row r="22">
      <x:c r="A22" s="28" t="str">
        <x:v>E19</x:v>
      </x:c>
      <x:c r="B22" s="28" t="str">
        <x:v>DeepLOB vs TLOB</x:v>
      </x:c>
      <x:c r="C22" s="28" t="str">
        <x:v>10-level LOB sequences</x:v>
      </x:c>
      <x:c r="D22" s="28" t="str">
        <x:v>LOB 深度模型正面对比。</x:v>
      </x:c>
      <x:c r="E22" s="32" t="n">
        <x:v>5</x:v>
      </x:c>
      <x:c r="F22" s="32" t="n">
        <x:v>4</x:v>
      </x:c>
      <x:c r="G22" s="32" t="n">
        <x:v>2</x:v>
      </x:c>
      <x:c r="H22" s="32" t="n">
        <x:v>3</x:v>
      </x:c>
      <x:c r="I22" s="32" t="n">
        <x:f>ROUND(20*(0.35*E22+0.25*F22+0.20*G22+0.20*H22),0)</x:f>
        <x:v>75</x:v>
      </x:c>
      <x:c r="J22" s="28" t="str">
        <x:v>LOB数据成熟后</x:v>
      </x:c>
    </x:row>
    <x:row r="23">
      <x:c r="A23" s="28" t="str">
        <x:v>E20</x:v>
      </x:c>
      <x:c r="B23" s="28" t="str">
        <x:v>Regime-gated ensemble</x:v>
      </x:c>
      <x:c r="C23" s="28" t="str">
        <x:v>all OOF model forecasts</x:v>
      </x:c>
      <x:c r="D23" s="28" t="str">
        <x:v>把不同 alpha 在合适 regime 动态组合。</x:v>
      </x:c>
      <x:c r="E23" s="32" t="n">
        <x:v>5</x:v>
      </x:c>
      <x:c r="F23" s="32" t="n">
        <x:v>5</x:v>
      </x:c>
      <x:c r="G23" s="32" t="n">
        <x:v>3</x:v>
      </x:c>
      <x:c r="H23" s="32" t="n">
        <x:v>4</x:v>
      </x:c>
      <x:c r="I23" s="32" t="n">
        <x:f>ROUND(20*(0.35*E23+0.25*F23+0.20*G23+0.20*H23),0)</x:f>
        <x:v>88</x:v>
      </x:c>
      <x:c r="J23" s="28" t="str">
        <x:v>最终production层</x:v>
      </x:c>
    </x:row>
    <x:row r="24">
      <x:c r="A24" s="28" t="str">
        <x:v>E21</x:v>
      </x:c>
      <x:c r="B24" s="28" t="str">
        <x:v>Multi-task return+vol+quantile model</x:v>
      </x:c>
      <x:c r="C24" s="28" t="str">
        <x:v>best sequence encoder</x:v>
      </x:c>
      <x:c r="D24" s="28" t="str">
        <x:v>降低 noisy return 单任务过拟合。</x:v>
      </x:c>
      <x:c r="E24" s="32" t="n">
        <x:v>5</x:v>
      </x:c>
      <x:c r="F24" s="32" t="n">
        <x:v>4</x:v>
      </x:c>
      <x:c r="G24" s="32" t="n">
        <x:v>3</x:v>
      </x:c>
      <x:c r="H24" s="32" t="n">
        <x:v>3</x:v>
      </x:c>
      <x:c r="I24" s="32" t="n">
        <x:f>ROUND(20*(0.35*E24+0.25*F24+0.20*G24+0.20*H24),0)</x:f>
        <x:v>79</x:v>
      </x:c>
      <x:c r="J24" s="28" t="str">
        <x:v>P1</x:v>
      </x:c>
    </x:row>
    <x:row r="25">
      <x:c r="A25" s="28" t="str">
        <x:v>E22</x:v>
      </x:c>
      <x:c r="B25" s="28" t="str">
        <x:v>Finance-domain pretrain (FinCast-like / own crypto TSFM)</x:v>
      </x:c>
      <x:c r="C25" s="28" t="str">
        <x:v>multi-asset financial/crypto panel</x:v>
      </x:c>
      <x:c r="D25" s="28" t="str">
        <x:v>检验 domain pretraining 是否优于通用 TSFM。</x:v>
      </x:c>
      <x:c r="E25" s="32" t="n">
        <x:v>5</x:v>
      </x:c>
      <x:c r="F25" s="32" t="n">
        <x:v>3</x:v>
      </x:c>
      <x:c r="G25" s="32" t="n">
        <x:v>1</x:v>
      </x:c>
      <x:c r="H25" s="32" t="n">
        <x:v>2</x:v>
      </x:c>
      <x:c r="I25" s="32" t="n">
        <x:f>ROUND(20*(0.35*E25+0.25*F25+0.20*G25+0.20*H25),0)</x:f>
        <x:v>62</x:v>
      </x:c>
      <x:c r="J25" s="28" t="str">
        <x:v>中长期研发</x:v>
      </x:c>
    </x:row>
  </x:sheetData>
  <x:mergeCells>
    <x:mergeCell ref="A1:J1"/>
    <x:mergeCell ref="A2:J2"/>
  </x:mergeCells>
  <x:conditionalFormatting sqref="I4:I25">
    <x:cfRule type="dataBar" priority="1">
      <x:dataBar>
        <x:cfvo type="min"/>
        <x:cfvo type="max"/>
        <x:color rgb="FF17365D"/>
      </x:dataBar>
      <x:extLst>
        <x:ext xmlns:x14="http://schemas.microsoft.com/office/spreadsheetml/2009/9/main" uri="{B025F937-C7B1-47D3-B67F-A62EFF666E3E}">
          <x14:id>{FC2D222A-2E1F-1EE6-5F9F-7110629664B0}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a9ce4bfb59e4c5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C2D222A-2E1F-1EE6-5F9F-7110629664B0}">
            <x14:dataBar gradient="1">
              <x14:cfvo type="min"/>
              <x14:cfvo type="max"/>
              <x14:fillColor rgb="FF17365D"/>
            </x14:dataBar>
          </x14:cfRule>
          <xm:sqref>I4:I25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52" hidden="0" customWidth="1"/>
    <x:col min="4" max="4" width="9" hidden="0" customWidth="1"/>
    <x:col min="5" max="5" width="28" hidden="0" customWidth="1"/>
    <x:col min="6" max="6" width="58" hidden="0" customWidth="1"/>
    <x:col min="7" max="7" width="48" hidden="0" customWidth="1"/>
  </x:cols>
  <x:sheetData>
    <x:row r="1" ht="28" customHeight="1">
      <x:c r="A1" s="4" t="str">
        <x:v>Sources / 原始来源索引</x:v>
      </x:c>
      <x:c r="B1" s="4"/>
      <x:c r="C1" s="4"/>
      <x:c r="D1" s="4"/>
      <x:c r="E1" s="4"/>
      <x:c r="F1" s="4"/>
      <x:c r="G1" s="4"/>
    </x:row>
    <x:row r="2" ht="26" customHeight="1">
      <x:c r="A2" s="11" t="str">
        <x:v>全部 URL 以明文保留，便于复制、复核与继续深挖。论文优先使用 DOI、arXiv、PMLR、OpenReview、NeurIPS proceedings 或作者官方代码库。</x:v>
      </x:c>
      <x:c r="B2" s="11"/>
      <x:c r="C2" s="11"/>
      <x:c r="D2" s="11"/>
      <x:c r="E2" s="11"/>
      <x:c r="F2" s="11"/>
      <x:c r="G2" s="11"/>
    </x:row>
    <x:row r="3" ht="32" customHeight="1">
      <x:c r="A3" s="20" t="str">
        <x:v>ID</x:v>
      </x:c>
      <x:c r="B3" s="20" t="str">
        <x:v>类型</x:v>
      </x:c>
      <x:c r="C3" s="20" t="str">
        <x:v>来源/论文</x:v>
      </x:c>
      <x:c r="D3" s="20" t="str">
        <x:v>年份</x:v>
      </x:c>
      <x:c r="E3" s="20" t="str">
        <x:v>方法家族</x:v>
      </x:c>
      <x:c r="F3" s="20" t="str">
        <x:v>URL（明文）</x:v>
      </x:c>
      <x:c r="G3" s="20" t="str">
        <x:v>对应说明</x:v>
      </x:c>
    </x:row>
    <x:row r="4">
      <x:c r="A4" s="28" t="str">
        <x:v>S001</x:v>
      </x:c>
      <x:c r="B4" s="28" t="str">
        <x:v>论文/来源</x:v>
      </x:c>
      <x:c r="C4" s="28" t="str">
        <x:v>Fractional Differencing</x:v>
      </x:c>
      <x:c r="D4" s="28" t="str">
        <x:v>1981</x:v>
      </x:c>
      <x:c r="E4" s="28" t="str">
        <x:v>经典统计</x:v>
      </x:c>
      <x:c r="F4" s="28" t="str">
        <x:v>https://doi.org/10.1093/biomet/68.1.165</x:v>
      </x:c>
      <x:c r="G4" s="28" t="str">
        <x:v>Method: ARFIMA / Fractional Differencing</x:v>
      </x:c>
    </x:row>
    <x:row r="5">
      <x:c r="A5" s="28" t="str">
        <x:v>S002</x:v>
      </x:c>
      <x:c r="B5" s="28" t="str">
        <x:v>论文/来源</x:v>
      </x:c>
      <x:c r="C5" s="28" t="str">
        <x:v>Macroeconomics and Reality</x:v>
      </x:c>
      <x:c r="D5" s="28" t="str">
        <x:v>1980</x:v>
      </x:c>
      <x:c r="E5" s="28" t="str">
        <x:v>经典统计</x:v>
      </x:c>
      <x:c r="F5" s="28" t="str">
        <x:v>https://doi.org/10.2307/1912017</x:v>
      </x:c>
      <x:c r="G5" s="28" t="str">
        <x:v>Method: VAR / VARX</x:v>
      </x:c>
    </x:row>
    <x:row r="6">
      <x:c r="A6" s="28" t="str">
        <x:v>S003</x:v>
      </x:c>
      <x:c r="B6" s="28" t="str">
        <x:v>论文/来源</x:v>
      </x:c>
      <x:c r="C6" s="28" t="str">
        <x:v>A New Approach to Linear Filtering and Prediction Problems</x:v>
      </x:c>
      <x:c r="D6" s="28" t="str">
        <x:v>1960</x:v>
      </x:c>
      <x:c r="E6" s="28" t="str">
        <x:v>经典统计</x:v>
      </x:c>
      <x:c r="F6" s="28" t="str">
        <x:v>https://doi.org/10.1115/1.3662552</x:v>
      </x:c>
      <x:c r="G6" s="28" t="str">
        <x:v>Method: Kalman Filter / Dynamic Linear Model | Journal of Basic Engineering; P0经典</x:v>
      </x:c>
    </x:row>
    <x:row r="7">
      <x:c r="A7" s="28" t="str">
        <x:v>S004</x:v>
      </x:c>
      <x:c r="B7" s="28" t="str">
        <x:v>论文/来源</x:v>
      </x:c>
      <x:c r="C7" s="28" t="str">
        <x:v>Generalized Autoregressive Conditional Heteroskedasticity</x:v>
      </x:c>
      <x:c r="D7" s="28" t="str">
        <x:v>1986</x:v>
      </x:c>
      <x:c r="E7" s="28" t="str">
        <x:v>经典统计</x:v>
      </x:c>
      <x:c r="F7" s="28" t="str">
        <x:v>https://doi.org/10.1016/0304-4076(86)90063-1</x:v>
      </x:c>
      <x:c r="G7" s="28" t="str">
        <x:v>Method: GARCH | Journal of Econometrics; P0经典</x:v>
      </x:c>
    </x:row>
    <x:row r="8">
      <x:c r="A8" s="28" t="str">
        <x:v>S005</x:v>
      </x:c>
      <x:c r="B8" s="28" t="str">
        <x:v>论文/来源</x:v>
      </x:c>
      <x:c r="C8" s="28" t="str">
        <x:v>EGARCH</x:v>
      </x:c>
      <x:c r="D8" s="28" t="str">
        <x:v>1991</x:v>
      </x:c>
      <x:c r="E8" s="28" t="str">
        <x:v>经典统计</x:v>
      </x:c>
      <x:c r="F8" s="28" t="str">
        <x:v>https://doi.org/10.2307/2938260</x:v>
      </x:c>
      <x:c r="G8" s="28" t="str">
        <x:v>Method: EGARCH / GJR-GARCH</x:v>
      </x:c>
    </x:row>
    <x:row r="9">
      <x:c r="A9" s="28" t="str">
        <x:v>S006</x:v>
      </x:c>
      <x:c r="B9" s="28" t="str">
        <x:v>论文/来源</x:v>
      </x:c>
      <x:c r="C9" s="28" t="str">
        <x:v>A Simple Approximate Long-Memory Model of Realized Volatility</x:v>
      </x:c>
      <x:c r="D9" s="28" t="str">
        <x:v>2009</x:v>
      </x:c>
      <x:c r="E9" s="28" t="str">
        <x:v>经典统计</x:v>
      </x:c>
      <x:c r="F9" s="28" t="str">
        <x:v>https://doi.org/10.1093/jjfinec/nbp001</x:v>
      </x:c>
      <x:c r="G9" s="28" t="str">
        <x:v>Method: HAR-RV / HARQ | Journal of Financial Econometrics; P0经典</x:v>
      </x:c>
    </x:row>
    <x:row r="10">
      <x:c r="A10" s="28" t="str">
        <x:v>S007</x:v>
      </x:c>
      <x:c r="B10" s="28" t="str">
        <x:v>论文/来源</x:v>
      </x:c>
      <x:c r="C10" s="28" t="str">
        <x:v>A New Approach to the Economic Analysis of Nonstationary Time Series and the Business Cycle</x:v>
      </x:c>
      <x:c r="D10" s="28" t="str">
        <x:v>1989</x:v>
      </x:c>
      <x:c r="E10" s="28" t="str">
        <x:v>经典统计</x:v>
      </x:c>
      <x:c r="F10" s="28" t="str">
        <x:v>https://doi.org/10.2307/1912559</x:v>
      </x:c>
      <x:c r="G10" s="28" t="str">
        <x:v>Method: Markov Switching / HMM | Econometrica; P0经典</x:v>
      </x:c>
    </x:row>
    <x:row r="11">
      <x:c r="A11" s="28" t="str">
        <x:v>S008</x:v>
      </x:c>
      <x:c r="B11" s="28" t="str">
        <x:v>论文/来源</x:v>
      </x:c>
      <x:c r="C11" s="28" t="str">
        <x:v>Bayesian Online Changepoint Detection</x:v>
      </x:c>
      <x:c r="D11" s="28" t="str">
        <x:v>2007</x:v>
      </x:c>
      <x:c r="E11" s="28" t="str">
        <x:v>经典统计</x:v>
      </x:c>
      <x:c r="F11" s="28" t="str">
        <x:v>https://arxiv.org/abs/0710.3742</x:v>
      </x:c>
      <x:c r="G11" s="28" t="str">
        <x:v>Method: BOCPD / Change-point Detection</x:v>
      </x:c>
    </x:row>
    <x:row r="12">
      <x:c r="A12" s="28" t="str">
        <x:v>S009</x:v>
      </x:c>
      <x:c r="B12" s="28" t="str">
        <x:v>论文/来源</x:v>
      </x:c>
      <x:c r="C12" s="28" t="str">
        <x:v>Spectra of Some Self-Exciting and Mutually Exciting Point Processes</x:v>
      </x:c>
      <x:c r="D12" s="28" t="str">
        <x:v>1971</x:v>
      </x:c>
      <x:c r="E12" s="28" t="str">
        <x:v>经典统计</x:v>
      </x:c>
      <x:c r="F12" s="28" t="str">
        <x:v>https://doi.org/10.1093/biomet/58.1.83</x:v>
      </x:c>
      <x:c r="G12" s="28" t="str">
        <x:v>Method: Hawkes Process</x:v>
      </x:c>
    </x:row>
    <x:row r="13">
      <x:c r="A13" s="28" t="str">
        <x:v>S010</x:v>
      </x:c>
      <x:c r="B13" s="28" t="str">
        <x:v>论文/来源</x:v>
      </x:c>
      <x:c r="C13" s="28" t="str">
        <x:v>The Price Impact of Order Book Events</x:v>
      </x:c>
      <x:c r="D13" s="28" t="str">
        <x:v>2014</x:v>
      </x:c>
      <x:c r="E13" s="28" t="str">
        <x:v>经典统计</x:v>
      </x:c>
      <x:c r="F13" s="28" t="str">
        <x:v>https://academic.oup.com/jfec/article-abstract/12/1/47/816163</x:v>
      </x:c>
      <x:c r="G13" s="28" t="str">
        <x:v>Method: Order Flow Imbalance (OFI) Linear Model | Journal of Financial Econometrics; P0必读</x:v>
      </x:c>
    </x:row>
    <x:row r="14">
      <x:c r="A14" s="28" t="str">
        <x:v>S011</x:v>
      </x:c>
      <x:c r="B14" s="28" t="str">
        <x:v>论文/来源</x:v>
      </x:c>
      <x:c r="C14" s="28" t="str">
        <x:v>Queue Imbalance as a One-Tick-Ahead Price Predictor in a Limit Order Book</x:v>
      </x:c>
      <x:c r="D14" s="28" t="str">
        <x:v>2015</x:v>
      </x:c>
      <x:c r="E14" s="28" t="str">
        <x:v>经典统计</x:v>
      </x:c>
      <x:c r="F14" s="28" t="str">
        <x:v>https://arxiv.org/abs/1512.03492</x:v>
      </x:c>
      <x:c r="G14" s="28" t="str">
        <x:v>Method: Queue Imbalance + Logistic / Local Logistic | arXiv / Market Microstructure and Liquidity; P0必读</x:v>
      </x:c>
    </x:row>
    <x:row r="15">
      <x:c r="A15" s="28" t="str">
        <x:v>S012</x:v>
      </x:c>
      <x:c r="B15" s="28" t="str">
        <x:v>论文/来源</x:v>
      </x:c>
      <x:c r="C15" s="28" t="str">
        <x:v>The Micro-Price: A High-Frequency Estimator of Future Prices</x:v>
      </x:c>
      <x:c r="D15" s="28" t="str">
        <x:v>2018</x:v>
      </x:c>
      <x:c r="E15" s="28" t="str">
        <x:v>经典统计</x:v>
      </x:c>
      <x:c r="F15" s="28" t="str">
        <x:v>https://www.tandfonline.com/doi/abs/10.1080/14697688.2018.1489139</x:v>
      </x:c>
      <x:c r="G15" s="28" t="str">
        <x:v>Method: Microprice / Weighted Mid | Quantitative Finance; P0必读</x:v>
      </x:c>
    </x:row>
    <x:row r="16">
      <x:c r="A16" s="28" t="str">
        <x:v>S013</x:v>
      </x:c>
      <x:c r="B16" s="28" t="str">
        <x:v>论文/来源</x:v>
      </x:c>
      <x:c r="C16" s="28" t="str">
        <x:v>Regression Quantiles</x:v>
      </x:c>
      <x:c r="D16" s="28" t="str">
        <x:v>1978</x:v>
      </x:c>
      <x:c r="E16" s="28" t="str">
        <x:v>经典统计</x:v>
      </x:c>
      <x:c r="F16" s="28" t="str">
        <x:v>https://doi.org/10.2307/1913643</x:v>
      </x:c>
      <x:c r="G16" s="28" t="str">
        <x:v>Method: Quantile Regression / Quantile AR</x:v>
      </x:c>
    </x:row>
    <x:row r="17">
      <x:c r="A17" s="28" t="str">
        <x:v>S014</x:v>
      </x:c>
      <x:c r="B17" s="28" t="str">
        <x:v>论文/来源</x:v>
      </x:c>
      <x:c r="C17" s="28" t="str">
        <x:v>Regularization and Variable Selection via the Elastic Net</x:v>
      </x:c>
      <x:c r="D17" s="28" t="str">
        <x:v>2005</x:v>
      </x:c>
      <x:c r="E17" s="28" t="str">
        <x:v>经典机器学习</x:v>
      </x:c>
      <x:c r="F17" s="28" t="str">
        <x:v>https://doi.org/10.1111/j.1467-9868.2005.00503.x</x:v>
      </x:c>
      <x:c r="G17" s="28" t="str">
        <x:v>Method: Ridge / Lasso / ElasticNet</x:v>
      </x:c>
    </x:row>
    <x:row r="18">
      <x:c r="A18" s="28" t="str">
        <x:v>S015</x:v>
      </x:c>
      <x:c r="B18" s="28" t="str">
        <x:v>论文/来源</x:v>
      </x:c>
      <x:c r="C18" s="28" t="str">
        <x:v>Support-Vector Networks</x:v>
      </x:c>
      <x:c r="D18" s="28" t="str">
        <x:v>1995</x:v>
      </x:c>
      <x:c r="E18" s="28" t="str">
        <x:v>经典机器学习</x:v>
      </x:c>
      <x:c r="F18" s="28" t="str">
        <x:v>https://doi.org/10.1007/BF00994018</x:v>
      </x:c>
      <x:c r="G18" s="28" t="str">
        <x:v>Method: SVM / SVR</x:v>
      </x:c>
    </x:row>
    <x:row r="19">
      <x:c r="A19" s="28" t="str">
        <x:v>S016</x:v>
      </x:c>
      <x:c r="B19" s="28" t="str">
        <x:v>论文/来源</x:v>
      </x:c>
      <x:c r="C19" s="28" t="str">
        <x:v>Random Forests</x:v>
      </x:c>
      <x:c r="D19" s="28" t="str">
        <x:v>2001</x:v>
      </x:c>
      <x:c r="E19" s="28" t="str">
        <x:v>经典机器学习</x:v>
      </x:c>
      <x:c r="F19" s="28" t="str">
        <x:v>https://doi.org/10.1023/A:1010933404324</x:v>
      </x:c>
      <x:c r="G19" s="28" t="str">
        <x:v>Method: Random Forest / ExtraTrees</x:v>
      </x:c>
    </x:row>
    <x:row r="20">
      <x:c r="A20" s="28" t="str">
        <x:v>S017</x:v>
      </x:c>
      <x:c r="B20" s="28" t="str">
        <x:v>论文/来源</x:v>
      </x:c>
      <x:c r="C20" s="28" t="str">
        <x:v>XGBoost: A Scalable Tree Boosting System</x:v>
      </x:c>
      <x:c r="D20" s="28" t="str">
        <x:v>2016</x:v>
      </x:c>
      <x:c r="E20" s="28" t="str">
        <x:v>经典机器学习</x:v>
      </x:c>
      <x:c r="F20" s="28" t="str">
        <x:v>https://doi.org/10.1145/2939672.2939785</x:v>
      </x:c>
      <x:c r="G20" s="28" t="str">
        <x:v>Method: XGBoost / LightGBM / CatBoost</x:v>
      </x:c>
    </x:row>
    <x:row r="21">
      <x:c r="A21" s="28" t="str">
        <x:v>S018</x:v>
      </x:c>
      <x:c r="B21" s="28" t="str">
        <x:v>代码</x:v>
      </x:c>
      <x:c r="C21" s="28" t="str">
        <x:v>XGBoost / LightGBM / CatBoost</x:v>
      </x:c>
      <x:c r="D21" s="28" t="str">
        <x:v>2016</x:v>
      </x:c>
      <x:c r="E21" s="28" t="str">
        <x:v>经典机器学习</x:v>
      </x:c>
      <x:c r="F21" s="28" t="str">
        <x:v>https://github.com/dmlc/xgboost</x:v>
      </x:c>
      <x:c r="G21" s="28" t="str">
        <x:v>官方/作者代码库（如有）</x:v>
      </x:c>
    </x:row>
    <x:row r="22">
      <x:c r="A22" s="28" t="str">
        <x:v>S019</x:v>
      </x:c>
      <x:c r="B22" s="28" t="str">
        <x:v>论文/来源</x:v>
      </x:c>
      <x:c r="C22" s="28" t="str">
        <x:v>Long Short-Term Memory</x:v>
      </x:c>
      <x:c r="D22" s="28" t="str">
        <x:v>1997</x:v>
      </x:c>
      <x:c r="E22" s="28" t="str">
        <x:v>深度学习</x:v>
      </x:c>
      <x:c r="F22" s="28" t="str">
        <x:v>https://doi.org/10.1162/neco.1997.9.8.1735</x:v>
      </x:c>
      <x:c r="G22" s="28" t="str">
        <x:v>Method: LSTM / GRU</x:v>
      </x:c>
    </x:row>
    <x:row r="23">
      <x:c r="A23" s="28" t="str">
        <x:v>S020</x:v>
      </x:c>
      <x:c r="B23" s="28" t="str">
        <x:v>论文/来源</x:v>
      </x:c>
      <x:c r="C23" s="28" t="str">
        <x:v>An Empirical Evaluation of Generic Convolutional and Recurrent Networks</x:v>
      </x:c>
      <x:c r="D23" s="28" t="str">
        <x:v>2018</x:v>
      </x:c>
      <x:c r="E23" s="28" t="str">
        <x:v>深度学习</x:v>
      </x:c>
      <x:c r="F23" s="28" t="str">
        <x:v>https://arxiv.org/abs/1803.01271</x:v>
      </x:c>
      <x:c r="G23" s="28" t="str">
        <x:v>Method: TCN / Dilated Causal CNN</x:v>
      </x:c>
    </x:row>
    <x:row r="24">
      <x:c r="A24" s="28" t="str">
        <x:v>S021</x:v>
      </x:c>
      <x:c r="B24" s="28" t="str">
        <x:v>论文/来源</x:v>
      </x:c>
      <x:c r="C24" s="28" t="str">
        <x:v>DeepAR: Probabilistic Forecasting with Autoregressive Recurrent Networks</x:v>
      </x:c>
      <x:c r="D24" s="28" t="str">
        <x:v>2020</x:v>
      </x:c>
      <x:c r="E24" s="28" t="str">
        <x:v>深度学习</x:v>
      </x:c>
      <x:c r="F24" s="28" t="str">
        <x:v>https://doi.org/10.1016/j.ijforecast.2019.07.001</x:v>
      </x:c>
      <x:c r="G24" s="28" t="str">
        <x:v>Method: DeepAR | International Journal of Forecasting; P1经典深度</x:v>
      </x:c>
    </x:row>
    <x:row r="25">
      <x:c r="A25" s="28" t="str">
        <x:v>S022</x:v>
      </x:c>
      <x:c r="B25" s="28" t="str">
        <x:v>论文/来源</x:v>
      </x:c>
      <x:c r="C25" s="28" t="str">
        <x:v>Deep State Space Models for Time Series Forecasting</x:v>
      </x:c>
      <x:c r="D25" s="28" t="str">
        <x:v>2018</x:v>
      </x:c>
      <x:c r="E25" s="28" t="str">
        <x:v>深度学习</x:v>
      </x:c>
      <x:c r="F25" s="28" t="str">
        <x:v>https://proceedings.neurips.cc/paper_files/paper/2018/file/5cf68969fb67aa6082363a6d4e6468e2-Paper.pdf</x:v>
      </x:c>
      <x:c r="G25" s="28" t="str">
        <x:v>Method: Deep State Space Models</x:v>
      </x:c>
    </x:row>
    <x:row r="26">
      <x:c r="A26" s="28" t="str">
        <x:v>S023</x:v>
      </x:c>
      <x:c r="B26" s="28" t="str">
        <x:v>论文/来源</x:v>
      </x:c>
      <x:c r="C26" s="28" t="str">
        <x:v>N-BEATS: Neural Basis Expansion Analysis for Interpretable Time Series Forecasting</x:v>
      </x:c>
      <x:c r="D26" s="28" t="str">
        <x:v>2020</x:v>
      </x:c>
      <x:c r="E26" s="28" t="str">
        <x:v>深度学习</x:v>
      </x:c>
      <x:c r="F26" s="28" t="str">
        <x:v>https://arxiv.org/abs/1905.10437</x:v>
      </x:c>
      <x:c r="G26" s="28" t="str">
        <x:v>Method: N-BEATS | ICLR; P0现代基线</x:v>
      </x:c>
    </x:row>
    <x:row r="27">
      <x:c r="A27" s="28" t="str">
        <x:v>S024</x:v>
      </x:c>
      <x:c r="B27" s="28" t="str">
        <x:v>论文/来源</x:v>
      </x:c>
      <x:c r="C27" s="28" t="str">
        <x:v>N-HiTS: Neural Hierarchical Interpolation for Time Series Forecasting</x:v>
      </x:c>
      <x:c r="D27" s="28" t="str">
        <x:v>2023</x:v>
      </x:c>
      <x:c r="E27" s="28" t="str">
        <x:v>深度学习</x:v>
      </x:c>
      <x:c r="F27" s="28" t="str">
        <x:v>https://arxiv.org/abs/2201.12886</x:v>
      </x:c>
      <x:c r="G27" s="28" t="str">
        <x:v>Method: N-HiTS | AAAI 2023; P0低估</x:v>
      </x:c>
    </x:row>
    <x:row r="28">
      <x:c r="A28" s="28" t="str">
        <x:v>S025</x:v>
      </x:c>
      <x:c r="B28" s="28" t="str">
        <x:v>论文/来源</x:v>
      </x:c>
      <x:c r="C28" s="28" t="str">
        <x:v>Temporal Fusion Transformers for Interpretable Multi-horizon Time Series Forecasting</x:v>
      </x:c>
      <x:c r="D28" s="28" t="str">
        <x:v>2021</x:v>
      </x:c>
      <x:c r="E28" s="28" t="str">
        <x:v>深度学习</x:v>
      </x:c>
      <x:c r="F28" s="28" t="str">
        <x:v>https://arxiv.org/abs/1912.09363</x:v>
      </x:c>
      <x:c r="G28" s="28" t="str">
        <x:v>Method: Temporal Fusion Transformer (TFT) | International Journal of Forecasting; P1</x:v>
      </x:c>
    </x:row>
    <x:row r="29">
      <x:c r="A29" s="28" t="str">
        <x:v>S026</x:v>
      </x:c>
      <x:c r="B29" s="28" t="str">
        <x:v>论文/来源</x:v>
      </x:c>
      <x:c r="C29" s="28" t="str">
        <x:v>Are Transformers Effective for Time Series Forecasting?</x:v>
      </x:c>
      <x:c r="D29" s="28" t="str">
        <x:v>2023</x:v>
      </x:c>
      <x:c r="E29" s="28" t="str">
        <x:v>深度学习</x:v>
      </x:c>
      <x:c r="F29" s="28" t="str">
        <x:v>https://ojs.aaai.org/index.php/AAAI/article/view/26317</x:v>
      </x:c>
      <x:c r="G29" s="28" t="str">
        <x:v>Method: DLinear / NLinear | AAAI; P0必读</x:v>
      </x:c>
    </x:row>
    <x:row r="30">
      <x:c r="A30" s="28" t="str">
        <x:v>S027</x:v>
      </x:c>
      <x:c r="B30" s="28" t="str">
        <x:v>论文/来源</x:v>
      </x:c>
      <x:c r="C30" s="28" t="str">
        <x:v>TimesNet: Temporal 2D-Variation Modeling for General Time Series Analysis</x:v>
      </x:c>
      <x:c r="D30" s="28" t="str">
        <x:v>2023</x:v>
      </x:c>
      <x:c r="E30" s="28" t="str">
        <x:v>深度学习</x:v>
      </x:c>
      <x:c r="F30" s="28" t="str">
        <x:v>https://openreview.net/forum?id=ju_Uqw384Oq</x:v>
      </x:c>
      <x:c r="G30" s="28" t="str">
        <x:v>Method: TimesNet | ICLR; P1</x:v>
      </x:c>
    </x:row>
    <x:row r="31">
      <x:c r="A31" s="28" t="str">
        <x:v>S028</x:v>
      </x:c>
      <x:c r="B31" s="28" t="str">
        <x:v>论文/来源</x:v>
      </x:c>
      <x:c r="C31" s="28" t="str">
        <x:v>A Time Series is Worth 64 Words: Long-term Forecasting with Transformers</x:v>
      </x:c>
      <x:c r="D31" s="28" t="str">
        <x:v>2023</x:v>
      </x:c>
      <x:c r="E31" s="28" t="str">
        <x:v>深度学习</x:v>
      </x:c>
      <x:c r="F31" s="28" t="str">
        <x:v>https://arxiv.org/abs/2211.14730</x:v>
      </x:c>
      <x:c r="G31" s="28" t="str">
        <x:v>Method: PatchTST | ICLR; P0现代基线</x:v>
      </x:c>
    </x:row>
    <x:row r="32">
      <x:c r="A32" s="28" t="str">
        <x:v>S029</x:v>
      </x:c>
      <x:c r="B32" s="28" t="str">
        <x:v>代码</x:v>
      </x:c>
      <x:c r="C32" s="28" t="str">
        <x:v>A Time Series is Worth 64 Words: Long-term Forecasting with Transformers</x:v>
      </x:c>
      <x:c r="D32" s="28" t="str">
        <x:v>2023</x:v>
      </x:c>
      <x:c r="E32" s="28" t="str">
        <x:v>深度学习</x:v>
      </x:c>
      <x:c r="F32" s="28" t="str">
        <x:v>https://github.com/yuqinie98/PatchTST</x:v>
      </x:c>
      <x:c r="G32" s="28" t="str">
        <x:v>官方/作者代码库（如有） | 作者/官方代码库</x:v>
      </x:c>
    </x:row>
    <x:row r="33">
      <x:c r="A33" s="28" t="str">
        <x:v>S030</x:v>
      </x:c>
      <x:c r="B33" s="28" t="str">
        <x:v>论文/来源</x:v>
      </x:c>
      <x:c r="C33" s="28" t="str">
        <x:v>iTransformer: Inverted Transformers Are Effective for Time Series Forecasting</x:v>
      </x:c>
      <x:c r="D33" s="28" t="str">
        <x:v>2024</x:v>
      </x:c>
      <x:c r="E33" s="28" t="str">
        <x:v>深度学习</x:v>
      </x:c>
      <x:c r="F33" s="28" t="str">
        <x:v>https://arxiv.org/abs/2310.06625</x:v>
      </x:c>
      <x:c r="G33" s="28" t="str">
        <x:v>Method: iTransformer | ICLR; P0现代基线</x:v>
      </x:c>
    </x:row>
    <x:row r="34">
      <x:c r="A34" s="28" t="str">
        <x:v>S031</x:v>
      </x:c>
      <x:c r="B34" s="28" t="str">
        <x:v>代码</x:v>
      </x:c>
      <x:c r="C34" s="28" t="str">
        <x:v>iTransformer: Inverted Transformers Are Effective for Time Series Forecasting</x:v>
      </x:c>
      <x:c r="D34" s="28" t="str">
        <x:v>2024</x:v>
      </x:c>
      <x:c r="E34" s="28" t="str">
        <x:v>深度学习</x:v>
      </x:c>
      <x:c r="F34" s="28" t="str">
        <x:v>https://github.com/thuml/iTransformer</x:v>
      </x:c>
      <x:c r="G34" s="28" t="str">
        <x:v>官方/作者代码库（如有） | 作者/官方代码库</x:v>
      </x:c>
    </x:row>
    <x:row r="35">
      <x:c r="A35" s="28" t="str">
        <x:v>S032</x:v>
      </x:c>
      <x:c r="B35" s="28" t="str">
        <x:v>论文/来源</x:v>
      </x:c>
      <x:c r="C35" s="28" t="str">
        <x:v>TimeMixer: Decomposable Multiscale Mixing for Time Series Forecasting</x:v>
      </x:c>
      <x:c r="D35" s="28" t="str">
        <x:v>2024</x:v>
      </x:c>
      <x:c r="E35" s="28" t="str">
        <x:v>深度学习</x:v>
      </x:c>
      <x:c r="F35" s="28" t="str">
        <x:v>https://arxiv.org/abs/2405.14616</x:v>
      </x:c>
      <x:c r="G35" s="28" t="str">
        <x:v>Method: TimeMixer | ICLR; P0前沿低估</x:v>
      </x:c>
    </x:row>
    <x:row r="36">
      <x:c r="A36" s="28" t="str">
        <x:v>S033</x:v>
      </x:c>
      <x:c r="B36" s="28" t="str">
        <x:v>论文/来源</x:v>
      </x:c>
      <x:c r="C36" s="28" t="str">
        <x:v>Koopa: Learning Non-stationary Time Series Dynamics with Koopman Predictors</x:v>
      </x:c>
      <x:c r="D36" s="28" t="str">
        <x:v>2024</x:v>
      </x:c>
      <x:c r="E36" s="28" t="str">
        <x:v>深度学习</x:v>
      </x:c>
      <x:c r="F36" s="28" t="str">
        <x:v>https://arxiv.org/abs/2305.18803</x:v>
      </x:c>
      <x:c r="G36" s="28" t="str">
        <x:v>Method: Koopa | NeurIPS / arXiv; P0低估</x:v>
      </x:c>
    </x:row>
    <x:row r="37">
      <x:c r="A37" s="28" t="str">
        <x:v>S034</x:v>
      </x:c>
      <x:c r="B37" s="28" t="str">
        <x:v>论文/来源</x:v>
      </x:c>
      <x:c r="C37" s="28" t="str">
        <x:v>Efficiently Modeling Long Sequences with Structured State Spaces</x:v>
      </x:c>
      <x:c r="D37" s="28" t="str">
        <x:v>2022</x:v>
      </x:c>
      <x:c r="E37" s="28" t="str">
        <x:v>深度学习</x:v>
      </x:c>
      <x:c r="F37" s="28" t="str">
        <x:v>https://arxiv.org/abs/2111.00396</x:v>
      </x:c>
      <x:c r="G37" s="28" t="str">
        <x:v>Method: S4 / S5 | ICLR 2022; P1架构</x:v>
      </x:c>
    </x:row>
    <x:row r="38">
      <x:c r="A38" s="28" t="str">
        <x:v>S035</x:v>
      </x:c>
      <x:c r="B38" s="28" t="str">
        <x:v>论文/来源</x:v>
      </x:c>
      <x:c r="C38" s="28" t="str">
        <x:v>Mamba: Linear-Time Sequence Modeling with Selective State Spaces</x:v>
      </x:c>
      <x:c r="D38" s="28" t="str">
        <x:v>2023</x:v>
      </x:c>
      <x:c r="E38" s="28" t="str">
        <x:v>深度学习</x:v>
      </x:c>
      <x:c r="F38" s="28" t="str">
        <x:v>https://arxiv.org/abs/2312.00752</x:v>
      </x:c>
      <x:c r="G38" s="28" t="str">
        <x:v>Method: Mamba / Mamba-style SSM | arXiv; P1架构</x:v>
      </x:c>
    </x:row>
    <x:row r="39">
      <x:c r="A39" s="28" t="str">
        <x:v>S036</x:v>
      </x:c>
      <x:c r="B39" s="28" t="str">
        <x:v>论文/来源</x:v>
      </x:c>
      <x:c r="C39" s="28" t="str">
        <x:v>Non-autoregressive Conditional Diffusion Models for Time Series Prediction</x:v>
      </x:c>
      <x:c r="D39" s="28" t="str">
        <x:v>2023</x:v>
      </x:c>
      <x:c r="E39" s="28" t="str">
        <x:v>深度学习</x:v>
      </x:c>
      <x:c r="F39" s="28" t="str">
        <x:v>https://proceedings.mlr.press/v202/shen23d.html</x:v>
      </x:c>
      <x:c r="G39" s="28" t="str">
        <x:v>Method: Diffusion Forecasting (TimeGrad / TimeDiff / TMDM) | ICML; P2</x:v>
      </x:c>
    </x:row>
    <x:row r="40">
      <x:c r="A40" s="28" t="str">
        <x:v>S037</x:v>
      </x:c>
      <x:c r="B40" s="28" t="str">
        <x:v>论文/来源</x:v>
      </x:c>
      <x:c r="C40" s="28" t="str">
        <x:v>TS2Vec: Towards Universal Representation of Time Series</x:v>
      </x:c>
      <x:c r="D40" s="28" t="str">
        <x:v>2022</x:v>
      </x:c>
      <x:c r="E40" s="28" t="str">
        <x:v>深度学习</x:v>
      </x:c>
      <x:c r="F40" s="28" t="str">
        <x:v>https://arxiv.org/abs/2106.10466</x:v>
      </x:c>
      <x:c r="G40" s="28" t="str">
        <x:v>Method: TS2Vec + linear/tree head | arXiv / AAAI 2022; P1低估</x:v>
      </x:c>
    </x:row>
    <x:row r="41">
      <x:c r="A41" s="28" t="str">
        <x:v>S038</x:v>
      </x:c>
      <x:c r="B41" s="28" t="str">
        <x:v>代码</x:v>
      </x:c>
      <x:c r="C41" s="28" t="str">
        <x:v>TS2Vec: Towards Universal Representation of Time Series</x:v>
      </x:c>
      <x:c r="D41" s="28" t="str">
        <x:v>2022</x:v>
      </x:c>
      <x:c r="E41" s="28" t="str">
        <x:v>深度学习</x:v>
      </x:c>
      <x:c r="F41" s="28" t="str">
        <x:v>https://github.com/yuezhihan/ts2vec</x:v>
      </x:c>
      <x:c r="G41" s="28" t="str">
        <x:v>官方/作者代码库（如有） | 作者/官方代码库</x:v>
      </x:c>
    </x:row>
    <x:row r="42">
      <x:c r="A42" s="28" t="str">
        <x:v>S039</x:v>
      </x:c>
      <x:c r="B42" s="28" t="str">
        <x:v>论文/来源</x:v>
      </x:c>
      <x:c r="C42" s="28" t="str">
        <x:v>CoST: Contrastive Learning of Disentangled Seasonal-Trend Representations for Time Series Forecasting</x:v>
      </x:c>
      <x:c r="D42" s="28" t="str">
        <x:v>2022</x:v>
      </x:c>
      <x:c r="E42" s="28" t="str">
        <x:v>深度学习</x:v>
      </x:c>
      <x:c r="F42" s="28" t="str">
        <x:v>https://arxiv.org/abs/2202.01575</x:v>
      </x:c>
      <x:c r="G42" s="28" t="str">
        <x:v>Method: CoST + simple head | ICLR / arXiv; P1低估</x:v>
      </x:c>
    </x:row>
    <x:row r="43">
      <x:c r="A43" s="28" t="str">
        <x:v>S040</x:v>
      </x:c>
      <x:c r="B43" s="28" t="str">
        <x:v>代码</x:v>
      </x:c>
      <x:c r="C43" s="28" t="str">
        <x:v>CoST: Contrastive Learning of Disentangled Seasonal-Trend Representations for Time Series Forecasting</x:v>
      </x:c>
      <x:c r="D43" s="28" t="str">
        <x:v>2022</x:v>
      </x:c>
      <x:c r="E43" s="28" t="str">
        <x:v>深度学习</x:v>
      </x:c>
      <x:c r="F43" s="28" t="str">
        <x:v>https://github.com/salesforce/CoST</x:v>
      </x:c>
      <x:c r="G43" s="28" t="str">
        <x:v>官方/作者代码库（如有） | 作者/官方代码库</x:v>
      </x:c>
    </x:row>
    <x:row r="44">
      <x:c r="A44" s="28" t="str">
        <x:v>S041</x:v>
      </x:c>
      <x:c r="B44" s="28" t="str">
        <x:v>论文/来源</x:v>
      </x:c>
      <x:c r="C44" s="28" t="str">
        <x:v>TimeFilter: Patch-Specific Spatial-Temporal Graph Filtration for Time Series Forecasting</x:v>
      </x:c>
      <x:c r="D44" s="28" t="str">
        <x:v>2025</x:v>
      </x:c>
      <x:c r="E44" s="28" t="str">
        <x:v>深度学习</x:v>
      </x:c>
      <x:c r="F44" s="28" t="str">
        <x:v>https://proceedings.mlr.press/v267/hu25ac.html</x:v>
      </x:c>
      <x:c r="G44" s="28" t="str">
        <x:v>Method: Graph / FourierGNN / TimeFilter-style | ICML; P2</x:v>
      </x:c>
    </x:row>
    <x:row r="45">
      <x:c r="A45" s="28" t="str">
        <x:v>S042</x:v>
      </x:c>
      <x:c r="B45" s="28" t="str">
        <x:v>论文/来源</x:v>
      </x:c>
      <x:c r="C45" s="28" t="str">
        <x:v>CMoS: Rethinking Time Series Prediction Through the Lens of Chunk-wise Spatial Correlations</x:v>
      </x:c>
      <x:c r="D45" s="28" t="str">
        <x:v>2025</x:v>
      </x:c>
      <x:c r="E45" s="28" t="str">
        <x:v>深度学习</x:v>
      </x:c>
      <x:c r="F45" s="28" t="str">
        <x:v>https://proceedings.mlr.press/v267/si25a.html</x:v>
      </x:c>
      <x:c r="G45" s="28" t="str">
        <x:v>Method: CMoS / lightweight chunk correlation | ICML; P1低估</x:v>
      </x:c>
    </x:row>
    <x:row r="46">
      <x:c r="A46" s="28" t="str">
        <x:v>S043</x:v>
      </x:c>
      <x:c r="B46" s="28" t="str">
        <x:v>论文/来源</x:v>
      </x:c>
      <x:c r="C46" s="28" t="str">
        <x:v>Temporal Query Network for Efficient Multivariate Time Series Forecasting</x:v>
      </x:c>
      <x:c r="D46" s="28" t="str">
        <x:v>2025</x:v>
      </x:c>
      <x:c r="E46" s="28" t="str">
        <x:v>深度学习</x:v>
      </x:c>
      <x:c r="F46" s="28" t="str">
        <x:v>https://proceedings.mlr.press/v267/lin25e.html</x:v>
      </x:c>
      <x:c r="G46" s="28" t="str">
        <x:v>Method: Temporal Query Network (TQNet) | ICML; P1前沿</x:v>
      </x:c>
    </x:row>
    <x:row r="47">
      <x:c r="A47" s="28" t="str">
        <x:v>S044</x:v>
      </x:c>
      <x:c r="B47" s="28" t="str">
        <x:v>论文/来源</x:v>
      </x:c>
      <x:c r="C47" s="28" t="str">
        <x:v>Chronos: Learning the Language of Time Series</x:v>
      </x:c>
      <x:c r="D47" s="28" t="str">
        <x:v>2024</x:v>
      </x:c>
      <x:c r="E47" s="28" t="str">
        <x:v>时间序列基础模型</x:v>
      </x:c>
      <x:c r="F47" s="28" t="str">
        <x:v>https://arxiv.org/abs/2403.07815</x:v>
      </x:c>
      <x:c r="G47" s="28" t="str">
        <x:v>Method: Chronos | arXiv; P1 TSFM</x:v>
      </x:c>
    </x:row>
    <x:row r="48">
      <x:c r="A48" s="28" t="str">
        <x:v>S045</x:v>
      </x:c>
      <x:c r="B48" s="28" t="str">
        <x:v>论文/来源</x:v>
      </x:c>
      <x:c r="C48" s="28" t="str">
        <x:v>A decoder-only foundation model for time-series forecasting (TimesFM)</x:v>
      </x:c>
      <x:c r="D48" s="28" t="str">
        <x:v>2024</x:v>
      </x:c>
      <x:c r="E48" s="28" t="str">
        <x:v>时间序列基础模型</x:v>
      </x:c>
      <x:c r="F48" s="28" t="str">
        <x:v>https://arxiv.org/abs/2310.10688</x:v>
      </x:c>
      <x:c r="G48" s="28" t="str">
        <x:v>Method: TimesFM | arXiv; P1 TSFM</x:v>
      </x:c>
    </x:row>
    <x:row r="49">
      <x:c r="A49" s="28" t="str">
        <x:v>S046</x:v>
      </x:c>
      <x:c r="B49" s="28" t="str">
        <x:v>论文/来源</x:v>
      </x:c>
      <x:c r="C49" s="28" t="str">
        <x:v>Lag-Llama: Towards Foundation Models for Probabilistic Time Series Forecasting</x:v>
      </x:c>
      <x:c r="D49" s="28" t="str">
        <x:v>2024</x:v>
      </x:c>
      <x:c r="E49" s="28" t="str">
        <x:v>时间序列基础模型</x:v>
      </x:c>
      <x:c r="F49" s="28" t="str">
        <x:v>https://arxiv.org/abs/2310.08278</x:v>
      </x:c>
      <x:c r="G49" s="28" t="str">
        <x:v>Method: Lag-Llama | arXiv; P2 TSFM</x:v>
      </x:c>
    </x:row>
    <x:row r="50">
      <x:c r="A50" s="28" t="str">
        <x:v>S047</x:v>
      </x:c>
      <x:c r="B50" s="28" t="str">
        <x:v>论文/来源</x:v>
      </x:c>
      <x:c r="C50" s="28" t="str">
        <x:v>Unified Training of Universal Time Series Forecasting Transformers (Moirai)</x:v>
      </x:c>
      <x:c r="D50" s="28" t="str">
        <x:v>2024</x:v>
      </x:c>
      <x:c r="E50" s="28" t="str">
        <x:v>时间序列基础模型</x:v>
      </x:c>
      <x:c r="F50" s="28" t="str">
        <x:v>https://proceedings.mlr.press/v235/woo24a.html</x:v>
      </x:c>
      <x:c r="G50" s="28" t="str">
        <x:v>Method: Moirai | ICML; P1 TSFM</x:v>
      </x:c>
    </x:row>
    <x:row r="51">
      <x:c r="A51" s="28" t="str">
        <x:v>S048</x:v>
      </x:c>
      <x:c r="B51" s="28" t="str">
        <x:v>论文/来源</x:v>
      </x:c>
      <x:c r="C51" s="28" t="str">
        <x:v>MOMENT: A Family of Open Time-series Foundation Models</x:v>
      </x:c>
      <x:c r="D51" s="28" t="str">
        <x:v>2024</x:v>
      </x:c>
      <x:c r="E51" s="28" t="str">
        <x:v>时间序列基础模型</x:v>
      </x:c>
      <x:c r="F51" s="28" t="str">
        <x:v>https://arxiv.org/abs/2402.03885</x:v>
      </x:c>
      <x:c r="G51" s="28" t="str">
        <x:v>Method: MOMENT | arXiv / ICML; P2 TSFM</x:v>
      </x:c>
    </x:row>
    <x:row r="52">
      <x:c r="A52" s="28" t="str">
        <x:v>S049</x:v>
      </x:c>
      <x:c r="B52" s="28" t="str">
        <x:v>论文/来源</x:v>
      </x:c>
      <x:c r="C52" s="28" t="str">
        <x:v>Timer: Generative Pre-trained Transformers Are Large Time Series Models</x:v>
      </x:c>
      <x:c r="D52" s="28" t="str">
        <x:v>2024</x:v>
      </x:c>
      <x:c r="E52" s="28" t="str">
        <x:v>时间序列基础模型</x:v>
      </x:c>
      <x:c r="F52" s="28" t="str">
        <x:v>https://arxiv.org/abs/2402.02368</x:v>
      </x:c>
      <x:c r="G52" s="28" t="str">
        <x:v>Method: Timer | arXiv; P2 TSFM</x:v>
      </x:c>
    </x:row>
    <x:row r="53">
      <x:c r="A53" s="28" t="str">
        <x:v>S050</x:v>
      </x:c>
      <x:c r="B53" s="28" t="str">
        <x:v>论文/来源</x:v>
      </x:c>
      <x:c r="C53" s="28" t="str">
        <x:v>Tiny Time Mixers: Fast Pre-trained Models for Enhanced Zero/Few-Shot Forecasting</x:v>
      </x:c>
      <x:c r="D53" s="28" t="str">
        <x:v>2024</x:v>
      </x:c>
      <x:c r="E53" s="28" t="str">
        <x:v>时间序列基础模型</x:v>
      </x:c>
      <x:c r="F53" s="28" t="str">
        <x:v>https://arxiv.org/abs/2401.03955</x:v>
      </x:c>
      <x:c r="G53" s="28" t="str">
        <x:v>Method: Tiny Time Mixers (TTM) | arXiv; P0低估</x:v>
      </x:c>
    </x:row>
    <x:row r="54">
      <x:c r="A54" s="28" t="str">
        <x:v>S051</x:v>
      </x:c>
      <x:c r="B54" s="28" t="str">
        <x:v>论文/来源</x:v>
      </x:c>
      <x:c r="C54" s="28" t="str">
        <x:v>Time-MoE: Billion-Scale Time Series Foundation Models with Mixture of Experts</x:v>
      </x:c>
      <x:c r="D54" s="28" t="str">
        <x:v>2024</x:v>
      </x:c>
      <x:c r="E54" s="28" t="str">
        <x:v>时间序列基础模型</x:v>
      </x:c>
      <x:c r="F54" s="28" t="str">
        <x:v>https://arxiv.org/abs/2409.16040</x:v>
      </x:c>
      <x:c r="G54" s="28" t="str">
        <x:v>Method: Time-MoE / Moirai-MoE | arXiv; P2研究</x:v>
      </x:c>
    </x:row>
    <x:row r="55">
      <x:c r="A55" s="28" t="str">
        <x:v>S052</x:v>
      </x:c>
      <x:c r="B55" s="28" t="str">
        <x:v>论文/来源</x:v>
      </x:c>
      <x:c r="C55" s="28" t="str">
        <x:v>Sundial: A Family of Highly Capable Time Series Foundation Models</x:v>
      </x:c>
      <x:c r="D55" s="28" t="str">
        <x:v>2025</x:v>
      </x:c>
      <x:c r="E55" s="28" t="str">
        <x:v>时间序列基础模型</x:v>
      </x:c>
      <x:c r="F55" s="28" t="str">
        <x:v>https://arxiv.org/abs/2502.00816</x:v>
      </x:c>
      <x:c r="G55" s="28" t="str">
        <x:v>Method: Sundial | arXiv; P2研究</x:v>
      </x:c>
    </x:row>
    <x:row r="56">
      <x:c r="A56" s="28" t="str">
        <x:v>S053</x:v>
      </x:c>
      <x:c r="B56" s="28" t="str">
        <x:v>论文/来源</x:v>
      </x:c>
      <x:c r="C56" s="28" t="str">
        <x:v>A Foundation Model for Financial Time-Series Forecasting (FinCast)</x:v>
      </x:c>
      <x:c r="D56" s="28" t="str">
        <x:v>2025</x:v>
      </x:c>
      <x:c r="E56" s="28" t="str">
        <x:v>时间序列基础模型</x:v>
      </x:c>
      <x:c r="F56" s="28" t="str">
        <x:v>https://arxiv.org/abs/2508.19609</x:v>
      </x:c>
      <x:c r="G56" s="28" t="str">
        <x:v>Method: FinCast | arXiv; P1前沿</x:v>
      </x:c>
    </x:row>
    <x:row r="57">
      <x:c r="A57" s="28" t="str">
        <x:v>S054</x:v>
      </x:c>
      <x:c r="B57" s="28" t="str">
        <x:v>论文/来源</x:v>
      </x:c>
      <x:c r="C57" s="28" t="str">
        <x:v>DeepLOB: Deep Convolutional Neural Networks for Limit Order Books</x:v>
      </x:c>
      <x:c r="D57" s="28" t="str">
        <x:v>2018</x:v>
      </x:c>
      <x:c r="E57" s="28" t="str">
        <x:v>市场微观结构深度学习</x:v>
      </x:c>
      <x:c r="F57" s="28" t="str">
        <x:v>https://arxiv.org/abs/1808.03668</x:v>
      </x:c>
      <x:c r="G57" s="28" t="str">
        <x:v>Method: DeepLOB | arXiv / IEEE TSP; P0必读</x:v>
      </x:c>
    </x:row>
    <x:row r="58">
      <x:c r="A58" s="28" t="str">
        <x:v>S055</x:v>
      </x:c>
      <x:c r="B58" s="28" t="str">
        <x:v>论文/来源</x:v>
      </x:c>
      <x:c r="C58" s="28" t="str">
        <x:v>Deep Learning for Digital Asset Limit Order Books</x:v>
      </x:c>
      <x:c r="D58" s="28" t="str">
        <x:v>2020</x:v>
      </x:c>
      <x:c r="E58" s="28" t="str">
        <x:v>市场微观结构深度学习</x:v>
      </x:c>
      <x:c r="F58" s="28" t="str">
        <x:v>https://arxiv.org/abs/2010.01241</x:v>
      </x:c>
      <x:c r="G58" s="28" t="str">
        <x:v>Method: Temporal CNN for Digital Asset LOB | arXiv; P0直接相关</x:v>
      </x:c>
    </x:row>
    <x:row r="59">
      <x:c r="A59" s="28" t="str">
        <x:v>S056</x:v>
      </x:c>
      <x:c r="B59" s="28" t="str">
        <x:v>代码</x:v>
      </x:c>
      <x:c r="C59" s="28" t="str">
        <x:v>Deep Learning for Digital Asset Limit Order Books</x:v>
      </x:c>
      <x:c r="D59" s="28" t="str">
        <x:v>2020</x:v>
      </x:c>
      <x:c r="E59" s="28" t="str">
        <x:v>市场微观结构深度学习</x:v>
      </x:c>
      <x:c r="F59" s="28" t="str">
        <x:v>https://github.com/Globe-Research/deep-orderbook</x:v>
      </x:c>
      <x:c r="G59" s="28" t="str">
        <x:v>官方/作者代码库（如有） | 作者/官方代码库</x:v>
      </x:c>
    </x:row>
    <x:row r="60">
      <x:c r="A60" s="28" t="str">
        <x:v>S057</x:v>
      </x:c>
      <x:c r="B60" s="28" t="str">
        <x:v>论文/来源</x:v>
      </x:c>
      <x:c r="C60" s="28" t="str">
        <x:v>TLOB: A Novel Transformer Model with Dual Attention for Price Trend Prediction with Limit Order Book Data</x:v>
      </x:c>
      <x:c r="D60" s="28" t="str">
        <x:v>2025</x:v>
      </x:c>
      <x:c r="E60" s="28" t="str">
        <x:v>市场微观结构深度学习</x:v>
      </x:c>
      <x:c r="F60" s="28" t="str">
        <x:v>https://arxiv.org/abs/2502.15757</x:v>
      </x:c>
      <x:c r="G60" s="28" t="str">
        <x:v>Method: TLOB / dual-attention Transformer | arXiv; P1前沿</x:v>
      </x:c>
    </x:row>
    <x:row r="61">
      <x:c r="A61" s="28" t="str">
        <x:v>S058</x:v>
      </x:c>
      <x:c r="B61" s="28" t="str">
        <x:v>论文/来源</x:v>
      </x:c>
      <x:c r="C61" s="28" t="str">
        <x:v>LOBERT: Generative AI Foundation Model for Limit Order Books</x:v>
      </x:c>
      <x:c r="D61" s="28" t="str">
        <x:v>2025</x:v>
      </x:c>
      <x:c r="E61" s="28" t="str">
        <x:v>市场微观结构深度学习</x:v>
      </x:c>
      <x:c r="F61" s="28" t="str">
        <x:v>https://arxiv.org/abs/2511.12563</x:v>
      </x:c>
      <x:c r="G61" s="28" t="str">
        <x:v>Method: LOBERT | arXiv; P2研究</x:v>
      </x:c>
    </x:row>
    <x:row r="62">
      <x:c r="A62" s="28" t="str">
        <x:v>S059</x:v>
      </x:c>
      <x:c r="B62" s="28" t="str">
        <x:v>论文/来源</x:v>
      </x:c>
      <x:c r="C62" s="28" t="str">
        <x:v>TradeFM: A Generative Foundation Model for Trade-flow</x:v>
      </x:c>
      <x:c r="D62" s="28" t="str">
        <x:v>2026</x:v>
      </x:c>
      <x:c r="E62" s="28" t="str">
        <x:v>市场微观结构深度学习</x:v>
      </x:c>
      <x:c r="F62" s="28" t="str">
        <x:v>https://arxiv.org/abs/2602.23784</x:v>
      </x:c>
      <x:c r="G62" s="28" t="str">
        <x:v>Method: TradeFM | arXiv; P2研究</x:v>
      </x:c>
    </x:row>
    <x:row r="63">
      <x:c r="A63" s="28" t="str">
        <x:v>S060</x:v>
      </x:c>
      <x:c r="B63" s="28" t="str">
        <x:v>论文/来源</x:v>
      </x:c>
      <x:c r="C63" s="28" t="str">
        <x:v>Hawkes-based cryptocurrency forecasting via Limit Order Book data</x:v>
      </x:c>
      <x:c r="D63" s="28" t="str">
        <x:v>2023</x:v>
      </x:c>
      <x:c r="E63" s="28" t="str">
        <x:v>混合/研究范式</x:v>
      </x:c>
      <x:c r="F63" s="28" t="str">
        <x:v>https://arxiv.org/abs/2312.16190</x:v>
      </x:c>
      <x:c r="G63" s="28" t="str">
        <x:v>Method: Hawkes + ML / Deep Hawkes Hybrid | arXiv; P1直接相关</x:v>
      </x:c>
    </x:row>
    <x:row r="64">
      <x:c r="A64" s="28" t="str">
        <x:v>S061</x:v>
      </x:c>
      <x:c r="B64" s="28" t="str">
        <x:v>代码</x:v>
      </x:c>
      <x:c r="C64" s="28" t="str">
        <x:v>The Price Impact of Order Book Events</x:v>
      </x:c>
      <x:c r="D64" s="28" t="n">
        <x:v>2014</x:v>
      </x:c>
      <x:c r="E64" s="28" t="str">
        <x:v>市场微观结构/OFI</x:v>
      </x:c>
      <x:c r="F64" s="28" t="str">
        <x:v>https://arxiv.org/abs/1011.6402</x:v>
      </x:c>
      <x:c r="G64" s="28" t="str">
        <x:v>作者/官方代码库</x:v>
      </x:c>
    </x:row>
    <x:row r="65">
      <x:c r="A65" s="28" t="str">
        <x:v>S062</x:v>
      </x:c>
      <x:c r="B65" s="28" t="str">
        <x:v>论文</x:v>
      </x:c>
      <x:c r="C65" s="28" t="str">
        <x:v>Forecasting High Frequency Order Flow Imbalance</x:v>
      </x:c>
      <x:c r="D65" s="28" t="n">
        <x:v>2024</x:v>
      </x:c>
      <x:c r="E65" s="28" t="str">
        <x:v>Hawkes / OFI</x:v>
      </x:c>
      <x:c r="F65" s="28" t="str">
        <x:v>https://arxiv.org/abs/2408.03594</x:v>
      </x:c>
      <x:c r="G65" s="28" t="str">
        <x:v>arXiv; P1</x:v>
      </x:c>
    </x:row>
    <x:row r="66">
      <x:c r="A66" s="28" t="str">
        <x:v>S063</x:v>
      </x:c>
      <x:c r="B66" s="28" t="str">
        <x:v>论文</x:v>
      </x:c>
      <x:c r="C66" s="28" t="str">
        <x:v>Deep Limit Order Book Forecasting</x:v>
      </x:c>
      <x:c r="D66" s="28" t="n">
        <x:v>2024</x:v>
      </x:c>
      <x:c r="E66" s="28" t="str">
        <x:v>LOB Deep Learning</x:v>
      </x:c>
      <x:c r="F66" s="28" t="str">
        <x:v>https://arxiv.org/abs/2403.09267</x:v>
      </x:c>
      <x:c r="G66" s="28" t="str">
        <x:v>arXiv; P0评估</x:v>
      </x:c>
    </x:row>
    <x:row r="67">
      <x:c r="A67" s="28" t="str">
        <x:v>S064</x:v>
      </x:c>
      <x:c r="B67" s="28" t="str">
        <x:v>论文</x:v>
      </x:c>
      <x:c r="C67" s="28" t="str">
        <x:v>Price Discovery in Cryptocurrency Markets</x:v>
      </x:c>
      <x:c r="D67" s="28" t="n">
        <x:v>2025</x:v>
      </x:c>
      <x:c r="E67" s="28" t="str">
        <x:v>Cross-market / Price Discovery</x:v>
      </x:c>
      <x:c r="F67" s="28" t="str">
        <x:v>https://arxiv.org/abs/2506.08718</x:v>
      </x:c>
      <x:c r="G67" s="28" t="str">
        <x:v>arXiv; P1直接相关</x:v>
      </x:c>
    </x:row>
    <x:row r="68">
      <x:c r="A68" s="28" t="str">
        <x:v>S065</x:v>
      </x:c>
      <x:c r="B68" s="28" t="str">
        <x:v>论文</x:v>
      </x:c>
      <x:c r="C68" s="28" t="str">
        <x:v>Learning Latent Seasonal-Trend Representations for Time Series Forecasting</x:v>
      </x:c>
      <x:c r="D68" s="28" t="n">
        <x:v>2022</x:v>
      </x:c>
      <x:c r="E68" s="28" t="str">
        <x:v>Representation Learning</x:v>
      </x:c>
      <x:c r="F68" s="28" t="str">
        <x:v>https://proceedings.neurips.cc/paper_files/paper/2022/hash/fd6613131889a4b656206c50a8bd7790-Abstract-Conference.html</x:v>
      </x:c>
      <x:c r="G68" s="28" t="str">
        <x:v>NeurIPS; P2</x:v>
      </x:c>
    </x:row>
    <x:row r="69">
      <x:c r="A69" s="28" t="str">
        <x:v>S066</x:v>
      </x:c>
      <x:c r="B69" s="28" t="str">
        <x:v>论文</x:v>
      </x:c>
      <x:c r="C69" s="28" t="str">
        <x:v>Moirai-MoE: Empowering Time Series Foundation Models with Sparse Mixture of Experts</x:v>
      </x:c>
      <x:c r="D69" s="28" t="n">
        <x:v>2024</x:v>
      </x:c>
      <x:c r="E69" s="28" t="str">
        <x:v>MoE TSFM</x:v>
      </x:c>
      <x:c r="F69" s="28" t="str">
        <x:v>https://arxiv.org/abs/2410.10469</x:v>
      </x:c>
      <x:c r="G69" s="28" t="str">
        <x:v>arXiv; P2研究</x:v>
      </x:c>
    </x:row>
    <x:row r="70">
      <x:c r="A70" s="28" t="str">
        <x:v>S067</x:v>
      </x:c>
      <x:c r="B70" s="28" t="str">
        <x:v>论文</x:v>
      </x:c>
      <x:c r="C70" s="28" t="str">
        <x:v>Transformer-Modulated Diffusion Models for Probabilistic Multivariate Time Series Forecasting</x:v>
      </x:c>
      <x:c r="D70" s="28" t="n">
        <x:v>2024</x:v>
      </x:c>
      <x:c r="E70" s="28" t="str">
        <x:v>Diffusion + Transformer</x:v>
      </x:c>
      <x:c r="F70" s="28" t="str">
        <x:v>https://openreview.net/forum?id=qae04YACHs</x:v>
      </x:c>
      <x:c r="G70" s="28" t="str">
        <x:v>ICLR; P2</x:v>
      </x:c>
    </x:row>
    <x:row r="71">
      <x:c r="A71" s="28" t="str">
        <x:v>S068</x:v>
      </x:c>
      <x:c r="B71" s="28" t="str">
        <x:v>论文</x:v>
      </x:c>
      <x:c r="C71" s="28" t="str">
        <x:v>A Closer Look at Transformers for Time Series Forecasting</x:v>
      </x:c>
      <x:c r="D71" s="28" t="n">
        <x:v>2025</x:v>
      </x:c>
      <x:c r="E71" s="28" t="str">
        <x:v>Transformer Analysis</x:v>
      </x:c>
      <x:c r="F71" s="28" t="str">
        <x:v>https://proceedings.mlr.press/v267/chen25f.html</x:v>
      </x:c>
      <x:c r="G71" s="28" t="str">
        <x:v>ICML; P0方法论</x:v>
      </x:c>
    </x:row>
    <x:row r="72">
      <x:c r="A72" s="28" t="str">
        <x:v>S069</x:v>
      </x:c>
      <x:c r="B72" s="28" t="str">
        <x:v>论文</x:v>
      </x:c>
      <x:c r="C72" s="28" t="str">
        <x:v>Patch-wise Structural Loss for Time Series Forecasting</x:v>
      </x:c>
      <x:c r="D72" s="28" t="n">
        <x:v>2025</x:v>
      </x:c>
      <x:c r="E72" s="28" t="str">
        <x:v>Loss Function</x:v>
      </x:c>
      <x:c r="F72" s="28" t="str">
        <x:v>https://proceedings.mlr.press/v267/kudrat25a.html</x:v>
      </x:c>
      <x:c r="G72" s="28" t="str">
        <x:v>ICML; P1低估</x:v>
      </x:c>
    </x:row>
    <x:row r="73">
      <x:c r="A73" s="28" t="str">
        <x:v>S070</x:v>
      </x:c>
      <x:c r="B73" s="28" t="str">
        <x:v>论文</x:v>
      </x:c>
      <x:c r="C73" s="28" t="str">
        <x:v>DBLoss: Decomposition-based Loss Function for Time Series Forecasting</x:v>
      </x:c>
      <x:c r="D73" s="28" t="n">
        <x:v>2025</x:v>
      </x:c>
      <x:c r="E73" s="28" t="str">
        <x:v>Loss Function</x:v>
      </x:c>
      <x:c r="F73" s="28" t="str">
        <x:v>https://proceedings.neurips.cc/paper_files/paper/2025/hash/2823c4f838727564c108c85d7e6e8507-Abstract-Conference.html</x:v>
      </x:c>
      <x:c r="G73" s="28" t="str">
        <x:v>NeurIPS; P2</x:v>
      </x:c>
    </x:row>
    <x:row r="74">
      <x:c r="A74" s="28" t="str">
        <x:v>S071</x:v>
      </x:c>
      <x:c r="B74" s="28" t="str">
        <x:v>论文</x:v>
      </x:c>
      <x:c r="C74" s="28" t="str">
        <x:v>Time Series Foundation Models for Multivariate Financial Time Series Forecasting</x:v>
      </x:c>
      <x:c r="D74" s="28" t="n">
        <x:v>2025</x:v>
      </x:c>
      <x:c r="E74" s="28" t="str">
        <x:v>TSFM in Finance</x:v>
      </x:c>
      <x:c r="F74" s="28" t="str">
        <x:v>https://arxiv.org/abs/2507.07296</x:v>
      </x:c>
      <x:c r="G74" s="28" t="str">
        <x:v>arXiv; P0方法论</x:v>
      </x:c>
    </x:row>
    <x:row r="75">
      <x:c r="A75" s="28" t="str">
        <x:v>S072</x:v>
      </x:c>
      <x:c r="B75" s="28" t="str">
        <x:v>论文</x:v>
      </x:c>
      <x:c r="C75" s="28" t="str">
        <x:v>Re(Visiting) Time Series Foundation Models in Finance</x:v>
      </x:c>
      <x:c r="D75" s="28" t="n">
        <x:v>2025</x:v>
      </x:c>
      <x:c r="E75" s="28" t="str">
        <x:v>TSFM in Finance</x:v>
      </x:c>
      <x:c r="F75" s="28" t="str">
        <x:v>https://arxiv.org/abs/2511.18578</x:v>
      </x:c>
      <x:c r="G75" s="28" t="str">
        <x:v>arXiv; P0方法论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83f2c90bc4340b5"/>
  </x:tableParts>
</x:worksheet>
</file>