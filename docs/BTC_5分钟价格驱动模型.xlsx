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a6e6f2c04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9507b3b574fd4391"/>
    <x:sheet xmlns:r="http://schemas.openxmlformats.org/officeDocument/2006/relationships" name="实时5分钟" sheetId="2" r:id="Rb733d666886a419d"/>
    <x:sheet xmlns:r="http://schemas.openxmlformats.org/officeDocument/2006/relationships" name="信号库" sheetId="3" r:id="Rcefaa3a2e4dd4763"/>
    <x:sheet xmlns:r="http://schemas.openxmlformats.org/officeDocument/2006/relationships" name="参数" sheetId="4" r:id="R481db05c11a1435f"/>
    <x:sheet xmlns:r="http://schemas.openxmlformats.org/officeDocument/2006/relationships" name="回测" sheetId="5" r:id="Re3827f5739864afd"/>
    <x:sheet xmlns:r="http://schemas.openxmlformats.org/officeDocument/2006/relationships" name="事件表" sheetId="6" r:id="Rdcd91d38878a4f82"/>
    <x:sheet xmlns:r="http://schemas.openxmlformats.org/officeDocument/2006/relationships" name="来源" sheetId="7" r:id="R2b9314841b23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;[Red](0.0%);-"/>
    <x:numFmt numFmtId="201" formatCode="0%"/>
    <x:numFmt numFmtId="202" formatCode="0.00x;[Red](0.00x);-"/>
    <x:numFmt numFmtId="203" formatCode="0.00;[Red](0.00);-"/>
    <x:numFmt numFmtId="204" formatCode="0.00%;[Red](0.00%);-"/>
    <x:numFmt numFmtId="205" formatCode="yyyy-mm-dd hh:mm"/>
    <x:numFmt numFmtId="206" formatCode="0.0 &quot;bp&quot;;[Red](0.0 &quot;bp&quot;);-"/>
    <x:numFmt numFmtId="207" formatCode="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9"/>
      <x:color rgb="FF666666"/>
      <x:name val="Carlito"/>
    </x:font>
    <x:font>
      <x:b/>
      <x:sz val="11"/>
      <x:color rgb="FFFFFFFF"/>
      <x:name val="Carlito"/>
    </x:font>
    <x:font>
      <x:b/>
      <x:sz val="10"/>
      <x:color rgb="FF0B1F3A"/>
      <x:name val="Carlito"/>
    </x:font>
    <x:font>
      <x:sz val="11"/>
      <x:color rgb="FF0000FF"/>
      <x:name val="Carlito"/>
    </x:font>
    <x:font>
      <x:b/>
      <x:sz val="11"/>
      <x:color rgb="FF0B1F3A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8"/>
      <x:color rgb="FF0B1F3A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73B67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DF3F9"/>
      </x:patternFill>
    </x:fill>
  </x:fills>
  <x:borders count="18">
    <x:border/>
    <x:border/>
    <x:border>
      <x:bottom style="thin">
        <x:color rgb="FFA6A6A6"/>
      </x:bottom>
    </x:border>
    <x:border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2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202" fontId="5" fillId="5" borderId="0" xfId="0" applyNumberFormat="1" applyFont="1" applyFill="1" applyBorder="1"/>
    <x:xf numFmtId="202" fontId="5" fillId="5" borderId="1" xfId="0" applyNumberFormat="1" applyFont="1" applyFill="1" applyBorder="1"/>
    <x:xf numFmtId="203" fontId="5" fillId="5" borderId="0" xfId="0" applyNumberFormat="1" applyFont="1" applyFill="1" applyBorder="1"/>
    <x:xf numFmtId="203" fontId="5" fillId="5" borderId="1" xfId="0" applyNumberFormat="1" applyFont="1" applyFill="1" applyBorder="1"/>
    <x:xf numFmtId="204" fontId="5" fillId="5" borderId="0" xfId="0" applyNumberFormat="1" applyFont="1" applyFill="1" applyBorder="1"/>
    <x:xf numFmtId="204" fontId="5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205" fontId="7" fillId="5" borderId="0" xfId="0" applyNumberFormat="1" applyFont="1" applyFill="1" applyBorder="1" applyAlignment="1">
      <x:alignment horizontal="center" vertical="center" wrapText="1"/>
    </x:xf>
    <x:xf numFmtId="205" fontId="7" fillId="5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6" fontId="5" fillId="5" borderId="0" xfId="0" applyNumberFormat="1" applyFont="1" applyFill="1" applyBorder="1"/>
    <x:xf numFmtId="206" fontId="5" fillId="5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203" fontId="9" fillId="0" borderId="0" xfId="0" applyNumberFormat="1" applyFont="1" applyFill="1" applyBorder="1"/>
    <x:xf numFmtId="203" fontId="9" fillId="0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0" fontId="10" fillId="7" borderId="9" xfId="0" applyNumberFormat="1" applyFont="1" applyFill="1" applyBorder="1"/>
    <x:xf numFmtId="0" fontId="10" fillId="7" borderId="2" xfId="0" applyNumberFormat="1" applyFont="1" applyFill="1" applyBorder="1"/>
    <x:xf numFmtId="0" fontId="10" fillId="7" borderId="10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0" fillId="7" borderId="9" xfId="0" applyNumberFormat="1" applyFont="1" applyFill="1" applyBorder="1" applyAlignment="1">
      <x:alignment horizontal="center"/>
    </x:xf>
    <x:xf numFmtId="0" fontId="10" fillId="7" borderId="2" xfId="0" applyNumberFormat="1" applyFont="1" applyFill="1" applyBorder="1" applyAlignment="1">
      <x:alignment horizontal="center"/>
    </x:xf>
    <x:xf numFmtId="0" fontId="10" fillId="7" borderId="1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 applyAlignment="1">
      <x:alignment horizontal="center" vertical="center"/>
    </x:xf>
    <x:xf numFmtId="0" fontId="10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10" fillId="7" borderId="9" xfId="0" applyNumberFormat="1" applyFont="1" applyFill="1" applyBorder="1" applyAlignment="1">
      <x:alignment horizontal="center" vertical="center"/>
    </x:xf>
    <x:xf numFmtId="0" fontId="10" fillId="7" borderId="2" xfId="0" applyNumberFormat="1" applyFont="1" applyFill="1" applyBorder="1" applyAlignment="1">
      <x:alignment horizontal="center" vertical="center"/>
    </x:xf>
    <x:xf numFmtId="0" fontId="10" fillId="7" borderId="1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0" fillId="7" borderId="1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3" xfId="0" applyNumberFormat="1" applyFont="1" applyFill="1" applyBorder="1"/>
    <x:xf numFmtId="0" fontId="10" fillId="7" borderId="17" xfId="0" applyNumberFormat="1" applyFont="1" applyFill="1" applyBorder="1"/>
    <x:xf numFmtId="0" fontId="10" fillId="7" borderId="11" xfId="0" applyNumberFormat="1" applyFont="1" applyFill="1" applyBorder="1" applyAlignment="1">
      <x:alignment horizontal="center"/>
    </x:xf>
    <x:xf numFmtId="0" fontId="10" fillId="7" borderId="12" xfId="0" applyNumberFormat="1" applyFont="1" applyFill="1" applyBorder="1" applyAlignment="1">
      <x:alignment horizontal="center"/>
    </x:xf>
    <x:xf numFmtId="0" fontId="10" fillId="7" borderId="13" xfId="0" applyNumberFormat="1" applyFont="1" applyFill="1" applyBorder="1" applyAlignment="1">
      <x:alignment horizontal="center"/>
    </x:xf>
    <x:xf numFmtId="0" fontId="10" fillId="7" borderId="14" xfId="0" applyNumberFormat="1" applyFont="1" applyFill="1" applyBorder="1" applyAlignment="1">
      <x:alignment horizontal="center"/>
    </x:xf>
    <x:xf numFmtId="0" fontId="10" fillId="7" borderId="1" xfId="0" applyNumberFormat="1" applyFont="1" applyFill="1" applyBorder="1" applyAlignment="1">
      <x:alignment horizontal="center"/>
    </x:xf>
    <x:xf numFmtId="0" fontId="10" fillId="7" borderId="15" xfId="0" applyNumberFormat="1" applyFont="1" applyFill="1" applyBorder="1" applyAlignment="1">
      <x:alignment horizontal="center"/>
    </x:xf>
    <x:xf numFmtId="0" fontId="10" fillId="7" borderId="16" xfId="0" applyNumberFormat="1" applyFont="1" applyFill="1" applyBorder="1" applyAlignment="1">
      <x:alignment horizontal="center"/>
    </x:xf>
    <x:xf numFmtId="0" fontId="10" fillId="7" borderId="3" xfId="0" applyNumberFormat="1" applyFont="1" applyFill="1" applyBorder="1" applyAlignment="1">
      <x:alignment horizontal="center"/>
    </x:xf>
    <x:xf numFmtId="0" fontId="10" fillId="7" borderId="17" xfId="0" applyNumberFormat="1" applyFont="1" applyFill="1" applyBorder="1" applyAlignment="1">
      <x:alignment horizontal="center"/>
    </x:xf>
    <x:xf numFmtId="0" fontId="10" fillId="7" borderId="11" xfId="0" applyNumberFormat="1" applyFont="1" applyFill="1" applyBorder="1" applyAlignment="1">
      <x:alignment horizontal="center" vertical="center"/>
    </x:xf>
    <x:xf numFmtId="0" fontId="10" fillId="7" borderId="12" xfId="0" applyNumberFormat="1" applyFont="1" applyFill="1" applyBorder="1" applyAlignment="1">
      <x:alignment horizontal="center" vertical="center"/>
    </x:xf>
    <x:xf numFmtId="0" fontId="10" fillId="7" borderId="13" xfId="0" applyNumberFormat="1" applyFont="1" applyFill="1" applyBorder="1" applyAlignment="1">
      <x:alignment horizontal="center" vertical="center"/>
    </x:xf>
    <x:xf numFmtId="0" fontId="10" fillId="7" borderId="14" xfId="0" applyNumberFormat="1" applyFont="1" applyFill="1" applyBorder="1" applyAlignment="1">
      <x:alignment horizontal="center" vertical="center"/>
    </x:xf>
    <x:xf numFmtId="0" fontId="10" fillId="7" borderId="1" xfId="0" applyNumberFormat="1" applyFont="1" applyFill="1" applyBorder="1" applyAlignment="1">
      <x:alignment horizontal="center" vertical="center"/>
    </x:xf>
    <x:xf numFmtId="0" fontId="10" fillId="7" borderId="15" xfId="0" applyNumberFormat="1" applyFont="1" applyFill="1" applyBorder="1" applyAlignment="1">
      <x:alignment horizontal="center" vertical="center"/>
    </x:xf>
    <x:xf numFmtId="0" fontId="10" fillId="7" borderId="16" xfId="0" applyNumberFormat="1" applyFont="1" applyFill="1" applyBorder="1" applyAlignment="1">
      <x:alignment horizontal="center" vertical="center"/>
    </x:xf>
    <x:xf numFmtId="0" fontId="10" fillId="7" borderId="3" xfId="0" applyNumberFormat="1" applyFont="1" applyFill="1" applyBorder="1" applyAlignment="1">
      <x:alignment horizontal="center" vertical="center"/>
    </x:xf>
    <x:xf numFmtId="0" fontId="10" fillId="7" borderId="17" xfId="0" applyNumberFormat="1" applyFont="1" applyFill="1" applyBorder="1" applyAlignment="1">
      <x:alignment horizontal="center" vertical="center"/>
    </x:xf>
    <x:xf numFmtId="203" fontId="10" fillId="7" borderId="4" xfId="0" applyNumberFormat="1" applyFont="1" applyFill="1" applyBorder="1" applyAlignment="1">
      <x:alignment horizontal="center" vertical="center"/>
    </x:xf>
    <x:xf numFmtId="203" fontId="10" fillId="7" borderId="5" xfId="0" applyNumberFormat="1" applyFont="1" applyFill="1" applyBorder="1" applyAlignment="1">
      <x:alignment horizontal="center" vertical="center"/>
    </x:xf>
    <x:xf numFmtId="203" fontId="10" fillId="7" borderId="6" xfId="0" applyNumberFormat="1" applyFont="1" applyFill="1" applyBorder="1" applyAlignment="1">
      <x:alignment horizontal="center" vertical="center"/>
    </x:xf>
    <x:xf numFmtId="203" fontId="10" fillId="7" borderId="7" xfId="0" applyNumberFormat="1" applyFont="1" applyFill="1" applyBorder="1" applyAlignment="1">
      <x:alignment horizontal="center" vertical="center"/>
    </x:xf>
    <x:xf numFmtId="203" fontId="10" fillId="7" borderId="0" xfId="0" applyNumberFormat="1" applyFont="1" applyFill="1" applyBorder="1" applyAlignment="1">
      <x:alignment horizontal="center" vertical="center"/>
    </x:xf>
    <x:xf numFmtId="203" fontId="10" fillId="7" borderId="8" xfId="0" applyNumberFormat="1" applyFont="1" applyFill="1" applyBorder="1" applyAlignment="1">
      <x:alignment horizontal="center" vertical="center"/>
    </x:xf>
    <x:xf numFmtId="203" fontId="10" fillId="7" borderId="9" xfId="0" applyNumberFormat="1" applyFont="1" applyFill="1" applyBorder="1" applyAlignment="1">
      <x:alignment horizontal="center" vertical="center"/>
    </x:xf>
    <x:xf numFmtId="203" fontId="10" fillId="7" borderId="2" xfId="0" applyNumberFormat="1" applyFont="1" applyFill="1" applyBorder="1" applyAlignment="1">
      <x:alignment horizontal="center" vertical="center"/>
    </x:xf>
    <x:xf numFmtId="203" fontId="10" fillId="7" borderId="10" xfId="0" applyNumberFormat="1" applyFont="1" applyFill="1" applyBorder="1" applyAlignment="1">
      <x:alignment horizontal="center" vertical="center"/>
    </x:xf>
    <x:xf numFmtId="203" fontId="10" fillId="7" borderId="11" xfId="0" applyNumberFormat="1" applyFont="1" applyFill="1" applyBorder="1" applyAlignment="1">
      <x:alignment horizontal="center" vertical="center"/>
    </x:xf>
    <x:xf numFmtId="203" fontId="10" fillId="7" borderId="12" xfId="0" applyNumberFormat="1" applyFont="1" applyFill="1" applyBorder="1" applyAlignment="1">
      <x:alignment horizontal="center" vertical="center"/>
    </x:xf>
    <x:xf numFmtId="203" fontId="10" fillId="7" borderId="13" xfId="0" applyNumberFormat="1" applyFont="1" applyFill="1" applyBorder="1" applyAlignment="1">
      <x:alignment horizontal="center" vertical="center"/>
    </x:xf>
    <x:xf numFmtId="203" fontId="10" fillId="7" borderId="14" xfId="0" applyNumberFormat="1" applyFont="1" applyFill="1" applyBorder="1" applyAlignment="1">
      <x:alignment horizontal="center" vertical="center"/>
    </x:xf>
    <x:xf numFmtId="203" fontId="10" fillId="7" borderId="1" xfId="0" applyNumberFormat="1" applyFont="1" applyFill="1" applyBorder="1" applyAlignment="1">
      <x:alignment horizontal="center" vertical="center"/>
    </x:xf>
    <x:xf numFmtId="203" fontId="10" fillId="7" borderId="15" xfId="0" applyNumberFormat="1" applyFont="1" applyFill="1" applyBorder="1" applyAlignment="1">
      <x:alignment horizontal="center" vertical="center"/>
    </x:xf>
    <x:xf numFmtId="203" fontId="10" fillId="7" borderId="16" xfId="0" applyNumberFormat="1" applyFont="1" applyFill="1" applyBorder="1" applyAlignment="1">
      <x:alignment horizontal="center" vertical="center"/>
    </x:xf>
    <x:xf numFmtId="203" fontId="10" fillId="7" borderId="3" xfId="0" applyNumberFormat="1" applyFont="1" applyFill="1" applyBorder="1" applyAlignment="1">
      <x:alignment horizontal="center" vertical="center"/>
    </x:xf>
    <x:xf numFmtId="203" fontId="10" fillId="7" borderId="17" xfId="0" applyNumberFormat="1" applyFont="1" applyFill="1" applyBorder="1" applyAlignment="1">
      <x:alignment horizontal="center" vertical="center"/>
    </x:xf>
    <x:xf numFmtId="204" fontId="10" fillId="7" borderId="4" xfId="0" applyNumberFormat="1" applyFont="1" applyFill="1" applyBorder="1" applyAlignment="1">
      <x:alignment horizontal="center" vertical="center"/>
    </x:xf>
    <x:xf numFmtId="204" fontId="10" fillId="7" borderId="5" xfId="0" applyNumberFormat="1" applyFont="1" applyFill="1" applyBorder="1" applyAlignment="1">
      <x:alignment horizontal="center" vertical="center"/>
    </x:xf>
    <x:xf numFmtId="204" fontId="10" fillId="7" borderId="6" xfId="0" applyNumberFormat="1" applyFont="1" applyFill="1" applyBorder="1" applyAlignment="1">
      <x:alignment horizontal="center" vertical="center"/>
    </x:xf>
    <x:xf numFmtId="204" fontId="10" fillId="7" borderId="7" xfId="0" applyNumberFormat="1" applyFont="1" applyFill="1" applyBorder="1" applyAlignment="1">
      <x:alignment horizontal="center" vertical="center"/>
    </x:xf>
    <x:xf numFmtId="204" fontId="10" fillId="7" borderId="0" xfId="0" applyNumberFormat="1" applyFont="1" applyFill="1" applyBorder="1" applyAlignment="1">
      <x:alignment horizontal="center" vertical="center"/>
    </x:xf>
    <x:xf numFmtId="204" fontId="10" fillId="7" borderId="8" xfId="0" applyNumberFormat="1" applyFont="1" applyFill="1" applyBorder="1" applyAlignment="1">
      <x:alignment horizontal="center" vertical="center"/>
    </x:xf>
    <x:xf numFmtId="204" fontId="10" fillId="7" borderId="9" xfId="0" applyNumberFormat="1" applyFont="1" applyFill="1" applyBorder="1" applyAlignment="1">
      <x:alignment horizontal="center" vertical="center"/>
    </x:xf>
    <x:xf numFmtId="204" fontId="10" fillId="7" borderId="2" xfId="0" applyNumberFormat="1" applyFont="1" applyFill="1" applyBorder="1" applyAlignment="1">
      <x:alignment horizontal="center" vertical="center"/>
    </x:xf>
    <x:xf numFmtId="204" fontId="10" fillId="7" borderId="10" xfId="0" applyNumberFormat="1" applyFont="1" applyFill="1" applyBorder="1" applyAlignment="1">
      <x:alignment horizontal="center" vertical="center"/>
    </x:xf>
    <x:xf numFmtId="204" fontId="10" fillId="7" borderId="11" xfId="0" applyNumberFormat="1" applyFont="1" applyFill="1" applyBorder="1" applyAlignment="1">
      <x:alignment horizontal="center" vertical="center"/>
    </x:xf>
    <x:xf numFmtId="204" fontId="10" fillId="7" borderId="12" xfId="0" applyNumberFormat="1" applyFont="1" applyFill="1" applyBorder="1" applyAlignment="1">
      <x:alignment horizontal="center" vertical="center"/>
    </x:xf>
    <x:xf numFmtId="204" fontId="10" fillId="7" borderId="13" xfId="0" applyNumberFormat="1" applyFont="1" applyFill="1" applyBorder="1" applyAlignment="1">
      <x:alignment horizontal="center" vertical="center"/>
    </x:xf>
    <x:xf numFmtId="204" fontId="10" fillId="7" borderId="14" xfId="0" applyNumberFormat="1" applyFont="1" applyFill="1" applyBorder="1" applyAlignment="1">
      <x:alignment horizontal="center" vertical="center"/>
    </x:xf>
    <x:xf numFmtId="204" fontId="10" fillId="7" borderId="1" xfId="0" applyNumberFormat="1" applyFont="1" applyFill="1" applyBorder="1" applyAlignment="1">
      <x:alignment horizontal="center" vertical="center"/>
    </x:xf>
    <x:xf numFmtId="204" fontId="10" fillId="7" borderId="15" xfId="0" applyNumberFormat="1" applyFont="1" applyFill="1" applyBorder="1" applyAlignment="1">
      <x:alignment horizontal="center" vertical="center"/>
    </x:xf>
    <x:xf numFmtId="204" fontId="10" fillId="7" borderId="16" xfId="0" applyNumberFormat="1" applyFont="1" applyFill="1" applyBorder="1" applyAlignment="1">
      <x:alignment horizontal="center" vertical="center"/>
    </x:xf>
    <x:xf numFmtId="204" fontId="10" fillId="7" borderId="3" xfId="0" applyNumberFormat="1" applyFont="1" applyFill="1" applyBorder="1" applyAlignment="1">
      <x:alignment horizontal="center" vertical="center"/>
    </x:xf>
    <x:xf numFmtId="204" fontId="10" fillId="7" borderId="17" xfId="0" applyNumberFormat="1" applyFont="1" applyFill="1" applyBorder="1" applyAlignment="1">
      <x:alignment horizontal="center" vertical="center"/>
    </x:xf>
    <x:xf numFmtId="205" fontId="5" fillId="5" borderId="0" xfId="0" applyNumberFormat="1" applyFont="1" applyFill="1" applyBorder="1"/>
    <x:xf numFmtId="205" fontId="5" fillId="5" borderId="1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203" fontId="5" fillId="5" borderId="0" xfId="0" applyNumberFormat="1" applyFont="1" applyFill="1" applyBorder="1" applyAlignment="1">
      <x:alignment vertical="center"/>
    </x:xf>
    <x:xf numFmtId="204" fontId="5" fillId="5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201" fontId="5" fillId="5" borderId="1" xfId="0" applyNumberFormat="1" applyFont="1" applyFill="1" applyBorder="1" applyAlignment="1">
      <x:alignment vertical="center"/>
    </x:xf>
    <x:xf numFmtId="202" fontId="5" fillId="5" borderId="1" xfId="0" applyNumberFormat="1" applyFont="1" applyFill="1" applyBorder="1" applyAlignment="1">
      <x:alignment vertical="center"/>
    </x:xf>
    <x:xf numFmtId="203" fontId="5" fillId="5" borderId="1" xfId="0" applyNumberFormat="1" applyFont="1" applyFill="1" applyBorder="1" applyAlignment="1">
      <x:alignment vertical="center"/>
    </x:xf>
    <x:xf numFmtId="204" fontId="5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6" fontId="5" fillId="5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202" fontId="8" fillId="0" borderId="1" xfId="0" applyNumberFormat="1" applyFont="1" applyFill="1" applyBorder="1" applyAlignment="1">
      <x:alignment vertical="center"/>
    </x:xf>
    <x:xf numFmtId="203" fontId="9" fillId="0" borderId="1" xfId="0" applyNumberFormat="1" applyFont="1" applyFill="1" applyBorder="1" applyAlignment="1">
      <x:alignment vertical="center"/>
    </x:xf>
    <x:xf numFmtId="200" fontId="9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6" fontId="5" fillId="5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5" fontId="5" fillId="5" borderId="0" xfId="0" applyNumberFormat="1" applyFont="1" applyFill="1" applyBorder="1" applyAlignment="1">
      <x:alignment vertical="center"/>
    </x:xf>
    <x:xf numFmtId="205" fontId="5" fillId="5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207" fontId="5" fillId="5" borderId="0" xfId="0" applyNumberFormat="1" applyFont="1" applyFill="1" applyBorder="1"/>
    <x:xf numFmtId="207" fontId="5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f4bf2a1534b69" /><Relationship Type="http://schemas.openxmlformats.org/officeDocument/2006/relationships/theme" Target="/xl/theme/theme1.xml" Id="Reefcf78994c74fca" /><Relationship Type="http://schemas.openxmlformats.org/officeDocument/2006/relationships/sharedStrings" Target="/xl/sharedStrings.xml" Id="Rd7b64c4f52ab4258" /><Relationship Type="http://schemas.openxmlformats.org/officeDocument/2006/relationships/worksheet" Target="/xl/worksheets/sheet1.xml" Id="R9507b3b574fd4391" /><Relationship Type="http://schemas.openxmlformats.org/officeDocument/2006/relationships/worksheet" Target="/xl/worksheets/sheet2.xml" Id="Rb733d666886a419d" /><Relationship Type="http://schemas.openxmlformats.org/officeDocument/2006/relationships/worksheet" Target="/xl/worksheets/sheet3.xml" Id="Rcefaa3a2e4dd4763" /><Relationship Type="http://schemas.openxmlformats.org/officeDocument/2006/relationships/worksheet" Target="/xl/worksheets/sheet4.xml" Id="R481db05c11a1435f" /><Relationship Type="http://schemas.openxmlformats.org/officeDocument/2006/relationships/worksheet" Target="/xl/worksheets/sheet5.xml" Id="Re3827f5739864afd" /><Relationship Type="http://schemas.openxmlformats.org/officeDocument/2006/relationships/worksheet" Target="/xl/worksheets/sheet6.xml" Id="Rdcd91d38878a4f82" /><Relationship Type="http://schemas.openxmlformats.org/officeDocument/2006/relationships/worksheet" Target="/xl/worksheets/sheet7.xml" Id="R2b9314841b2344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4fad0bb2e64d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各分组方向贡献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方向贡献</c:v>
          </c:tx>
          <c:cat>
            <c:strRef>
              <c:f>'仪表盘'!$A$17:$A$24</c:f>
              <c:strCache>
                <c:ptCount val="0"/>
              </c:strCache>
            </c:strRef>
          </c:cat>
          <c:val>
            <c:numRef>
              <c:f>'仪表盘'!$B$17:$B$24</c:f>
              <c:numCache>
                <c:formatCode>0.00;[Red](0.00);-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14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4fad0bb2e64d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b8fdd35289426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2" hidden="0" customWidth="1"/>
  </x:cols>
  <x:sheetData>
    <x:row r="1" ht="28" customHeight="1">
      <x:c r="A1" s="5" t="str">
        <x:v>BTC 5分钟价格波动决策仪表盘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1" t="str">
        <x:v>模型用于识别下一段5分钟的“方向优势”和“波动风险”，不是保证盈利的交易指令。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>
      <x:c r="A4" s="17" t="str">
        <x:v>方向判断</x:v>
      </x:c>
      <x:c r="B4" s="17"/>
      <x:c r="C4" s="17"/>
      <x:c r="D4" s="17"/>
      <x:c r="E4" s="17" t="str">
        <x:v>综合方向分</x:v>
      </x:c>
      <x:c r="F4" s="17"/>
      <x:c r="G4" s="17"/>
      <x:c r="H4" s="17"/>
      <x:c r="I4" s="17" t="str">
        <x:v>波动风险</x:v>
      </x:c>
      <x:c r="J4" s="17"/>
      <x:c r="K4" s="17"/>
      <x:c r="L4" s="17"/>
      <x:c r="M4" s="194"/>
      <x:c r="N4" s="194"/>
    </x:row>
    <x:row r="5">
      <x:c r="A5" s="117" t="str">
        <x:f>'实时5分钟'!G32</x:f>
        <x:v>中性/无优势</x:v>
      </x:c>
      <x:c r="B5" s="118"/>
      <x:c r="C5" s="118"/>
      <x:c r="D5" s="119"/>
      <x:c r="E5" s="154" t="n">
        <x:f>'实时5分钟'!G30</x:f>
        <x:v>0.49022097139033877</x:v>
      </x:c>
      <x:c r="F5" s="155"/>
      <x:c r="G5" s="155"/>
      <x:c r="H5" s="156"/>
      <x:c r="I5" s="117" t="str">
        <x:f>'实时5分钟'!G33</x:f>
        <x:v>低</x:v>
      </x:c>
      <x:c r="J5" s="118"/>
      <x:c r="K5" s="118"/>
      <x:c r="L5" s="119"/>
      <x:c r="M5" s="194"/>
      <x:c r="N5" s="194"/>
    </x:row>
    <x:row r="6">
      <x:c r="A6" s="120"/>
      <x:c r="B6" s="121"/>
      <x:c r="C6" s="121"/>
      <x:c r="D6" s="122"/>
      <x:c r="E6" s="157"/>
      <x:c r="F6" s="158"/>
      <x:c r="G6" s="158"/>
      <x:c r="H6" s="159"/>
      <x:c r="I6" s="120"/>
      <x:c r="J6" s="121"/>
      <x:c r="K6" s="121"/>
      <x:c r="L6" s="122"/>
      <x:c r="M6" s="194"/>
      <x:c r="N6" s="194"/>
    </x:row>
    <x:row r="7">
      <x:c r="A7" s="123"/>
      <x:c r="B7" s="124"/>
      <x:c r="C7" s="124"/>
      <x:c r="D7" s="125"/>
      <x:c r="E7" s="160"/>
      <x:c r="F7" s="161"/>
      <x:c r="G7" s="161"/>
      <x:c r="H7" s="162"/>
      <x:c r="I7" s="123"/>
      <x:c r="J7" s="124"/>
      <x:c r="K7" s="124"/>
      <x:c r="L7" s="125"/>
      <x:c r="M7" s="194"/>
      <x:c r="N7" s="194"/>
    </x:row>
    <x:row r="8">
      <x:c r="A8" s="194"/>
      <x:c r="B8" s="194"/>
      <x:c r="C8" s="194"/>
      <x:c r="D8" s="194"/>
      <x:c r="E8" s="194"/>
      <x:c r="F8" s="194"/>
      <x:c r="G8" s="194"/>
      <x:c r="H8" s="194"/>
      <x:c r="I8" s="194"/>
      <x:c r="J8" s="194"/>
      <x:c r="K8" s="194"/>
      <x:c r="L8" s="194"/>
      <x:c r="M8" s="194"/>
      <x:c r="N8" s="194"/>
    </x:row>
    <x:row r="9">
      <x:c r="A9" s="17" t="str">
        <x:v>主导机制</x:v>
      </x:c>
      <x:c r="B9" s="17"/>
      <x:c r="C9" s="17"/>
      <x:c r="D9" s="17"/>
      <x:c r="E9" s="17" t="str">
        <x:v>示意方向收益</x:v>
      </x:c>
      <x:c r="F9" s="17"/>
      <x:c r="G9" s="17"/>
      <x:c r="H9" s="17"/>
      <x:c r="I9" s="17" t="str">
        <x:v>示意绝对波动</x:v>
      </x:c>
      <x:c r="J9" s="17"/>
      <x:c r="K9" s="17"/>
      <x:c r="L9" s="17"/>
      <x:c r="M9" s="194"/>
      <x:c r="N9" s="194"/>
    </x:row>
    <x:row r="10">
      <x:c r="A10" s="117" t="str">
        <x:f>'实时5分钟'!G34</x:f>
        <x:v>订单流</x:v>
      </x:c>
      <x:c r="B10" s="118"/>
      <x:c r="C10" s="118"/>
      <x:c r="D10" s="119"/>
      <x:c r="E10" s="172" t="n">
        <x:f>'实时5分钟'!G35</x:f>
        <x:v>0.0007353314570855082</x:v>
      </x:c>
      <x:c r="F10" s="173"/>
      <x:c r="G10" s="173"/>
      <x:c r="H10" s="174"/>
      <x:c r="I10" s="172" t="n">
        <x:f>'实时5分钟'!G36</x:f>
        <x:v>0.002794065718971847</x:v>
      </x:c>
      <x:c r="J10" s="173"/>
      <x:c r="K10" s="173"/>
      <x:c r="L10" s="174"/>
      <x:c r="M10" s="194"/>
      <x:c r="N10" s="194"/>
    </x:row>
    <x:row r="11">
      <x:c r="A11" s="120"/>
      <x:c r="B11" s="121"/>
      <x:c r="C11" s="121"/>
      <x:c r="D11" s="122"/>
      <x:c r="E11" s="175"/>
      <x:c r="F11" s="176"/>
      <x:c r="G11" s="176"/>
      <x:c r="H11" s="177"/>
      <x:c r="I11" s="175"/>
      <x:c r="J11" s="176"/>
      <x:c r="K11" s="176"/>
      <x:c r="L11" s="177"/>
      <x:c r="M11" s="194"/>
      <x:c r="N11" s="194"/>
    </x:row>
    <x:row r="12">
      <x:c r="A12" s="123"/>
      <x:c r="B12" s="124"/>
      <x:c r="C12" s="124"/>
      <x:c r="D12" s="125"/>
      <x:c r="E12" s="178"/>
      <x:c r="F12" s="179"/>
      <x:c r="G12" s="179"/>
      <x:c r="H12" s="180"/>
      <x:c r="I12" s="178"/>
      <x:c r="J12" s="179"/>
      <x:c r="K12" s="179"/>
      <x:c r="L12" s="180"/>
      <x:c r="M12" s="194"/>
      <x:c r="N12" s="194"/>
    </x:row>
    <x:row r="13">
      <x:c r="A13" s="194"/>
      <x:c r="B13" s="194"/>
      <x:c r="C13" s="194"/>
      <x:c r="D13" s="194"/>
      <x:c r="E13" s="194"/>
      <x:c r="F13" s="194"/>
      <x:c r="G13" s="194"/>
      <x:c r="H13" s="194"/>
      <x:c r="I13" s="194"/>
      <x:c r="J13" s="194"/>
      <x:c r="K13" s="194"/>
      <x:c r="L13" s="194"/>
      <x:c r="M13" s="194"/>
      <x:c r="N13" s="194"/>
    </x:row>
    <x:row r="14">
      <x:c r="A14" s="194"/>
      <x:c r="B14" s="194"/>
      <x:c r="C14" s="194"/>
      <x:c r="D14" s="194"/>
      <x:c r="E14" s="194"/>
      <x:c r="F14" s="194"/>
      <x:c r="G14" s="194"/>
      <x:c r="H14" s="194"/>
      <x:c r="I14" s="194"/>
      <x:c r="J14" s="194"/>
      <x:c r="K14" s="194"/>
      <x:c r="L14" s="194"/>
      <x:c r="M14" s="194"/>
      <x:c r="N14" s="194"/>
    </x:row>
    <x:row r="15" ht="20" customHeight="1">
      <x:c r="A15" s="17" t="str">
        <x:v>分组贡献</x:v>
      </x:c>
      <x:c r="B15" s="17"/>
      <x:c r="C15" s="17"/>
      <x:c r="D15" s="17"/>
      <x:c r="E15" s="17"/>
      <x:c r="F15" s="17"/>
      <x:c r="G15" s="17"/>
      <x:c r="H15" s="17"/>
      <x:c r="I15" s="194"/>
      <x:c r="J15" s="194"/>
      <x:c r="K15" s="194"/>
      <x:c r="L15" s="194"/>
      <x:c r="M15" s="194"/>
      <x:c r="N15" s="194"/>
    </x:row>
    <x:row r="16">
      <x:c r="A16" s="27" t="str">
        <x:v>分组</x:v>
      </x:c>
      <x:c r="B16" s="27" t="str">
        <x:v>方向贡献</x:v>
      </x:c>
      <x:c r="C16" s="27" t="str">
        <x:v>风险贡献</x:v>
      </x:c>
      <x:c r="D16" s="27" t="str">
        <x:v>有效权重</x:v>
      </x:c>
      <x:c r="E16" s="194"/>
      <x:c r="F16" s="194"/>
      <x:c r="G16" s="194"/>
      <x:c r="H16" s="194"/>
      <x:c r="I16" s="194"/>
      <x:c r="J16" s="194"/>
      <x:c r="K16" s="194"/>
      <x:c r="L16" s="194"/>
      <x:c r="M16" s="194"/>
      <x:c r="N16" s="194"/>
    </x:row>
    <x:row r="17">
      <x:c r="A17" s="194" t="str">
        <x:v>订单流</x:v>
      </x:c>
      <x:c r="B17" s="223" t="n">
        <x:f>'实时5分钟'!C30</x:f>
        <x:v>0.1612</x:v>
      </x:c>
      <x:c r="C17" s="223" t="n">
        <x:f>'实时5分钟'!D30</x:f>
        <x:v>0.1612</x:v>
      </x:c>
      <x:c r="D17" s="224" t="n">
        <x:f>'实时5分钟'!B30</x:f>
        <x:v>0.14473333333333332</x:v>
      </x:c>
      <x:c r="E17" s="194"/>
      <x:c r="F17" s="194"/>
      <x:c r="G17" s="194"/>
      <x:c r="H17" s="194"/>
      <x:c r="I17" s="194"/>
      <x:c r="J17" s="194"/>
      <x:c r="K17" s="194"/>
      <x:c r="L17" s="194"/>
      <x:c r="M17" s="194"/>
      <x:c r="N17" s="194"/>
    </x:row>
    <x:row r="18">
      <x:c r="A18" s="194" t="str">
        <x:v>流动性</x:v>
      </x:c>
      <x:c r="B18" s="223" t="n">
        <x:f>'实时5分钟'!C31</x:f>
        <x:v>0.042</x:v>
      </x:c>
      <x:c r="C18" s="223" t="n">
        <x:f>'实时5分钟'!D31</x:f>
        <x:v>0.04524</x:v>
      </x:c>
      <x:c r="D18" s="224" t="n">
        <x:f>'实时5分钟'!B31</x:f>
        <x:v>0.10220000000000001</x:v>
      </x:c>
      <x:c r="E18" s="194"/>
      <x:c r="F18" s="194"/>
      <x:c r="G18" s="194"/>
      <x:c r="H18" s="194"/>
      <x:c r="I18" s="194"/>
      <x:c r="J18" s="194"/>
      <x:c r="K18" s="194"/>
      <x:c r="L18" s="194"/>
      <x:c r="M18" s="194"/>
      <x:c r="N18" s="194"/>
    </x:row>
    <x:row r="19">
      <x:c r="A19" s="194" t="str">
        <x:v>价格行为</x:v>
      </x:c>
      <x:c r="B19" s="223" t="n">
        <x:f>'实时5分钟'!C32</x:f>
        <x:v>0.016000000000000004</x:v>
      </x:c>
      <x:c r="C19" s="223" t="n">
        <x:f>'实时5分钟'!D32</x:f>
        <x:v>0.016000000000000004</x:v>
      </x:c>
      <x:c r="D19" s="224" t="n">
        <x:f>'实时5分钟'!B32</x:f>
        <x:v>0.030000000000000006</x:v>
      </x:c>
      <x:c r="E19" s="194"/>
      <x:c r="F19" s="194"/>
      <x:c r="G19" s="194"/>
      <x:c r="H19" s="194"/>
      <x:c r="I19" s="194"/>
      <x:c r="J19" s="194"/>
      <x:c r="K19" s="194"/>
      <x:c r="L19" s="194"/>
      <x:c r="M19" s="194"/>
      <x:c r="N19" s="194"/>
    </x:row>
    <x:row r="20">
      <x:c r="A20" s="194" t="str">
        <x:v>杠杆/清算</x:v>
      </x:c>
      <x:c r="B20" s="223" t="n">
        <x:f>'实时5分钟'!C33</x:f>
        <x:v>0.05351000000000001</x:v>
      </x:c>
      <x:c r="C20" s="223" t="n">
        <x:f>'实时5分钟'!D33</x:f>
        <x:v>0.09746833333333335</x:v>
      </x:c>
      <x:c r="D20" s="224" t="n">
        <x:f>'实时5分钟'!B33</x:f>
        <x:v>0.1715166666666667</x:v>
      </x:c>
      <x:c r="E20" s="194"/>
      <x:c r="F20" s="194"/>
      <x:c r="G20" s="194"/>
      <x:c r="H20" s="194"/>
      <x:c r="I20" s="194"/>
      <x:c r="J20" s="194"/>
      <x:c r="K20" s="194"/>
      <x:c r="L20" s="194"/>
      <x:c r="M20" s="194"/>
      <x:c r="N20" s="194"/>
    </x:row>
    <x:row r="21">
      <x:c r="A21" s="194" t="str">
        <x:v>衍生品</x:v>
      </x:c>
      <x:c r="B21" s="223" t="n">
        <x:f>'实时5分钟'!C34</x:f>
        <x:v>0.015500000000000003</x:v>
      </x:c>
      <x:c r="C21" s="223" t="n">
        <x:f>'实时5分钟'!D34</x:f>
        <x:v>0.015500000000000003</x:v>
      </x:c>
      <x:c r="D21" s="224" t="n">
        <x:f>'实时5分钟'!B34</x:f>
        <x:v>0.045500000000000006</x:v>
      </x:c>
      <x:c r="E21" s="194"/>
      <x:c r="F21" s="194"/>
      <x:c r="G21" s="194"/>
      <x:c r="H21" s="194"/>
      <x:c r="I21" s="194"/>
      <x:c r="J21" s="194"/>
      <x:c r="K21" s="194"/>
      <x:c r="L21" s="194"/>
      <x:c r="M21" s="194"/>
      <x:c r="N21" s="194"/>
    </x:row>
    <x:row r="22">
      <x:c r="A22" s="194" t="str">
        <x:v>跨市场</x:v>
      </x:c>
      <x:c r="B22" s="223" t="n">
        <x:f>'实时5分钟'!C35</x:f>
        <x:v>0.014116666666666666</x:v>
      </x:c>
      <x:c r="C22" s="223" t="n">
        <x:f>'实时5分钟'!D35</x:f>
        <x:v>0.016543333333333334</x:v>
      </x:c>
      <x:c r="D22" s="224" t="n">
        <x:f>'实时5分钟'!B35</x:f>
        <x:v>0.05683333333333334</x:v>
      </x:c>
      <x:c r="E22" s="194"/>
      <x:c r="F22" s="194"/>
      <x:c r="G22" s="194"/>
      <x:c r="H22" s="194"/>
      <x:c r="I22" s="194"/>
      <x:c r="J22" s="194"/>
      <x:c r="K22" s="194"/>
      <x:c r="L22" s="194"/>
      <x:c r="M22" s="194"/>
      <x:c r="N22" s="194"/>
    </x:row>
    <x:row r="23">
      <x:c r="A23" s="194" t="str">
        <x:v>宏观代理</x:v>
      </x:c>
      <x:c r="B23" s="223" t="n">
        <x:f>'实时5分钟'!C36</x:f>
        <x:v>0.0033677777777777773</x:v>
      </x:c>
      <x:c r="C23" s="223" t="n">
        <x:f>'实时5分钟'!D36</x:f>
        <x:v>0.006852222222222221</x:v>
      </x:c>
      <x:c r="D23" s="224" t="n">
        <x:f>'实时5分钟'!B36</x:f>
        <x:v>0.036866666666666666</x:v>
      </x:c>
      <x:c r="E23" s="194"/>
      <x:c r="F23" s="194"/>
      <x:c r="G23" s="194"/>
      <x:c r="H23" s="194"/>
      <x:c r="I23" s="194"/>
      <x:c r="J23" s="194"/>
      <x:c r="K23" s="194"/>
      <x:c r="L23" s="194"/>
      <x:c r="M23" s="194"/>
      <x:c r="N23" s="194"/>
    </x:row>
    <x:row r="24">
      <x:c r="A24" s="194" t="str">
        <x:v>事件</x:v>
      </x:c>
      <x:c r="B24" s="223" t="n">
        <x:f>'实时5分钟'!C37</x:f>
        <x:v>0</x:v>
      </x:c>
      <x:c r="C24" s="223" t="n">
        <x:f>'实时5分钟'!D37</x:f>
        <x:v>0</x:v>
      </x:c>
      <x:c r="D24" s="224" t="n">
        <x:f>'实时5分钟'!B37</x:f>
        <x:v>0.09013499999999999</x:v>
      </x:c>
      <x:c r="E24" s="194"/>
      <x:c r="F24" s="194"/>
      <x:c r="G24" s="194"/>
      <x:c r="H24" s="194"/>
      <x:c r="I24" s="194"/>
      <x:c r="J24" s="194"/>
      <x:c r="K24" s="194"/>
      <x:c r="L24" s="194"/>
      <x:c r="M24" s="194"/>
      <x:c r="N24" s="194"/>
    </x:row>
    <x:row r="25">
      <x:c r="A25" s="194"/>
      <x:c r="B25" s="194"/>
      <x:c r="C25" s="194"/>
      <x:c r="D25" s="194"/>
      <x:c r="E25" s="194"/>
      <x:c r="F25" s="194"/>
      <x:c r="G25" s="194"/>
      <x:c r="H25" s="194"/>
      <x:c r="I25" s="194"/>
      <x:c r="J25" s="194"/>
      <x:c r="K25" s="194"/>
      <x:c r="L25" s="194"/>
      <x:c r="M25" s="194"/>
      <x:c r="N25" s="194"/>
    </x:row>
    <x:row r="26">
      <x:c r="A26" s="194"/>
      <x:c r="B26" s="194"/>
      <x:c r="C26" s="194"/>
      <x:c r="D26" s="194"/>
      <x:c r="E26" s="194"/>
      <x:c r="F26" s="194"/>
      <x:c r="G26" s="194"/>
      <x:c r="H26" s="194"/>
      <x:c r="I26" s="194"/>
      <x:c r="J26" s="194"/>
      <x:c r="K26" s="194"/>
      <x:c r="L26" s="194"/>
      <x:c r="M26" s="194"/>
      <x:c r="N26" s="194"/>
    </x:row>
    <x:row r="27" ht="20" customHeight="1">
      <x:c r="A27" s="17" t="str">
        <x:v>模型解读</x:v>
      </x:c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27" t="str">
        <x:v>优先级</x:v>
      </x:c>
      <x:c r="B28" s="27" t="str">
        <x:v>如何解读</x:v>
      </x:c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 t="str"/>
      <x:c r="M28" s="27" t="str"/>
      <x:c r="N28" s="27" t="str"/>
    </x:row>
    <x:row r="29">
      <x:c r="A29" s="206" t="str">
        <x:v>1</x:v>
      </x:c>
      <x:c r="B29" s="206" t="str">
        <x:v>若突发新闻/宏观意外值达到±2以上，事件通常先决定方向，盘口只决定冲击放大程度。</x:v>
      </x:c>
      <x:c r="C29" s="206" t="str"/>
      <x:c r="D29" s="206" t="str"/>
      <x:c r="E29" s="206" t="str"/>
      <x:c r="F29" s="206" t="str"/>
      <x:c r="G29" s="206" t="str"/>
      <x:c r="H29" s="206" t="str"/>
      <x:c r="I29" s="206" t="str"/>
      <x:c r="J29" s="206" t="str"/>
      <x:c r="K29" s="206" t="str"/>
      <x:c r="L29" s="206" t="str"/>
      <x:c r="M29" s="206" t="str"/>
      <x:c r="N29" s="206" t="str"/>
    </x:row>
    <x:row r="30">
      <x:c r="A30" s="206" t="str">
        <x:v>2</x:v>
      </x:c>
      <x:c r="B30" s="206" t="str">
        <x:v>若清算强度、价差冲击和深度收缩同时升高，价格可能进入反身性的清算级联。</x:v>
      </x:c>
      <x:c r="C30" s="206" t="str"/>
      <x:c r="D30" s="206" t="str"/>
      <x:c r="E30" s="206" t="str"/>
      <x:c r="F30" s="206" t="str"/>
      <x:c r="G30" s="206" t="str"/>
      <x:c r="H30" s="206" t="str"/>
      <x:c r="I30" s="206" t="str"/>
      <x:c r="J30" s="206" t="str"/>
      <x:c r="K30" s="206" t="str"/>
      <x:c r="L30" s="206" t="str"/>
      <x:c r="M30" s="206" t="str"/>
      <x:c r="N30" s="206" t="str"/>
    </x:row>
    <x:row r="31">
      <x:c r="A31" s="206" t="str">
        <x:v>3</x:v>
      </x:c>
      <x:c r="B31" s="206" t="str">
        <x:v>正常时段以永续主动订单流、L2盘口不平衡和跨交易所领先关系为核心。</x:v>
      </x:c>
      <x:c r="C31" s="206" t="str"/>
      <x:c r="D31" s="206" t="str"/>
      <x:c r="E31" s="206" t="str"/>
      <x:c r="F31" s="206" t="str"/>
      <x:c r="G31" s="206" t="str"/>
      <x:c r="H31" s="206" t="str"/>
      <x:c r="I31" s="206" t="str"/>
      <x:c r="J31" s="206" t="str"/>
      <x:c r="K31" s="206" t="str"/>
      <x:c r="L31" s="206" t="str"/>
      <x:c r="M31" s="206" t="str"/>
      <x:c r="N31" s="206" t="str"/>
    </x:row>
    <x:row r="32">
      <x:c r="A32" s="206" t="str">
        <x:v>4</x:v>
      </x:c>
      <x:c r="B32" s="206" t="str">
        <x:v>综合方向分接近0但波动风险高，意味着“会大幅波动，但方向不可靠”，不应强行下注方向。</x:v>
      </x:c>
      <x:c r="C32" s="206" t="str"/>
      <x:c r="D32" s="206" t="str"/>
      <x:c r="E32" s="206" t="str"/>
      <x:c r="F32" s="206" t="str"/>
      <x:c r="G32" s="206" t="str"/>
      <x:c r="H32" s="206" t="str"/>
      <x:c r="I32" s="206" t="str"/>
      <x:c r="J32" s="206" t="str"/>
      <x:c r="K32" s="206" t="str"/>
      <x:c r="L32" s="206" t="str"/>
      <x:c r="M32" s="206" t="str"/>
      <x:c r="N32" s="206" t="str"/>
    </x:row>
  </x:sheetData>
  <x:mergeCells>
    <x:mergeCell ref="A1:N1"/>
    <x:mergeCell ref="A2:N2"/>
    <x:mergeCell ref="A4:D4"/>
    <x:mergeCell ref="A5:D7"/>
    <x:mergeCell ref="E4:H4"/>
    <x:mergeCell ref="E5:H7"/>
    <x:mergeCell ref="I4:L4"/>
    <x:mergeCell ref="I5:L7"/>
    <x:mergeCell ref="A9:D9"/>
    <x:mergeCell ref="A10:D12"/>
    <x:mergeCell ref="E9:H9"/>
    <x:mergeCell ref="E10:H12"/>
    <x:mergeCell ref="I9:L9"/>
    <x:mergeCell ref="I10:L12"/>
    <x:mergeCell ref="A15:H15"/>
    <x:mergeCell ref="A27:N27"/>
    <x:mergeCell ref="B29:N29"/>
    <x:mergeCell ref="B30:N30"/>
    <x:mergeCell ref="B31:N31"/>
    <x:mergeCell ref="B32:N32"/>
  </x:mergeCells>
  <x:conditionalFormatting sqref="B17:B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C17:C24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{D95BC513-7619-A1C7-E17D-18901618811E}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cb8fdd35289426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95BC513-7619-A1C7-E17D-18901618811E}">
            <x14:dataBar gradient="1">
              <x14:cfvo type="min"/>
              <x14:cfvo type="max"/>
              <x14:fillColor rgb="FF5B9BD5"/>
            </x14:dataBar>
          </x14:cfRule>
          <xm:sqref>C17:C24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6" hidden="0" customWidth="1"/>
    <x:col min="4" max="4" width="8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8" hidden="0" customWidth="1"/>
    <x:col min="11" max="11" width="10" hidden="0" customWidth="1"/>
    <x:col min="12" max="12" width="10" hidden="0" customWidth="1"/>
    <x:col min="13" max="13" width="11" hidden="0" customWidth="1"/>
    <x:col min="14" max="14" width="11" hidden="0" customWidth="1"/>
    <x:col min="15" max="15" width="10" hidden="0" customWidth="1"/>
    <x:col min="16" max="16" width="10" hidden="0" customWidth="1"/>
    <x:col min="17" max="17" width="10" hidden="0" customWidth="1"/>
    <x:col min="18" max="18" width="11" hidden="0" customWidth="1"/>
    <x:col min="19" max="19" width="11" hidden="0" customWidth="1"/>
    <x:col min="20" max="20" width="11" hidden="0" customWidth="1"/>
  </x:cols>
  <x:sheetData>
    <x:row r="1" ht="28" customHeight="1">
      <x:c r="A1" s="5" t="str">
        <x:v>BTC 5分钟实时信号输入与评分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11" t="str">
        <x:v>当前内置的是示例数据，仅用于展示公式，不代表实时市场。接入API后，每5分钟更新一次主值、辅助值、数据延迟与置信度。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3">
      <x:c r="A3" s="66" t="str">
        <x:v>时间戳</x:v>
      </x:c>
      <x:c r="B3" s="76" t="n">
        <x:v>46240.40625</x:v>
      </x:c>
      <x:c r="C3" s="66"/>
      <x:c r="D3" s="66" t="str">
        <x:v>市场状态</x:v>
      </x:c>
      <x:c r="E3" s="73" t="str">
        <x:v>正常</x:v>
      </x:c>
      <x:c r="F3" s="66"/>
      <x:c r="G3" s="66" t="str">
        <x:v>数据说明</x:v>
      </x:c>
      <x:c r="H3" s="66" t="str">
        <x:v>示例；蓝字黄色底为输入，黑/绿字为公式</x:v>
      </x:c>
      <x:c r="I3" s="66"/>
      <x:c r="J3" s="66"/>
      <x:c r="K3" s="66"/>
      <x:c r="L3" s="66"/>
      <x:c r="M3" s="66"/>
      <x:c r="N3" s="66"/>
      <x:c r="O3" s="66"/>
      <x:c r="P3" s="66"/>
      <x:c r="Q3" s="66"/>
    </x:row>
    <x:row r="5">
      <x:c r="A5" s="27" t="str">
        <x:v>ID</x:v>
      </x:c>
      <x:c r="B5" s="27" t="str">
        <x:v>分组</x:v>
      </x:c>
      <x:c r="C5" s="27" t="str">
        <x:v>信号</x:v>
      </x:c>
      <x:c r="D5" s="27" t="str">
        <x:v>作用</x:v>
      </x:c>
      <x:c r="E5" s="27" t="str">
        <x:v>主值</x:v>
      </x:c>
      <x:c r="F5" s="27" t="str">
        <x:v>辅助值</x:v>
      </x:c>
      <x:c r="G5" s="27" t="str">
        <x:v>单位</x:v>
      </x:c>
      <x:c r="H5" s="27" t="str">
        <x:v>中性值</x:v>
      </x:c>
      <x:c r="I5" s="27" t="str">
        <x:v>1分尺度</x:v>
      </x:c>
      <x:c r="J5" s="27" t="str">
        <x:v>极性</x:v>
      </x:c>
      <x:c r="K5" s="27" t="str">
        <x:v>延迟(秒)</x:v>
      </x:c>
      <x:c r="L5" s="27" t="str">
        <x:v>置信度</x:v>
      </x:c>
      <x:c r="M5" s="27" t="str">
        <x:v>基础权重</x:v>
      </x:c>
      <x:c r="N5" s="27" t="str">
        <x:v>状态乘数</x:v>
      </x:c>
      <x:c r="O5" s="27" t="str">
        <x:v>新鲜度</x:v>
      </x:c>
      <x:c r="P5" s="27" t="str">
        <x:v>方向分</x:v>
      </x:c>
      <x:c r="Q5" s="27" t="str">
        <x:v>风险分</x:v>
      </x:c>
      <x:c r="R5" s="27" t="str">
        <x:v>有效权重</x:v>
      </x:c>
      <x:c r="S5" s="27" t="str">
        <x:v>方向贡献</x:v>
      </x:c>
      <x:c r="T5" s="27" t="str">
        <x:v>风险贡献</x:v>
      </x:c>
    </x:row>
    <x:row r="6">
      <x:c r="A6" s="194" t="str">
        <x:v>S01</x:v>
      </x:c>
      <x:c r="B6" s="194" t="str">
        <x:v>订单流</x:v>
      </x:c>
      <x:c r="C6" s="194" t="str">
        <x:v>永续主动买卖不平衡</x:v>
      </x:c>
      <x:c r="D6" s="194" t="str">
        <x:v>方向</x:v>
      </x:c>
      <x:c r="E6" s="199" t="n">
        <x:v>0.12</x:v>
      </x:c>
      <x:c r="F6" s="199"/>
      <x:c r="G6" s="194" t="str">
        <x:v>%</x:v>
      </x:c>
      <x:c r="H6" s="214" t="n">
        <x:v>0</x:v>
      </x:c>
      <x:c r="I6" s="214" t="n">
        <x:v>0.1</x:v>
      </x:c>
      <x:c r="J6" s="194" t="n">
        <x:v>1</x:v>
      </x:c>
      <x:c r="K6" s="215" t="n">
        <x:v>2</x:v>
      </x:c>
      <x:c r="L6" s="196" t="n">
        <x:v>1</x:v>
      </x:c>
      <x:c r="M6" s="216" t="n">
        <x:f>INDEX('参数'!$C$6:$C$25,MATCH(A6,'参数'!$A$6:$A$25,0))</x:f>
        <x:v>0.1</x:v>
      </x:c>
      <x:c r="N6" s="217" t="n">
        <x:f>INDEX('参数'!$E$6:$J$25,MATCH(A6,'参数'!$A$6:$A$25,0),MATCH($E$3,'参数'!$E$5:$J$5,0))</x:f>
        <x:v>1</x:v>
      </x:c>
      <x:c r="O6" s="217" t="n">
        <x:f>MAX(0,1-K6/INDEX('信号库'!$J$5:$J$24,MATCH(A6,'信号库'!$A$5:$A$24,0)))</x:f>
        <x:v>0.8666666666666667</x:v>
      </x:c>
      <x:c r="P6" s="218" t="n">
        <x:f>IF(E6="","",MAX(-3,MIN(3,(E6-H6)/I6*J6)))</x:f>
        <x:v>1.2</x:v>
      </x:c>
      <x:c r="Q6" s="218" t="n">
        <x:f>IF(P6="","",ABS(P6))</x:f>
        <x:v>1.2</x:v>
      </x:c>
      <x:c r="R6" s="219" t="n">
        <x:f>M6*N6*O6*L6*INDEX('参数'!$D$6:$D$25,MATCH(A6,'参数'!$A$6:$A$25,0))</x:f>
        <x:v>0.08233333333333333</x:v>
      </x:c>
      <x:c r="S6" s="218" t="n">
        <x:f>P6*R6</x:f>
        <x:v>0.09879999999999999</x:v>
      </x:c>
      <x:c r="T6" s="218" t="n">
        <x:f>Q6*R6</x:f>
        <x:v>0.09879999999999999</x:v>
      </x:c>
    </x:row>
    <x:row r="7">
      <x:c r="A7" s="194" t="str">
        <x:v>S02</x:v>
      </x:c>
      <x:c r="B7" s="194" t="str">
        <x:v>订单流</x:v>
      </x:c>
      <x:c r="C7" s="194" t="str">
        <x:v>现货主动买卖不平衡</x:v>
      </x:c>
      <x:c r="D7" s="194" t="str">
        <x:v>方向</x:v>
      </x:c>
      <x:c r="E7" s="199" t="n">
        <x:v>0.08</x:v>
      </x:c>
      <x:c r="F7" s="199"/>
      <x:c r="G7" s="194" t="str">
        <x:v>%</x:v>
      </x:c>
      <x:c r="H7" s="214" t="n">
        <x:v>0</x:v>
      </x:c>
      <x:c r="I7" s="214" t="n">
        <x:v>0.08</x:v>
      </x:c>
      <x:c r="J7" s="194" t="n">
        <x:v>1</x:v>
      </x:c>
      <x:c r="K7" s="215" t="n">
        <x:v>2</x:v>
      </x:c>
      <x:c r="L7" s="196" t="n">
        <x:v>1</x:v>
      </x:c>
      <x:c r="M7" s="216" t="n">
        <x:f>INDEX('参数'!$C$6:$C$25,MATCH(A7,'参数'!$A$6:$A$25,0))</x:f>
        <x:v>0.08</x:v>
      </x:c>
      <x:c r="N7" s="217" t="n">
        <x:f>INDEX('参数'!$E$6:$J$25,MATCH(A7,'参数'!$A$6:$A$25,0),MATCH($E$3,'参数'!$E$5:$J$5,0))</x:f>
        <x:v>1</x:v>
      </x:c>
      <x:c r="O7" s="217" t="n">
        <x:f>MAX(0,1-K7/INDEX('信号库'!$J$5:$J$24,MATCH(A7,'信号库'!$A$5:$A$24,0)))</x:f>
        <x:v>0.8666666666666667</x:v>
      </x:c>
      <x:c r="P7" s="218" t="n">
        <x:f>IF(E7="","",MAX(-3,MIN(3,(E7-H7)/I7*J7)))</x:f>
        <x:v>1</x:v>
      </x:c>
      <x:c r="Q7" s="218" t="n">
        <x:f>IF(P7="","",ABS(P7))</x:f>
        <x:v>1</x:v>
      </x:c>
      <x:c r="R7" s="219" t="n">
        <x:f>M7*N7*O7*L7*INDEX('参数'!$D$6:$D$25,MATCH(A7,'参数'!$A$6:$A$25,0))</x:f>
        <x:v>0.06240000000000001</x:v>
      </x:c>
      <x:c r="S7" s="218" t="n">
        <x:f>P7*R7</x:f>
        <x:v>0.06240000000000001</x:v>
      </x:c>
      <x:c r="T7" s="218" t="n">
        <x:f>Q7*R7</x:f>
        <x:v>0.06240000000000001</x:v>
      </x:c>
    </x:row>
    <x:row r="8">
      <x:c r="A8" s="194" t="str">
        <x:v>S03</x:v>
      </x:c>
      <x:c r="B8" s="194" t="str">
        <x:v>流动性</x:v>
      </x:c>
      <x:c r="C8" s="194" t="str">
        <x:v>L2盘口不平衡（前10档）</x:v>
      </x:c>
      <x:c r="D8" s="194" t="str">
        <x:v>方向</x:v>
      </x:c>
      <x:c r="E8" s="199" t="n">
        <x:v>0.06</x:v>
      </x:c>
      <x:c r="F8" s="199"/>
      <x:c r="G8" s="194" t="str">
        <x:v>%</x:v>
      </x:c>
      <x:c r="H8" s="214" t="n">
        <x:v>0</x:v>
      </x:c>
      <x:c r="I8" s="214" t="n">
        <x:v>0.1</x:v>
      </x:c>
      <x:c r="J8" s="194" t="n">
        <x:v>1</x:v>
      </x:c>
      <x:c r="K8" s="215" t="n">
        <x:v>2</x:v>
      </x:c>
      <x:c r="L8" s="196" t="n">
        <x:v>1</x:v>
      </x:c>
      <x:c r="M8" s="216" t="n">
        <x:f>INDEX('参数'!$C$6:$C$25,MATCH(A8,'参数'!$A$6:$A$25,0))</x:f>
        <x:v>0.1</x:v>
      </x:c>
      <x:c r="N8" s="217" t="n">
        <x:f>INDEX('参数'!$E$6:$J$25,MATCH(A8,'参数'!$A$6:$A$25,0),MATCH($E$3,'参数'!$E$5:$J$5,0))</x:f>
        <x:v>1</x:v>
      </x:c>
      <x:c r="O8" s="217" t="n">
        <x:f>MAX(0,1-K8/INDEX('信号库'!$J$5:$J$24,MATCH(A8,'信号库'!$A$5:$A$24,0)))</x:f>
        <x:v>0.6</x:v>
      </x:c>
      <x:c r="P8" s="218" t="n">
        <x:f>IF(E8="","",MAX(-3,MIN(3,(E8-H8)/I8*J8)))</x:f>
        <x:v>0.6</x:v>
      </x:c>
      <x:c r="Q8" s="218" t="n">
        <x:f>IF(P8="","",ABS(P8))</x:f>
        <x:v>0.6</x:v>
      </x:c>
      <x:c r="R8" s="219" t="n">
        <x:f>M8*N8*O8*L8*INDEX('参数'!$D$6:$D$25,MATCH(A8,'参数'!$A$6:$A$25,0))</x:f>
        <x:v>0.054</x:v>
      </x:c>
      <x:c r="S8" s="218" t="n">
        <x:f>P8*R8</x:f>
        <x:v>0.0324</x:v>
      </x:c>
      <x:c r="T8" s="218" t="n">
        <x:f>Q8*R8</x:f>
        <x:v>0.0324</x:v>
      </x:c>
    </x:row>
    <x:row r="9">
      <x:c r="A9" s="194" t="str">
        <x:v>S04</x:v>
      </x:c>
      <x:c r="B9" s="194" t="str">
        <x:v>流动性</x:v>
      </x:c>
      <x:c r="C9" s="194" t="str">
        <x:v>净深度变化</x:v>
      </x:c>
      <x:c r="D9" s="194" t="str">
        <x:v>方向</x:v>
      </x:c>
      <x:c r="E9" s="199" t="n">
        <x:v>0.03</x:v>
      </x:c>
      <x:c r="F9" s="199"/>
      <x:c r="G9" s="194" t="str">
        <x:v>%</x:v>
      </x:c>
      <x:c r="H9" s="214" t="n">
        <x:v>0</x:v>
      </x:c>
      <x:c r="I9" s="214" t="n">
        <x:v>0.1</x:v>
      </x:c>
      <x:c r="J9" s="194" t="n">
        <x:v>1</x:v>
      </x:c>
      <x:c r="K9" s="215" t="n">
        <x:v>2</x:v>
      </x:c>
      <x:c r="L9" s="196" t="n">
        <x:v>1</x:v>
      </x:c>
      <x:c r="M9" s="216" t="n">
        <x:f>INDEX('参数'!$C$6:$C$25,MATCH(A9,'参数'!$A$6:$A$25,0))</x:f>
        <x:v>0.05</x:v>
      </x:c>
      <x:c r="N9" s="217" t="n">
        <x:f>INDEX('参数'!$E$6:$J$25,MATCH(A9,'参数'!$A$6:$A$25,0),MATCH($E$3,'参数'!$E$5:$J$5,0))</x:f>
        <x:v>1</x:v>
      </x:c>
      <x:c r="O9" s="217" t="n">
        <x:f>MAX(0,1-K9/INDEX('信号库'!$J$5:$J$24,MATCH(A9,'信号库'!$A$5:$A$24,0)))</x:f>
        <x:v>0.8</x:v>
      </x:c>
      <x:c r="P9" s="218" t="n">
        <x:f>IF(E9="","",MAX(-3,MIN(3,(E9-H9)/I9*J9)))</x:f>
        <x:v>0.3</x:v>
      </x:c>
      <x:c r="Q9" s="218" t="n">
        <x:f>IF(P9="","",ABS(P9))</x:f>
        <x:v>0.3</x:v>
      </x:c>
      <x:c r="R9" s="219" t="n">
        <x:f>M9*N9*O9*L9*INDEX('参数'!$D$6:$D$25,MATCH(A9,'参数'!$A$6:$A$25,0))</x:f>
        <x:v>0.03200000000000001</x:v>
      </x:c>
      <x:c r="S9" s="218" t="n">
        <x:f>P9*R9</x:f>
        <x:v>0.009600000000000003</x:v>
      </x:c>
      <x:c r="T9" s="218" t="n">
        <x:f>Q9*R9</x:f>
        <x:v>0.009600000000000003</x:v>
      </x:c>
    </x:row>
    <x:row r="10">
      <x:c r="A10" s="194" t="str">
        <x:v>S05</x:v>
      </x:c>
      <x:c r="B10" s="194" t="str">
        <x:v>流动性</x:v>
      </x:c>
      <x:c r="C10" s="194" t="str">
        <x:v>买卖价差冲击</x:v>
      </x:c>
      <x:c r="D10" s="194" t="str">
        <x:v>风险</x:v>
      </x:c>
      <x:c r="E10" s="197" t="n">
        <x:v>1.1</x:v>
      </x:c>
      <x:c r="F10" s="197"/>
      <x:c r="G10" s="220" t="str">
        <x:v>x基线</x:v>
      </x:c>
      <x:c r="H10" s="220" t="n">
        <x:v>1</x:v>
      </x:c>
      <x:c r="I10" s="220" t="n">
        <x:v>0.5</x:v>
      </x:c>
      <x:c r="J10" s="194" t="n">
        <x:v>1</x:v>
      </x:c>
      <x:c r="K10" s="215" t="n">
        <x:v>2</x:v>
      </x:c>
      <x:c r="L10" s="196" t="n">
        <x:v>1</x:v>
      </x:c>
      <x:c r="M10" s="216" t="n">
        <x:f>INDEX('参数'!$C$6:$C$25,MATCH(A10,'参数'!$A$6:$A$25,0))</x:f>
        <x:v>0.03</x:v>
      </x:c>
      <x:c r="N10" s="217" t="n">
        <x:f>INDEX('参数'!$E$6:$J$25,MATCH(A10,'参数'!$A$6:$A$25,0),MATCH($E$3,'参数'!$E$5:$J$5,0))</x:f>
        <x:v>1</x:v>
      </x:c>
      <x:c r="O10" s="217" t="n">
        <x:f>MAX(0,1-K10/INDEX('信号库'!$J$5:$J$24,MATCH(A10,'信号库'!$A$5:$A$24,0)))</x:f>
        <x:v>0.6</x:v>
      </x:c>
      <x:c r="P10" s="218" t="n">
        <x:f>0</x:f>
        <x:v>0</x:v>
      </x:c>
      <x:c r="Q10" s="218" t="n">
        <x:f>IF(E10="","",MAX(0,MIN(3,ABS(E10-H10)/I10)))</x:f>
        <x:v>0.20000000000000018</x:v>
      </x:c>
      <x:c r="R10" s="219" t="n">
        <x:f>M10*N10*O10*L10*INDEX('参数'!$D$6:$D$25,MATCH(A10,'参数'!$A$6:$A$25,0))</x:f>
        <x:v>0.0162</x:v>
      </x:c>
      <x:c r="S10" s="218" t="n">
        <x:f>P10*R10</x:f>
        <x:v>0</x:v>
      </x:c>
      <x:c r="T10" s="218" t="n">
        <x:f>Q10*R10</x:f>
        <x:v>0.003240000000000003</x:v>
      </x:c>
    </x:row>
    <x:row r="11">
      <x:c r="A11" s="194" t="str">
        <x:v>S06</x:v>
      </x:c>
      <x:c r="B11" s="194" t="str">
        <x:v>价格行为</x:v>
      </x:c>
      <x:c r="C11" s="194" t="str">
        <x:v>价格加速度</x:v>
      </x:c>
      <x:c r="D11" s="194" t="str">
        <x:v>方向</x:v>
      </x:c>
      <x:c r="E11" s="199" t="n">
        <x:v>0.0008</x:v>
      </x:c>
      <x:c r="F11" s="199"/>
      <x:c r="G11" s="194" t="str">
        <x:v>%</x:v>
      </x:c>
      <x:c r="H11" s="214" t="n">
        <x:v>0</x:v>
      </x:c>
      <x:c r="I11" s="214" t="n">
        <x:v>0.0015</x:v>
      </x:c>
      <x:c r="J11" s="194" t="n">
        <x:v>1</x:v>
      </x:c>
      <x:c r="K11" s="215" t="n">
        <x:v>2</x:v>
      </x:c>
      <x:c r="L11" s="196" t="n">
        <x:v>1</x:v>
      </x:c>
      <x:c r="M11" s="216" t="n">
        <x:f>INDEX('参数'!$C$6:$C$25,MATCH(A11,'参数'!$A$6:$A$25,0))</x:f>
        <x:v>0.05</x:v>
      </x:c>
      <x:c r="N11" s="217" t="n">
        <x:f>INDEX('参数'!$E$6:$J$25,MATCH(A11,'参数'!$A$6:$A$25,0),MATCH($E$3,'参数'!$E$5:$J$5,0))</x:f>
        <x:v>1</x:v>
      </x:c>
      <x:c r="O11" s="217" t="n">
        <x:f>MAX(0,1-K11/INDEX('信号库'!$J$5:$J$24,MATCH(A11,'信号库'!$A$5:$A$24,0)))</x:f>
        <x:v>0.8</x:v>
      </x:c>
      <x:c r="P11" s="218" t="n">
        <x:f>IF(E11="","",MAX(-3,MIN(3,(E11-H11)/I11*J11)))</x:f>
        <x:v>0.5333333333333333</x:v>
      </x:c>
      <x:c r="Q11" s="218" t="n">
        <x:f>IF(P11="","",ABS(P11))</x:f>
        <x:v>0.5333333333333333</x:v>
      </x:c>
      <x:c r="R11" s="219" t="n">
        <x:f>M11*N11*O11*L11*INDEX('参数'!$D$6:$D$25,MATCH(A11,'参数'!$A$6:$A$25,0))</x:f>
        <x:v>0.030000000000000006</x:v>
      </x:c>
      <x:c r="S11" s="218" t="n">
        <x:f>P11*R11</x:f>
        <x:v>0.016000000000000004</x:v>
      </x:c>
      <x:c r="T11" s="218" t="n">
        <x:f>Q11*R11</x:f>
        <x:v>0.016000000000000004</x:v>
      </x:c>
    </x:row>
    <x:row r="12">
      <x:c r="A12" s="194" t="str">
        <x:v>S07</x:v>
      </x:c>
      <x:c r="B12" s="194" t="str">
        <x:v>杠杆/清算</x:v>
      </x:c>
      <x:c r="C12" s="194" t="str">
        <x:v>净清算压力</x:v>
      </x:c>
      <x:c r="D12" s="194" t="str">
        <x:v>方向</x:v>
      </x:c>
      <x:c r="E12" s="199" t="n">
        <x:v>0.005</x:v>
      </x:c>
      <x:c r="F12" s="199"/>
      <x:c r="G12" s="194" t="str">
        <x:v>%成交额</x:v>
      </x:c>
      <x:c r="H12" s="214" t="n">
        <x:v>0</x:v>
      </x:c>
      <x:c r="I12" s="214" t="n">
        <x:v>0.02</x:v>
      </x:c>
      <x:c r="J12" s="194" t="n">
        <x:v>1</x:v>
      </x:c>
      <x:c r="K12" s="215" t="n">
        <x:v>2</x:v>
      </x:c>
      <x:c r="L12" s="196" t="n">
        <x:v>1</x:v>
      </x:c>
      <x:c r="M12" s="216" t="n">
        <x:f>INDEX('参数'!$C$6:$C$25,MATCH(A12,'参数'!$A$6:$A$25,0))</x:f>
        <x:v>0.1</x:v>
      </x:c>
      <x:c r="N12" s="217" t="n">
        <x:f>INDEX('参数'!$E$6:$J$25,MATCH(A12,'参数'!$A$6:$A$25,0),MATCH($E$3,'参数'!$E$5:$J$5,0))</x:f>
        <x:v>1</x:v>
      </x:c>
      <x:c r="O12" s="217" t="n">
        <x:f>MAX(0,1-K12/INDEX('信号库'!$J$5:$J$24,MATCH(A12,'信号库'!$A$5:$A$24,0)))</x:f>
        <x:v>0.8</x:v>
      </x:c>
      <x:c r="P12" s="218" t="n">
        <x:f>IF(E12="","",MAX(-3,MIN(3,(E12-H12)/I12*J12)))</x:f>
        <x:v>0.25</x:v>
      </x:c>
      <x:c r="Q12" s="218" t="n">
        <x:f>IF(P12="","",ABS(P12))</x:f>
        <x:v>0.25</x:v>
      </x:c>
      <x:c r="R12" s="219" t="n">
        <x:f>M12*N12*O12*L12*INDEX('参数'!$D$6:$D$25,MATCH(A12,'参数'!$A$6:$A$25,0))</x:f>
        <x:v>0.07600000000000001</x:v>
      </x:c>
      <x:c r="S12" s="218" t="n">
        <x:f>P12*R12</x:f>
        <x:v>0.019000000000000003</x:v>
      </x:c>
      <x:c r="T12" s="218" t="n">
        <x:f>Q12*R12</x:f>
        <x:v>0.019000000000000003</x:v>
      </x:c>
    </x:row>
    <x:row r="13">
      <x:c r="A13" s="194" t="str">
        <x:v>S08</x:v>
      </x:c>
      <x:c r="B13" s="194" t="str">
        <x:v>杠杆/清算</x:v>
      </x:c>
      <x:c r="C13" s="194" t="str">
        <x:v>清算强度</x:v>
      </x:c>
      <x:c r="D13" s="194" t="str">
        <x:v>风险</x:v>
      </x:c>
      <x:c r="E13" s="199" t="n">
        <x:v>0.008</x:v>
      </x:c>
      <x:c r="F13" s="199"/>
      <x:c r="G13" s="194" t="str">
        <x:v>%成交额</x:v>
      </x:c>
      <x:c r="H13" s="214" t="n">
        <x:v>0</x:v>
      </x:c>
      <x:c r="I13" s="214" t="n">
        <x:v>0.02</x:v>
      </x:c>
      <x:c r="J13" s="194" t="n">
        <x:v>1</x:v>
      </x:c>
      <x:c r="K13" s="215" t="n">
        <x:v>2</x:v>
      </x:c>
      <x:c r="L13" s="196" t="n">
        <x:v>1</x:v>
      </x:c>
      <x:c r="M13" s="216" t="n">
        <x:f>INDEX('参数'!$C$6:$C$25,MATCH(A13,'参数'!$A$6:$A$25,0))</x:f>
        <x:v>0.05</x:v>
      </x:c>
      <x:c r="N13" s="217" t="n">
        <x:f>INDEX('参数'!$E$6:$J$25,MATCH(A13,'参数'!$A$6:$A$25,0),MATCH($E$3,'参数'!$E$5:$J$5,0))</x:f>
        <x:v>1</x:v>
      </x:c>
      <x:c r="O13" s="217" t="n">
        <x:f>MAX(0,1-K13/INDEX('信号库'!$J$5:$J$24,MATCH(A13,'信号库'!$A$5:$A$24,0)))</x:f>
        <x:v>0.8</x:v>
      </x:c>
      <x:c r="P13" s="218" t="n">
        <x:f>0</x:f>
        <x:v>0</x:v>
      </x:c>
      <x:c r="Q13" s="218" t="n">
        <x:f>IF(E13="","",MAX(0,MIN(3,ABS(E13-H13)/I13)))</x:f>
        <x:v>0.4</x:v>
      </x:c>
      <x:c r="R13" s="219" t="n">
        <x:f>M13*N13*O13*L13*INDEX('参数'!$D$6:$D$25,MATCH(A13,'参数'!$A$6:$A$25,0))</x:f>
        <x:v>0.038000000000000006</x:v>
      </x:c>
      <x:c r="S13" s="218" t="n">
        <x:f>P13*R13</x:f>
        <x:v>0</x:v>
      </x:c>
      <x:c r="T13" s="218" t="n">
        <x:f>Q13*R13</x:f>
        <x:v>0.015200000000000003</x:v>
      </x:c>
    </x:row>
    <x:row r="14">
      <x:c r="A14" s="194" t="str">
        <x:v>S09</x:v>
      </x:c>
      <x:c r="B14" s="194" t="str">
        <x:v>杠杆/清算</x:v>
      </x:c>
      <x:c r="C14" s="194" t="str">
        <x:v>OI确认后的价格动量</x:v>
      </x:c>
      <x:c r="D14" s="194" t="str">
        <x:v>方向</x:v>
      </x:c>
      <x:c r="E14" s="199" t="n">
        <x:v>0.0015</x:v>
      </x:c>
      <x:c r="F14" s="199" t="n">
        <x:v>0.001</x:v>
      </x:c>
      <x:c r="G14" s="194" t="str">
        <x:v>%</x:v>
      </x:c>
      <x:c r="H14" s="214" t="n">
        <x:v>0</x:v>
      </x:c>
      <x:c r="I14" s="214" t="n">
        <x:v>0.0025</x:v>
      </x:c>
      <x:c r="J14" s="194" t="n">
        <x:v>1</x:v>
      </x:c>
      <x:c r="K14" s="215" t="n">
        <x:v>2</x:v>
      </x:c>
      <x:c r="L14" s="196" t="n">
        <x:v>1</x:v>
      </x:c>
      <x:c r="M14" s="216" t="n">
        <x:f>INDEX('参数'!$C$6:$C$25,MATCH(A14,'参数'!$A$6:$A$25,0))</x:f>
        <x:v>0.07</x:v>
      </x:c>
      <x:c r="N14" s="217" t="n">
        <x:f>INDEX('参数'!$E$6:$J$25,MATCH(A14,'参数'!$A$6:$A$25,0),MATCH($E$3,'参数'!$E$5:$J$5,0))</x:f>
        <x:v>1</x:v>
      </x:c>
      <x:c r="O14" s="217" t="n">
        <x:f>MAX(0,1-K14/INDEX('信号库'!$J$5:$J$24,MATCH(A14,'信号库'!$A$5:$A$24,0)))</x:f>
        <x:v>0.9666666666666667</x:v>
      </x:c>
      <x:c r="P14" s="218" t="n">
        <x:f>IF(OR(E14="",F14=""),"",SIGN(F14)*MIN(3,ABS(E14)/I14)*IF(E14&gt;=0,1,0.7))</x:f>
        <x:v>0.6</x:v>
      </x:c>
      <x:c r="Q14" s="218" t="n">
        <x:f>IF(P14="","",MIN(3,ABS(P14)+ABS(F14)/0.002))</x:f>
        <x:v>1.1</x:v>
      </x:c>
      <x:c r="R14" s="219" t="n">
        <x:f>M14*N14*O14*L14*INDEX('参数'!$D$6:$D$25,MATCH(A14,'参数'!$A$6:$A$25,0))</x:f>
        <x:v>0.057516666666666674</x:v>
      </x:c>
      <x:c r="S14" s="218" t="n">
        <x:f>P14*R14</x:f>
        <x:v>0.034510000000000006</x:v>
      </x:c>
      <x:c r="T14" s="218" t="n">
        <x:f>Q14*R14</x:f>
        <x:v>0.06326833333333334</x:v>
      </x:c>
    </x:row>
    <x:row r="15">
      <x:c r="A15" s="194" t="str">
        <x:v>S10</x:v>
      </x:c>
      <x:c r="B15" s="194" t="str">
        <x:v>衍生品</x:v>
      </x:c>
      <x:c r="C15" s="194" t="str">
        <x:v>永续-现货溢价变化</x:v>
      </x:c>
      <x:c r="D15" s="194" t="str">
        <x:v>方向</x:v>
      </x:c>
      <x:c r="E15" s="221" t="n">
        <x:v>2</x:v>
      </x:c>
      <x:c r="F15" s="221"/>
      <x:c r="G15" s="194" t="str">
        <x:v>bp</x:v>
      </x:c>
      <x:c r="H15" s="222" t="n">
        <x:v>0</x:v>
      </x:c>
      <x:c r="I15" s="222" t="n">
        <x:v>5</x:v>
      </x:c>
      <x:c r="J15" s="194" t="n">
        <x:v>1</x:v>
      </x:c>
      <x:c r="K15" s="215" t="n">
        <x:v>2</x:v>
      </x:c>
      <x:c r="L15" s="196" t="n">
        <x:v>1</x:v>
      </x:c>
      <x:c r="M15" s="216" t="n">
        <x:f>INDEX('参数'!$C$6:$C$25,MATCH(A15,'参数'!$A$6:$A$25,0))</x:f>
        <x:v>0.05</x:v>
      </x:c>
      <x:c r="N15" s="217" t="n">
        <x:f>INDEX('参数'!$E$6:$J$25,MATCH(A15,'参数'!$A$6:$A$25,0),MATCH($E$3,'参数'!$E$5:$J$5,0))</x:f>
        <x:v>1</x:v>
      </x:c>
      <x:c r="O15" s="217" t="n">
        <x:f>MAX(0,1-K15/INDEX('信号库'!$J$5:$J$24,MATCH(A15,'信号库'!$A$5:$A$24,0)))</x:f>
        <x:v>0.8</x:v>
      </x:c>
      <x:c r="P15" s="218" t="n">
        <x:f>IF(E15="","",MAX(-3,MIN(3,(E15-H15)/I15*J15)))</x:f>
        <x:v>0.4</x:v>
      </x:c>
      <x:c r="Q15" s="218" t="n">
        <x:f>IF(P15="","",ABS(P15))</x:f>
        <x:v>0.4</x:v>
      </x:c>
      <x:c r="R15" s="219" t="n">
        <x:f>M15*N15*O15*L15*INDEX('参数'!$D$6:$D$25,MATCH(A15,'参数'!$A$6:$A$25,0))</x:f>
        <x:v>0.03200000000000001</x:v>
      </x:c>
      <x:c r="S15" s="218" t="n">
        <x:f>P15*R15</x:f>
        <x:v>0.012800000000000004</x:v>
      </x:c>
      <x:c r="T15" s="218" t="n">
        <x:f>Q15*R15</x:f>
        <x:v>0.012800000000000004</x:v>
      </x:c>
    </x:row>
    <x:row r="16">
      <x:c r="A16" s="194" t="str">
        <x:v>S11</x:v>
      </x:c>
      <x:c r="B16" s="194" t="str">
        <x:v>衍生品</x:v>
      </x:c>
      <x:c r="C16" s="194" t="str">
        <x:v>标记价-指数价偏离</x:v>
      </x:c>
      <x:c r="D16" s="194" t="str">
        <x:v>方向</x:v>
      </x:c>
      <x:c r="E16" s="221" t="n">
        <x:v>1</x:v>
      </x:c>
      <x:c r="F16" s="221"/>
      <x:c r="G16" s="194" t="str">
        <x:v>bp</x:v>
      </x:c>
      <x:c r="H16" s="222" t="n">
        <x:v>0</x:v>
      </x:c>
      <x:c r="I16" s="222" t="n">
        <x:v>5</x:v>
      </x:c>
      <x:c r="J16" s="194" t="n">
        <x:v>1</x:v>
      </x:c>
      <x:c r="K16" s="215" t="n">
        <x:v>2</x:v>
      </x:c>
      <x:c r="L16" s="196" t="n">
        <x:v>1</x:v>
      </x:c>
      <x:c r="M16" s="216" t="n">
        <x:f>INDEX('参数'!$C$6:$C$25,MATCH(A16,'参数'!$A$6:$A$25,0))</x:f>
        <x:v>0.03</x:v>
      </x:c>
      <x:c r="N16" s="217" t="n">
        <x:f>INDEX('参数'!$E$6:$J$25,MATCH(A16,'参数'!$A$6:$A$25,0),MATCH($E$3,'参数'!$E$5:$J$5,0))</x:f>
        <x:v>1</x:v>
      </x:c>
      <x:c r="O16" s="217" t="n">
        <x:f>MAX(0,1-K16/INDEX('信号库'!$J$5:$J$24,MATCH(A16,'信号库'!$A$5:$A$24,0)))</x:f>
        <x:v>0.6</x:v>
      </x:c>
      <x:c r="P16" s="218" t="n">
        <x:f>IF(E16="","",MAX(-3,MIN(3,(E16-H16)/I16*J16)))</x:f>
        <x:v>0.2</x:v>
      </x:c>
      <x:c r="Q16" s="218" t="n">
        <x:f>IF(P16="","",ABS(P16))</x:f>
        <x:v>0.2</x:v>
      </x:c>
      <x:c r="R16" s="219" t="n">
        <x:f>M16*N16*O16*L16*INDEX('参数'!$D$6:$D$25,MATCH(A16,'参数'!$A$6:$A$25,0))</x:f>
        <x:v>0.013499999999999998</x:v>
      </x:c>
      <x:c r="S16" s="218" t="n">
        <x:f>P16*R16</x:f>
        <x:v>0.0026999999999999997</x:v>
      </x:c>
      <x:c r="T16" s="218" t="n">
        <x:f>Q16*R16</x:f>
        <x:v>0.0026999999999999997</x:v>
      </x:c>
    </x:row>
    <x:row r="17">
      <x:c r="A17" s="194" t="str">
        <x:v>S12</x:v>
      </x:c>
      <x:c r="B17" s="194" t="str">
        <x:v>跨市场</x:v>
      </x:c>
      <x:c r="C17" s="194" t="str">
        <x:v>领先交易所收益差</x:v>
      </x:c>
      <x:c r="D17" s="194" t="str">
        <x:v>方向</x:v>
      </x:c>
      <x:c r="E17" s="221" t="n">
        <x:v>1.5</x:v>
      </x:c>
      <x:c r="F17" s="221"/>
      <x:c r="G17" s="194" t="str">
        <x:v>bp</x:v>
      </x:c>
      <x:c r="H17" s="222" t="n">
        <x:v>0</x:v>
      </x:c>
      <x:c r="I17" s="222" t="n">
        <x:v>5</x:v>
      </x:c>
      <x:c r="J17" s="194" t="n">
        <x:v>1</x:v>
      </x:c>
      <x:c r="K17" s="215" t="n">
        <x:v>2</x:v>
      </x:c>
      <x:c r="L17" s="196" t="n">
        <x:v>1</x:v>
      </x:c>
      <x:c r="M17" s="216" t="n">
        <x:f>INDEX('参数'!$C$6:$C$25,MATCH(A17,'参数'!$A$6:$A$25,0))</x:f>
        <x:v>0.05</x:v>
      </x:c>
      <x:c r="N17" s="217" t="n">
        <x:f>INDEX('参数'!$E$6:$J$25,MATCH(A17,'参数'!$A$6:$A$25,0),MATCH($E$3,'参数'!$E$5:$J$5,0))</x:f>
        <x:v>1</x:v>
      </x:c>
      <x:c r="O17" s="217" t="n">
        <x:f>MAX(0,1-K17/INDEX('信号库'!$J$5:$J$24,MATCH(A17,'信号库'!$A$5:$A$24,0)))</x:f>
        <x:v>0.6</x:v>
      </x:c>
      <x:c r="P17" s="218" t="n">
        <x:f>IF(E17="","",MAX(-3,MIN(3,(E17-H17)/I17*J17)))</x:f>
        <x:v>0.3</x:v>
      </x:c>
      <x:c r="Q17" s="218" t="n">
        <x:f>IF(P17="","",ABS(P17))</x:f>
        <x:v>0.3</x:v>
      </x:c>
      <x:c r="R17" s="219" t="n">
        <x:f>M17*N17*O17*L17*INDEX('参数'!$D$6:$D$25,MATCH(A17,'参数'!$A$6:$A$25,0))</x:f>
        <x:v>0.0255</x:v>
      </x:c>
      <x:c r="S17" s="218" t="n">
        <x:f>P17*R17</x:f>
        <x:v>0.007649999999999999</x:v>
      </x:c>
      <x:c r="T17" s="218" t="n">
        <x:f>Q17*R17</x:f>
        <x:v>0.007649999999999999</x:v>
      </x:c>
    </x:row>
    <x:row r="18">
      <x:c r="A18" s="194" t="str">
        <x:v>S13</x:v>
      </x:c>
      <x:c r="B18" s="194" t="str">
        <x:v>跨市场</x:v>
      </x:c>
      <x:c r="C18" s="194" t="str">
        <x:v>Coinbase溢价</x:v>
      </x:c>
      <x:c r="D18" s="194" t="str">
        <x:v>方向</x:v>
      </x:c>
      <x:c r="E18" s="221" t="n">
        <x:v>2</x:v>
      </x:c>
      <x:c r="F18" s="221"/>
      <x:c r="G18" s="194" t="str">
        <x:v>bp</x:v>
      </x:c>
      <x:c r="H18" s="222" t="n">
        <x:v>0</x:v>
      </x:c>
      <x:c r="I18" s="222" t="n">
        <x:v>5</x:v>
      </x:c>
      <x:c r="J18" s="194" t="n">
        <x:v>1</x:v>
      </x:c>
      <x:c r="K18" s="215" t="n">
        <x:v>2</x:v>
      </x:c>
      <x:c r="L18" s="196" t="n">
        <x:v>1</x:v>
      </x:c>
      <x:c r="M18" s="216" t="n">
        <x:f>INDEX('参数'!$C$6:$C$25,MATCH(A18,'参数'!$A$6:$A$25,0))</x:f>
        <x:v>0.04</x:v>
      </x:c>
      <x:c r="N18" s="217" t="n">
        <x:f>INDEX('参数'!$E$6:$J$25,MATCH(A18,'参数'!$A$6:$A$25,0),MATCH($E$3,'参数'!$E$5:$J$5,0))</x:f>
        <x:v>1</x:v>
      </x:c>
      <x:c r="O18" s="217" t="n">
        <x:f>MAX(0,1-K18/INDEX('信号库'!$J$5:$J$24,MATCH(A18,'信号库'!$A$5:$A$24,0)))</x:f>
        <x:v>0.6</x:v>
      </x:c>
      <x:c r="P18" s="218" t="n">
        <x:f>IF(E18="","",MAX(-3,MIN(3,(E18-H18)/I18*J18)))</x:f>
        <x:v>0.4</x:v>
      </x:c>
      <x:c r="Q18" s="218" t="n">
        <x:f>IF(P18="","",ABS(P18))</x:f>
        <x:v>0.4</x:v>
      </x:c>
      <x:c r="R18" s="219" t="n">
        <x:f>M18*N18*O18*L18*INDEX('参数'!$D$6:$D$25,MATCH(A18,'参数'!$A$6:$A$25,0))</x:f>
        <x:v>0.019200000000000002</x:v>
      </x:c>
      <x:c r="S18" s="218" t="n">
        <x:f>P18*R18</x:f>
        <x:v>0.007680000000000001</x:v>
      </x:c>
      <x:c r="T18" s="218" t="n">
        <x:f>Q18*R18</x:f>
        <x:v>0.007680000000000001</x:v>
      </x:c>
    </x:row>
    <x:row r="19">
      <x:c r="A19" s="194" t="str">
        <x:v>S14</x:v>
      </x:c>
      <x:c r="B19" s="194" t="str">
        <x:v>跨市场</x:v>
      </x:c>
      <x:c r="C19" s="194" t="str">
        <x:v>稳定币压力</x:v>
      </x:c>
      <x:c r="D19" s="194" t="str">
        <x:v>方向</x:v>
      </x:c>
      <x:c r="E19" s="221" t="n">
        <x:v>-1</x:v>
      </x:c>
      <x:c r="F19" s="221"/>
      <x:c r="G19" s="194" t="str">
        <x:v>bp</x:v>
      </x:c>
      <x:c r="H19" s="222" t="n">
        <x:v>0</x:v>
      </x:c>
      <x:c r="I19" s="222" t="n">
        <x:v>10</x:v>
      </x:c>
      <x:c r="J19" s="194" t="n">
        <x:v>1</x:v>
      </x:c>
      <x:c r="K19" s="215" t="n">
        <x:v>2</x:v>
      </x:c>
      <x:c r="L19" s="196" t="n">
        <x:v>1</x:v>
      </x:c>
      <x:c r="M19" s="216" t="n">
        <x:f>INDEX('参数'!$C$6:$C$25,MATCH(A19,'参数'!$A$6:$A$25,0))</x:f>
        <x:v>0.02</x:v>
      </x:c>
      <x:c r="N19" s="217" t="n">
        <x:f>INDEX('参数'!$E$6:$J$25,MATCH(A19,'参数'!$A$6:$A$25,0),MATCH($E$3,'参数'!$E$5:$J$5,0))</x:f>
        <x:v>1</x:v>
      </x:c>
      <x:c r="O19" s="217" t="n">
        <x:f>MAX(0,1-K19/INDEX('信号库'!$J$5:$J$24,MATCH(A19,'信号库'!$A$5:$A$24,0)))</x:f>
        <x:v>0.8666666666666667</x:v>
      </x:c>
      <x:c r="P19" s="218" t="n">
        <x:f>IF(E19="","",MAX(-3,MIN(3,(E19-H19)/I19*J19)))</x:f>
        <x:v>-0.1</x:v>
      </x:c>
      <x:c r="Q19" s="218" t="n">
        <x:f>IF(P19="","",ABS(P19))</x:f>
        <x:v>0.1</x:v>
      </x:c>
      <x:c r="R19" s="219" t="n">
        <x:f>M19*N19*O19*L19*INDEX('参数'!$D$6:$D$25,MATCH(A19,'参数'!$A$6:$A$25,0))</x:f>
        <x:v>0.012133333333333335</x:v>
      </x:c>
      <x:c r="S19" s="218" t="n">
        <x:f>P19*R19</x:f>
        <x:v>-0.0012133333333333336</x:v>
      </x:c>
      <x:c r="T19" s="218" t="n">
        <x:f>Q19*R19</x:f>
        <x:v>0.0012133333333333336</x:v>
      </x:c>
    </x:row>
    <x:row r="20">
      <x:c r="A20" s="194" t="str">
        <x:v>S15</x:v>
      </x:c>
      <x:c r="B20" s="194" t="str">
        <x:v>宏观代理</x:v>
      </x:c>
      <x:c r="C20" s="194" t="str">
        <x:v>纳指期货5分钟收益</x:v>
      </x:c>
      <x:c r="D20" s="194" t="str">
        <x:v>方向</x:v>
      </x:c>
      <x:c r="E20" s="199" t="n">
        <x:v>0.0005</x:v>
      </x:c>
      <x:c r="F20" s="199"/>
      <x:c r="G20" s="194" t="str">
        <x:v>%</x:v>
      </x:c>
      <x:c r="H20" s="214" t="n">
        <x:v>0</x:v>
      </x:c>
      <x:c r="I20" s="214" t="n">
        <x:v>0.002</x:v>
      </x:c>
      <x:c r="J20" s="194" t="n">
        <x:v>1</x:v>
      </x:c>
      <x:c r="K20" s="215" t="n">
        <x:v>2</x:v>
      </x:c>
      <x:c r="L20" s="196" t="n">
        <x:v>1</x:v>
      </x:c>
      <x:c r="M20" s="216" t="n">
        <x:f>INDEX('参数'!$C$6:$C$25,MATCH(A20,'参数'!$A$6:$A$25,0))</x:f>
        <x:v>0.03</x:v>
      </x:c>
      <x:c r="N20" s="217" t="n">
        <x:f>INDEX('参数'!$E$6:$J$25,MATCH(A20,'参数'!$A$6:$A$25,0),MATCH($E$3,'参数'!$E$5:$J$5,0))</x:f>
        <x:v>1</x:v>
      </x:c>
      <x:c r="O20" s="217" t="n">
        <x:f>MAX(0,1-K20/INDEX('信号库'!$J$5:$J$24,MATCH(A20,'信号库'!$A$5:$A$24,0)))</x:f>
        <x:v>0.8666666666666667</x:v>
      </x:c>
      <x:c r="P20" s="218" t="n">
        <x:f>IF(E20="","",MAX(-3,MIN(3,(E20-H20)/I20*J20)))</x:f>
        <x:v>0.25</x:v>
      </x:c>
      <x:c r="Q20" s="218" t="n">
        <x:f>IF(P20="","",ABS(P20))</x:f>
        <x:v>0.25</x:v>
      </x:c>
      <x:c r="R20" s="219" t="n">
        <x:f>M20*N20*O20*L20*INDEX('参数'!$D$6:$D$25,MATCH(A20,'参数'!$A$6:$A$25,0))</x:f>
        <x:v>0.018199999999999997</x:v>
      </x:c>
      <x:c r="S20" s="218" t="n">
        <x:f>P20*R20</x:f>
        <x:v>0.004549999999999999</x:v>
      </x:c>
      <x:c r="T20" s="218" t="n">
        <x:f>Q20*R20</x:f>
        <x:v>0.004549999999999999</x:v>
      </x:c>
    </x:row>
    <x:row r="21">
      <x:c r="A21" s="194" t="str">
        <x:v>S16</x:v>
      </x:c>
      <x:c r="B21" s="194" t="str">
        <x:v>宏观代理</x:v>
      </x:c>
      <x:c r="C21" s="194" t="str">
        <x:v>美国2年期收益率变化</x:v>
      </x:c>
      <x:c r="D21" s="194" t="str">
        <x:v>方向</x:v>
      </x:c>
      <x:c r="E21" s="221" t="n">
        <x:v>0.2</x:v>
      </x:c>
      <x:c r="F21" s="221"/>
      <x:c r="G21" s="194" t="str">
        <x:v>bp</x:v>
      </x:c>
      <x:c r="H21" s="222" t="n">
        <x:v>0</x:v>
      </x:c>
      <x:c r="I21" s="222" t="n">
        <x:v>1.5</x:v>
      </x:c>
      <x:c r="J21" s="194" t="n">
        <x:v>-1</x:v>
      </x:c>
      <x:c r="K21" s="215" t="n">
        <x:v>2</x:v>
      </x:c>
      <x:c r="L21" s="196" t="n">
        <x:v>1</x:v>
      </x:c>
      <x:c r="M21" s="216" t="n">
        <x:f>INDEX('参数'!$C$6:$C$25,MATCH(A21,'参数'!$A$6:$A$25,0))</x:f>
        <x:v>0.02</x:v>
      </x:c>
      <x:c r="N21" s="217" t="n">
        <x:f>INDEX('参数'!$E$6:$J$25,MATCH(A21,'参数'!$A$6:$A$25,0),MATCH($E$3,'参数'!$E$5:$J$5,0))</x:f>
        <x:v>1</x:v>
      </x:c>
      <x:c r="O21" s="217" t="n">
        <x:f>MAX(0,1-K21/INDEX('信号库'!$J$5:$J$24,MATCH(A21,'信号库'!$A$5:$A$24,0)))</x:f>
        <x:v>0.9333333333333333</x:v>
      </x:c>
      <x:c r="P21" s="218" t="n">
        <x:f>IF(E21="","",MAX(-3,MIN(3,(E21-H21)/I21*J21)))</x:f>
        <x:v>-0.13333333333333333</x:v>
      </x:c>
      <x:c r="Q21" s="218" t="n">
        <x:f>IF(P21="","",ABS(P21))</x:f>
        <x:v>0.13333333333333333</x:v>
      </x:c>
      <x:c r="R21" s="219" t="n">
        <x:f>M21*N21*O21*L21*INDEX('参数'!$D$6:$D$25,MATCH(A21,'参数'!$A$6:$A$25,0))</x:f>
        <x:v>0.013066666666666667</x:v>
      </x:c>
      <x:c r="S21" s="218" t="n">
        <x:f>P21*R21</x:f>
        <x:v>-0.0017422222222222223</x:v>
      </x:c>
      <x:c r="T21" s="218" t="n">
        <x:f>Q21*R21</x:f>
        <x:v>0.0017422222222222223</x:v>
      </x:c>
    </x:row>
    <x:row r="22">
      <x:c r="A22" s="194" t="str">
        <x:v>S17</x:v>
      </x:c>
      <x:c r="B22" s="194" t="str">
        <x:v>宏观代理</x:v>
      </x:c>
      <x:c r="C22" s="194" t="str">
        <x:v>美元指数5分钟收益</x:v>
      </x:c>
      <x:c r="D22" s="194" t="str">
        <x:v>方向</x:v>
      </x:c>
      <x:c r="E22" s="199" t="n">
        <x:v>-0.0001</x:v>
      </x:c>
      <x:c r="F22" s="199"/>
      <x:c r="G22" s="194" t="str">
        <x:v>%</x:v>
      </x:c>
      <x:c r="H22" s="214" t="n">
        <x:v>0</x:v>
      </x:c>
      <x:c r="I22" s="214" t="n">
        <x:v>0.001</x:v>
      </x:c>
      <x:c r="J22" s="194" t="n">
        <x:v>-1</x:v>
      </x:c>
      <x:c r="K22" s="215" t="n">
        <x:v>2</x:v>
      </x:c>
      <x:c r="L22" s="196" t="n">
        <x:v>1</x:v>
      </x:c>
      <x:c r="M22" s="216" t="n">
        <x:f>INDEX('参数'!$C$6:$C$25,MATCH(A22,'参数'!$A$6:$A$25,0))</x:f>
        <x:v>0.01</x:v>
      </x:c>
      <x:c r="N22" s="217" t="n">
        <x:f>INDEX('参数'!$E$6:$J$25,MATCH(A22,'参数'!$A$6:$A$25,0),MATCH($E$3,'参数'!$E$5:$J$5,0))</x:f>
        <x:v>1</x:v>
      </x:c>
      <x:c r="O22" s="217" t="n">
        <x:f>MAX(0,1-K22/INDEX('信号库'!$J$5:$J$24,MATCH(A22,'信号库'!$A$5:$A$24,0)))</x:f>
        <x:v>0.9333333333333333</x:v>
      </x:c>
      <x:c r="P22" s="218" t="n">
        <x:f>IF(E22="","",MAX(-3,MIN(3,(E22-H22)/I22*J22)))</x:f>
        <x:v>0.1</x:v>
      </x:c>
      <x:c r="Q22" s="218" t="n">
        <x:f>IF(P22="","",ABS(P22))</x:f>
        <x:v>0.1</x:v>
      </x:c>
      <x:c r="R22" s="219" t="n">
        <x:f>M22*N22*O22*L22*INDEX('参数'!$D$6:$D$25,MATCH(A22,'参数'!$A$6:$A$25,0))</x:f>
        <x:v>0.0056</x:v>
      </x:c>
      <x:c r="S22" s="218" t="n">
        <x:f>P22*R22</x:f>
        <x:v>0.0005600000000000001</x:v>
      </x:c>
      <x:c r="T22" s="218" t="n">
        <x:f>Q22*R22</x:f>
        <x:v>0.0005600000000000001</x:v>
      </x:c>
    </x:row>
    <x:row r="23">
      <x:c r="A23" s="194" t="str">
        <x:v>S18</x:v>
      </x:c>
      <x:c r="B23" s="194" t="str">
        <x:v>事件</x:v>
      </x:c>
      <x:c r="C23" s="194" t="str">
        <x:v>宏观数据意外值</x:v>
      </x:c>
      <x:c r="D23" s="194" t="str">
        <x:v>方向</x:v>
      </x:c>
      <x:c r="E23" s="198" t="n">
        <x:v>0</x:v>
      </x:c>
      <x:c r="F23" s="198"/>
      <x:c r="G23" s="223" t="str">
        <x:v>标准分</x:v>
      </x:c>
      <x:c r="H23" s="223" t="n">
        <x:v>0</x:v>
      </x:c>
      <x:c r="I23" s="223" t="n">
        <x:v>1</x:v>
      </x:c>
      <x:c r="J23" s="194" t="n">
        <x:v>1</x:v>
      </x:c>
      <x:c r="K23" s="215" t="n">
        <x:v>2</x:v>
      </x:c>
      <x:c r="L23" s="196" t="n">
        <x:v>1</x:v>
      </x:c>
      <x:c r="M23" s="216" t="n">
        <x:f>INDEX('参数'!$C$6:$C$25,MATCH(A23,'参数'!$A$6:$A$25,0))</x:f>
        <x:v>0.05</x:v>
      </x:c>
      <x:c r="N23" s="217" t="n">
        <x:f>INDEX('参数'!$E$6:$J$25,MATCH(A23,'参数'!$A$6:$A$25,0),MATCH($E$3,'参数'!$E$5:$J$5,0))</x:f>
        <x:v>0.7</x:v>
      </x:c>
      <x:c r="O23" s="217" t="n">
        <x:f>MAX(0,1-K23/INDEX('信号库'!$J$5:$J$24,MATCH(A23,'信号库'!$A$5:$A$24,0)))</x:f>
        <x:v>0.9933333333333333</x:v>
      </x:c>
      <x:c r="P23" s="218" t="str">
        <x:f>IF(E23="","",MAX(-3,MIN(3,E23)))</x:f>
      </x:c>
      <x:c r="Q23" s="218" t="str">
        <x:f>IF(P23="","",ABS(P23))</x:f>
      </x:c>
      <x:c r="R23" s="219" t="n">
        <x:f>M23*N23*O23*L23*INDEX('参数'!$D$6:$D$25,MATCH(A23,'参数'!$A$6:$A$25,0))</x:f>
        <x:v>0.033028333333333326</x:v>
      </x:c>
      <x:c r="S23" s="218" t="n">
        <x:f>P23*R23</x:f>
        <x:v>0</x:v>
      </x:c>
      <x:c r="T23" s="218" t="n">
        <x:f>Q23*R23</x:f>
        <x:v>0</x:v>
      </x:c>
    </x:row>
    <x:row r="24">
      <x:c r="A24" s="194" t="str">
        <x:v>S19</x:v>
      </x:c>
      <x:c r="B24" s="194" t="str">
        <x:v>事件</x:v>
      </x:c>
      <x:c r="C24" s="194" t="str">
        <x:v>突发新闻冲击</x:v>
      </x:c>
      <x:c r="D24" s="194" t="str">
        <x:v>方向</x:v>
      </x:c>
      <x:c r="E24" s="198" t="n">
        <x:v>0</x:v>
      </x:c>
      <x:c r="F24" s="198"/>
      <x:c r="G24" s="223" t="str">
        <x:v>标准分</x:v>
      </x:c>
      <x:c r="H24" s="223" t="n">
        <x:v>0</x:v>
      </x:c>
      <x:c r="I24" s="223" t="n">
        <x:v>1</x:v>
      </x:c>
      <x:c r="J24" s="194" t="n">
        <x:v>1</x:v>
      </x:c>
      <x:c r="K24" s="215" t="n">
        <x:v>2</x:v>
      </x:c>
      <x:c r="L24" s="196" t="n">
        <x:v>1</x:v>
      </x:c>
      <x:c r="M24" s="216" t="n">
        <x:f>INDEX('参数'!$C$6:$C$25,MATCH(A24,'参数'!$A$6:$A$25,0))</x:f>
        <x:v>0.05</x:v>
      </x:c>
      <x:c r="N24" s="217" t="n">
        <x:f>INDEX('参数'!$E$6:$J$25,MATCH(A24,'参数'!$A$6:$A$25,0),MATCH($E$3,'参数'!$E$5:$J$5,0))</x:f>
        <x:v>1</x:v>
      </x:c>
      <x:c r="O24" s="217" t="n">
        <x:f>MAX(0,1-K24/INDEX('信号库'!$J$5:$J$24,MATCH(A24,'信号库'!$A$5:$A$24,0)))</x:f>
        <x:v>0.9833333333333333</x:v>
      </x:c>
      <x:c r="P24" s="218" t="str">
        <x:f>IF(E24="","",MAX(-3,MIN(3,E24)))</x:f>
      </x:c>
      <x:c r="Q24" s="218" t="str">
        <x:f>IF(P24="","",ABS(P24))</x:f>
      </x:c>
      <x:c r="R24" s="219" t="n">
        <x:f>M24*N24*O24*L24*INDEX('参数'!$D$6:$D$25,MATCH(A24,'参数'!$A$6:$A$25,0))</x:f>
        <x:v>0.04425</x:v>
      </x:c>
      <x:c r="S24" s="218" t="n">
        <x:f>P24*R24</x:f>
        <x:v>0</x:v>
      </x:c>
      <x:c r="T24" s="218" t="n">
        <x:f>Q24*R24</x:f>
        <x:v>0</x:v>
      </x:c>
    </x:row>
    <x:row r="25">
      <x:c r="A25" s="194" t="str">
        <x:v>S20</x:v>
      </x:c>
      <x:c r="B25" s="194" t="str">
        <x:v>事件</x:v>
      </x:c>
      <x:c r="C25" s="194" t="str">
        <x:v>交易所/系统事故</x:v>
      </x:c>
      <x:c r="D25" s="194" t="str">
        <x:v>方向</x:v>
      </x:c>
      <x:c r="E25" s="198" t="n">
        <x:v>0</x:v>
      </x:c>
      <x:c r="F25" s="198"/>
      <x:c r="G25" s="223" t="str">
        <x:v>标准分</x:v>
      </x:c>
      <x:c r="H25" s="223" t="n">
        <x:v>0</x:v>
      </x:c>
      <x:c r="I25" s="223" t="n">
        <x:v>1</x:v>
      </x:c>
      <x:c r="J25" s="194" t="n">
        <x:v>1</x:v>
      </x:c>
      <x:c r="K25" s="215" t="n">
        <x:v>2</x:v>
      </x:c>
      <x:c r="L25" s="196" t="n">
        <x:v>1</x:v>
      </x:c>
      <x:c r="M25" s="216" t="n">
        <x:f>INDEX('参数'!$C$6:$C$25,MATCH(A25,'参数'!$A$6:$A$25,0))</x:f>
        <x:v>0.02</x:v>
      </x:c>
      <x:c r="N25" s="217" t="n">
        <x:f>INDEX('参数'!$E$6:$J$25,MATCH(A25,'参数'!$A$6:$A$25,0),MATCH($E$3,'参数'!$E$5:$J$5,0))</x:f>
        <x:v>0.7</x:v>
      </x:c>
      <x:c r="O25" s="217" t="n">
        <x:f>MAX(0,1-K25/INDEX('信号库'!$J$5:$J$24,MATCH(A25,'信号库'!$A$5:$A$24,0)))</x:f>
        <x:v>0.9666666666666667</x:v>
      </x:c>
      <x:c r="P25" s="218" t="str">
        <x:f>IF(E25="","",MAX(-3,MIN(3,E25)))</x:f>
      </x:c>
      <x:c r="Q25" s="218" t="str">
        <x:f>IF(P25="","",ABS(P25))</x:f>
      </x:c>
      <x:c r="R25" s="219" t="n">
        <x:f>M25*N25*O25*L25*INDEX('参数'!$D$6:$D$25,MATCH(A25,'参数'!$A$6:$A$25,0))</x:f>
        <x:v>0.012856666666666664</x:v>
      </x:c>
      <x:c r="S25" s="218" t="n">
        <x:f>P25*R25</x:f>
        <x:v>0</x:v>
      </x:c>
      <x:c r="T25" s="218" t="n">
        <x:f>Q25*R25</x:f>
        <x:v>0</x:v>
      </x:c>
    </x:row>
    <x:row r="26">
      <x:c r="A26" s="194"/>
      <x:c r="B26" s="194"/>
      <x:c r="C26" s="194"/>
      <x:c r="D26" s="194"/>
      <x:c r="E26" s="194"/>
      <x:c r="F26" s="194"/>
      <x:c r="G26" s="194"/>
      <x:c r="H26" s="194"/>
      <x:c r="I26" s="194"/>
      <x:c r="J26" s="194"/>
      <x:c r="K26" s="194"/>
      <x:c r="L26" s="194"/>
      <x:c r="M26" s="194"/>
      <x:c r="N26" s="194"/>
      <x:c r="O26" s="194"/>
      <x:c r="P26" s="194"/>
      <x:c r="Q26" s="194"/>
      <x:c r="R26" s="194"/>
      <x:c r="S26" s="194"/>
      <x:c r="T26" s="194"/>
    </x:row>
    <x:row r="27">
      <x:c r="A27" s="194"/>
      <x:c r="B27" s="194"/>
      <x:c r="C27" s="194"/>
      <x:c r="D27" s="194"/>
      <x:c r="E27" s="194"/>
      <x:c r="F27" s="194"/>
      <x:c r="G27" s="194"/>
      <x:c r="H27" s="194"/>
      <x:c r="I27" s="194"/>
      <x:c r="J27" s="194"/>
      <x:c r="K27" s="194"/>
      <x:c r="L27" s="194"/>
      <x:c r="M27" s="194"/>
      <x:c r="N27" s="194"/>
      <x:c r="O27" s="194"/>
      <x:c r="P27" s="194"/>
      <x:c r="Q27" s="194"/>
      <x:c r="R27" s="194"/>
      <x:c r="S27" s="194"/>
      <x:c r="T27" s="194"/>
    </x:row>
    <x:row r="28" ht="20" customHeight="1">
      <x:c r="A28" s="17" t="str">
        <x:v>分组贡献与综合输出</x:v>
      </x:c>
      <x:c r="B28" s="17"/>
      <x:c r="C28" s="17"/>
      <x:c r="D28" s="17"/>
      <x:c r="E28" s="17"/>
      <x:c r="F28" s="17"/>
      <x:c r="G28" s="17"/>
      <x:c r="H28" s="17"/>
      <x:c r="I28" s="194"/>
      <x:c r="J28" s="194"/>
      <x:c r="K28" s="194"/>
      <x:c r="L28" s="194"/>
      <x:c r="M28" s="194"/>
      <x:c r="N28" s="194"/>
      <x:c r="O28" s="194"/>
      <x:c r="P28" s="194"/>
      <x:c r="Q28" s="194"/>
      <x:c r="R28" s="194"/>
      <x:c r="S28" s="194"/>
      <x:c r="T28" s="194"/>
    </x:row>
    <x:row r="29">
      <x:c r="A29" s="27" t="str">
        <x:v>分组</x:v>
      </x:c>
      <x:c r="B29" s="27" t="str">
        <x:v>有效权重</x:v>
      </x:c>
      <x:c r="C29" s="27" t="str">
        <x:v>方向贡献</x:v>
      </x:c>
      <x:c r="D29" s="27" t="str">
        <x:v>风险贡献</x:v>
      </x:c>
      <x:c r="E29" s="194"/>
      <x:c r="F29" s="194"/>
      <x:c r="G29" s="194"/>
      <x:c r="H29" s="194"/>
      <x:c r="I29" s="194"/>
      <x:c r="J29" s="194"/>
      <x:c r="K29" s="194"/>
      <x:c r="L29" s="194"/>
      <x:c r="M29" s="194"/>
      <x:c r="N29" s="194"/>
      <x:c r="O29" s="194"/>
      <x:c r="P29" s="194"/>
      <x:c r="Q29" s="194"/>
      <x:c r="R29" s="194"/>
      <x:c r="S29" s="194"/>
      <x:c r="T29" s="194"/>
    </x:row>
    <x:row r="30">
      <x:c r="A30" s="194" t="str">
        <x:v>订单流</x:v>
      </x:c>
      <x:c r="B30" s="224" t="n">
        <x:f>SUMIF($B$6:$B$25,A30,$R$6:$R$25)</x:f>
        <x:v>0.14473333333333332</x:v>
      </x:c>
      <x:c r="C30" s="223" t="n">
        <x:f>SUMIF($B$6:$B$25,A30,$S$6:$S$25)</x:f>
        <x:v>0.1612</x:v>
      </x:c>
      <x:c r="D30" s="223" t="n">
        <x:f>SUMIF($B$6:$B$25,A30,$T$6:$T$25)</x:f>
        <x:v>0.1612</x:v>
      </x:c>
      <x:c r="E30" s="194"/>
      <x:c r="F30" s="66" t="str">
        <x:v>综合方向分</x:v>
      </x:c>
      <x:c r="G30" s="223" t="n">
        <x:f>IFERROR(SUM($S$6:$S$25)/SUMPRODUCT($R$6:$R$25,'参数'!$K$6:$K$25),0)</x:f>
        <x:v>0.49022097139033877</x:v>
      </x:c>
      <x:c r="H30" s="194"/>
      <x:c r="I30" s="194"/>
      <x:c r="J30" s="194"/>
      <x:c r="K30" s="194"/>
      <x:c r="L30" s="194"/>
      <x:c r="M30" s="194"/>
      <x:c r="N30" s="194"/>
      <x:c r="O30" s="194"/>
      <x:c r="P30" s="194"/>
      <x:c r="Q30" s="194"/>
      <x:c r="R30" s="194"/>
      <x:c r="S30" s="194"/>
      <x:c r="T30" s="194"/>
    </x:row>
    <x:row r="31">
      <x:c r="A31" s="194" t="str">
        <x:v>流动性</x:v>
      </x:c>
      <x:c r="B31" s="224" t="n">
        <x:f>SUMIF($B$6:$B$25,A31,$R$6:$R$25)</x:f>
        <x:v>0.10220000000000001</x:v>
      </x:c>
      <x:c r="C31" s="223" t="n">
        <x:f>SUMIF($B$6:$B$25,A31,$S$6:$S$25)</x:f>
        <x:v>0.042</x:v>
      </x:c>
      <x:c r="D31" s="223" t="n">
        <x:f>SUMIF($B$6:$B$25,A31,$T$6:$T$25)</x:f>
        <x:v>0.04524</x:v>
      </x:c>
      <x:c r="E31" s="194"/>
      <x:c r="F31" s="66" t="str">
        <x:v>综合波动风险</x:v>
      </x:c>
      <x:c r="G31" s="223" t="n">
        <x:f>IFERROR(SUM($T$6:$T$25)/SUM($R$6:$R$25),0)</x:f>
        <x:v>0.5293771459812312</x:v>
      </x:c>
      <x:c r="H31" s="194"/>
      <x:c r="I31" s="194"/>
      <x:c r="J31" s="194"/>
      <x:c r="K31" s="194"/>
      <x:c r="L31" s="194"/>
      <x:c r="M31" s="194"/>
      <x:c r="N31" s="194"/>
      <x:c r="O31" s="194"/>
      <x:c r="P31" s="194"/>
      <x:c r="Q31" s="194"/>
      <x:c r="R31" s="194"/>
      <x:c r="S31" s="194"/>
      <x:c r="T31" s="194"/>
    </x:row>
    <x:row r="32">
      <x:c r="A32" s="194" t="str">
        <x:v>价格行为</x:v>
      </x:c>
      <x:c r="B32" s="224" t="n">
        <x:f>SUMIF($B$6:$B$25,A32,$R$6:$R$25)</x:f>
        <x:v>0.030000000000000006</x:v>
      </x:c>
      <x:c r="C32" s="223" t="n">
        <x:f>SUMIF($B$6:$B$25,A32,$S$6:$S$25)</x:f>
        <x:v>0.016000000000000004</x:v>
      </x:c>
      <x:c r="D32" s="223" t="n">
        <x:f>SUMIF($B$6:$B$25,A32,$T$6:$T$25)</x:f>
        <x:v>0.016000000000000004</x:v>
      </x:c>
      <x:c r="E32" s="194"/>
      <x:c r="F32" s="66" t="str">
        <x:v>方向判断</x:v>
      </x:c>
      <x:c r="G32" s="194" t="str">
        <x:f>IF(G30&gt;='参数'!$B$31,"强看涨",IF(G30&gt;='参数'!$B$30,"偏多",IF(G30&lt;=-'参数'!$B$31,"强看跌",IF(G30&lt;=-'参数'!$B$30,"偏空","中性/无优势"))))</x:f>
        <x:v>中性/无优势</x:v>
      </x:c>
      <x:c r="H32" s="194"/>
      <x:c r="I32" s="194"/>
      <x:c r="J32" s="194"/>
      <x:c r="K32" s="194"/>
      <x:c r="L32" s="194"/>
      <x:c r="M32" s="194"/>
      <x:c r="N32" s="194"/>
      <x:c r="O32" s="194"/>
      <x:c r="P32" s="194"/>
      <x:c r="Q32" s="194"/>
      <x:c r="R32" s="194"/>
      <x:c r="S32" s="194"/>
      <x:c r="T32" s="194"/>
    </x:row>
    <x:row r="33">
      <x:c r="A33" s="194" t="str">
        <x:v>杠杆/清算</x:v>
      </x:c>
      <x:c r="B33" s="224" t="n">
        <x:f>SUMIF($B$6:$B$25,A33,$R$6:$R$25)</x:f>
        <x:v>0.1715166666666667</x:v>
      </x:c>
      <x:c r="C33" s="223" t="n">
        <x:f>SUMIF($B$6:$B$25,A33,$S$6:$S$25)</x:f>
        <x:v>0.05351000000000001</x:v>
      </x:c>
      <x:c r="D33" s="223" t="n">
        <x:f>SUMIF($B$6:$B$25,A33,$T$6:$T$25)</x:f>
        <x:v>0.09746833333333335</x:v>
      </x:c>
      <x:c r="E33" s="194"/>
      <x:c r="F33" s="66" t="str">
        <x:v>波动判断</x:v>
      </x:c>
      <x:c r="G33" s="194" t="str">
        <x:f>IF(G31&gt;='参数'!$B$33,"极端",IF(G31&gt;='参数'!$B$32,"高",IF(G31&gt;=0.75,"中","低")))</x:f>
        <x:v>低</x:v>
      </x:c>
      <x:c r="H33" s="194"/>
      <x:c r="I33" s="194"/>
      <x:c r="J33" s="194"/>
      <x:c r="K33" s="194"/>
      <x:c r="L33" s="194"/>
      <x:c r="M33" s="194"/>
      <x:c r="N33" s="194"/>
      <x:c r="O33" s="194"/>
      <x:c r="P33" s="194"/>
      <x:c r="Q33" s="194"/>
      <x:c r="R33" s="194"/>
      <x:c r="S33" s="194"/>
      <x:c r="T33" s="194"/>
    </x:row>
    <x:row r="34">
      <x:c r="A34" s="194" t="str">
        <x:v>衍生品</x:v>
      </x:c>
      <x:c r="B34" s="224" t="n">
        <x:f>SUMIF($B$6:$B$25,A34,$R$6:$R$25)</x:f>
        <x:v>0.045500000000000006</x:v>
      </x:c>
      <x:c r="C34" s="223" t="n">
        <x:f>SUMIF($B$6:$B$25,A34,$S$6:$S$25)</x:f>
        <x:v>0.015500000000000003</x:v>
      </x:c>
      <x:c r="D34" s="223" t="n">
        <x:f>SUMIF($B$6:$B$25,A34,$T$6:$T$25)</x:f>
        <x:v>0.015500000000000003</x:v>
      </x:c>
      <x:c r="E34" s="194"/>
      <x:c r="F34" s="66" t="str">
        <x:v>主导机制</x:v>
      </x:c>
      <x:c r="G34" s="194" t="str">
        <x:f>INDEX($A$30:$A$37,MATCH(MAX(ABS($C$30:$C$37)),ABS($C$30:$C$37),0))</x:f>
        <x:v>订单流</x:v>
      </x:c>
      <x:c r="H34" s="194"/>
      <x:c r="I34" s="194"/>
      <x:c r="J34" s="194"/>
      <x:c r="K34" s="194"/>
      <x:c r="L34" s="194"/>
      <x:c r="M34" s="194"/>
      <x:c r="N34" s="194"/>
      <x:c r="O34" s="194"/>
      <x:c r="P34" s="194"/>
      <x:c r="Q34" s="194"/>
      <x:c r="R34" s="194"/>
      <x:c r="S34" s="194"/>
      <x:c r="T34" s="194"/>
    </x:row>
    <x:row r="35">
      <x:c r="A35" s="194" t="str">
        <x:v>跨市场</x:v>
      </x:c>
      <x:c r="B35" s="224" t="n">
        <x:f>SUMIF($B$6:$B$25,A35,$R$6:$R$25)</x:f>
        <x:v>0.05683333333333334</x:v>
      </x:c>
      <x:c r="C35" s="223" t="n">
        <x:f>SUMIF($B$6:$B$25,A35,$S$6:$S$25)</x:f>
        <x:v>0.014116666666666666</x:v>
      </x:c>
      <x:c r="D35" s="223" t="n">
        <x:f>SUMIF($B$6:$B$25,A35,$T$6:$T$25)</x:f>
        <x:v>0.016543333333333334</x:v>
      </x:c>
      <x:c r="E35" s="194"/>
      <x:c r="F35" s="66" t="str">
        <x:v>示意方向收益</x:v>
      </x:c>
      <x:c r="G35" s="214" t="n">
        <x:f>G30*'参数'!$B$34</x:f>
        <x:v>0.0007353314570855082</x:v>
      </x:c>
      <x:c r="H35" s="194"/>
      <x:c r="I35" s="194"/>
      <x:c r="J35" s="194"/>
      <x:c r="K35" s="194"/>
      <x:c r="L35" s="194"/>
      <x:c r="M35" s="194"/>
      <x:c r="N35" s="194"/>
      <x:c r="O35" s="194"/>
      <x:c r="P35" s="194"/>
      <x:c r="Q35" s="194"/>
      <x:c r="R35" s="194"/>
      <x:c r="S35" s="194"/>
      <x:c r="T35" s="194"/>
    </x:row>
    <x:row r="36">
      <x:c r="A36" s="194" t="str">
        <x:v>宏观代理</x:v>
      </x:c>
      <x:c r="B36" s="224" t="n">
        <x:f>SUMIF($B$6:$B$25,A36,$R$6:$R$25)</x:f>
        <x:v>0.036866666666666666</x:v>
      </x:c>
      <x:c r="C36" s="223" t="n">
        <x:f>SUMIF($B$6:$B$25,A36,$S$6:$S$25)</x:f>
        <x:v>0.0033677777777777773</x:v>
      </x:c>
      <x:c r="D36" s="223" t="n">
        <x:f>SUMIF($B$6:$B$25,A36,$T$6:$T$25)</x:f>
        <x:v>0.006852222222222221</x:v>
      </x:c>
      <x:c r="E36" s="194"/>
      <x:c r="F36" s="66" t="str">
        <x:v>示意绝对波动</x:v>
      </x:c>
      <x:c r="G36" s="214" t="n">
        <x:f>'参数'!$B$35*(1+'参数'!$B$36*G31)</x:f>
        <x:v>0.002794065718971847</x:v>
      </x:c>
      <x:c r="H36" s="194"/>
      <x:c r="I36" s="194"/>
      <x:c r="J36" s="194"/>
      <x:c r="K36" s="194"/>
      <x:c r="L36" s="194"/>
      <x:c r="M36" s="194"/>
      <x:c r="N36" s="194"/>
      <x:c r="O36" s="194"/>
      <x:c r="P36" s="194"/>
      <x:c r="Q36" s="194"/>
      <x:c r="R36" s="194"/>
      <x:c r="S36" s="194"/>
      <x:c r="T36" s="194"/>
    </x:row>
    <x:row r="37">
      <x:c r="A37" s="194" t="str">
        <x:v>事件</x:v>
      </x:c>
      <x:c r="B37" s="224" t="n">
        <x:f>SUMIF($B$6:$B$25,A37,$R$6:$R$25)</x:f>
        <x:v>0.09013499999999999</x:v>
      </x:c>
      <x:c r="C37" s="223" t="n">
        <x:f>SUMIF($B$6:$B$25,A37,$S$6:$S$25)</x:f>
        <x:v>0</x:v>
      </x:c>
      <x:c r="D37" s="223" t="n">
        <x:f>SUMIF($B$6:$B$25,A37,$T$6:$T$25)</x:f>
        <x:v>0</x:v>
      </x:c>
      <x:c r="E37" s="194"/>
      <x:c r="F37" s="66" t="str">
        <x:v>数据有效率</x:v>
      </x:c>
      <x:c r="G37" s="225" t="n">
        <x:f>SUM($R$6:$R$25)/SUMPRODUCT($M$6:$M$25,$N$6:$N$25,INDEX('参数'!$D$6:$D$25,0))</x:f>
        <x:v>0.7287618945218002</x:v>
      </x:c>
      <x:c r="H37" s="194"/>
      <x:c r="I37" s="194"/>
      <x:c r="J37" s="194"/>
      <x:c r="K37" s="194"/>
      <x:c r="L37" s="194"/>
      <x:c r="M37" s="194"/>
      <x:c r="N37" s="194"/>
      <x:c r="O37" s="194"/>
      <x:c r="P37" s="194"/>
      <x:c r="Q37" s="194"/>
      <x:c r="R37" s="194"/>
      <x:c r="S37" s="194"/>
      <x:c r="T37" s="194"/>
    </x:row>
  </x:sheetData>
  <x:mergeCells>
    <x:mergeCell ref="A1:Q1"/>
    <x:mergeCell ref="A2:Q2"/>
    <x:mergeCell ref="H3:Q3"/>
    <x:mergeCell ref="A28:H28"/>
  </x:mergeCells>
  <x:conditionalFormatting sqref="P6:P2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Q6:Q25">
    <x:cfRule type="colorScale" priority="2">
      <x:colorScale>
        <x:cfvo type="min"/>
        <x:cfvo type="percentile" val="50"/>
        <x:cfvo type="max"/>
        <x:color rgb="FFE2F0D9"/>
        <x:color rgb="FFFFD966"/>
        <x:color rgb="FFF8696B"/>
      </x:colorScale>
    </x:cfRule>
  </x:conditionalFormatting>
  <x:dataValidations count="1">
    <x:dataValidation type="list" sqref="E3">
      <x:formula1>'参数'!$L$1:$L$6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10" hidden="0" customWidth="1"/>
    <x:col min="5" max="5" width="10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4" hidden="0" customWidth="1"/>
    <x:col min="11" max="11" width="10" hidden="0" customWidth="1"/>
    <x:col min="12" max="12" width="10" hidden="0" customWidth="1"/>
    <x:col min="13" max="13" width="38" hidden="0" customWidth="1"/>
    <x:col min="14" max="14" width="34" hidden="0" customWidth="1"/>
    <x:col min="15" max="15" width="12" hidden="0" customWidth="1"/>
    <x:col min="16" max="16" width="12" hidden="0" customWidth="1"/>
  </x:cols>
  <x:sheetData>
    <x:row r="1" ht="28" customHeight="1">
      <x:c r="A1" s="5" t="str">
        <x:v>BTC 5分钟决定性信号库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1" t="str">
        <x:v>优先级原则：5分钟窗口首先看“交易行为与流动性”，宏观/新闻只在事件时点跃升为最高权重；链上与日频资金流主要用于背景，不宜直接预测下一根5分钟K线。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4">
      <x:c r="A4" s="27" t="str">
        <x:v>ID</x:v>
      </x:c>
      <x:c r="B4" s="27" t="str">
        <x:v>分组</x:v>
      </x:c>
      <x:c r="C4" s="27" t="str">
        <x:v>信号</x:v>
      </x:c>
      <x:c r="D4" s="27" t="str">
        <x:v>作用</x:v>
      </x:c>
      <x:c r="E4" s="27" t="str">
        <x:v>原始单位</x:v>
      </x:c>
      <x:c r="F4" s="27" t="str">
        <x:v>计算类型</x:v>
      </x:c>
      <x:c r="G4" s="27" t="str">
        <x:v>方向极性</x:v>
      </x:c>
      <x:c r="H4" s="27" t="str">
        <x:v>中性值</x:v>
      </x:c>
      <x:c r="I4" s="27" t="str">
        <x:v>1分尺度</x:v>
      </x:c>
      <x:c r="J4" s="27" t="str">
        <x:v>最大允许延迟(秒)</x:v>
      </x:c>
      <x:c r="K4" s="27" t="str">
        <x:v>可靠度</x:v>
      </x:c>
      <x:c r="L4" s="27" t="str">
        <x:v>基础权重</x:v>
      </x:c>
      <x:c r="M4" s="27" t="str">
        <x:v>计算口径/解释</x:v>
      </x:c>
      <x:c r="N4" s="27" t="str">
        <x:v>关键误判风险</x:v>
      </x:c>
      <x:c r="O4" s="27" t="str">
        <x:v>来源Key</x:v>
      </x:c>
      <x:c r="P4" s="27" t="str">
        <x:v>是否进入主模型</x:v>
      </x:c>
    </x:row>
    <x:row r="5">
      <x:c r="A5" s="206" t="str">
        <x:v>S01</x:v>
      </x:c>
      <x:c r="B5" s="206" t="str">
        <x:v>订单流</x:v>
      </x:c>
      <x:c r="C5" s="206" t="str">
        <x:v>永续主动买卖不平衡</x:v>
      </x:c>
      <x:c r="D5" s="206" t="str">
        <x:v>方向</x:v>
      </x:c>
      <x:c r="E5" s="206" t="str">
        <x:v>%</x:v>
      </x:c>
      <x:c r="F5" s="206" t="str">
        <x:v>linear</x:v>
      </x:c>
      <x:c r="G5" s="207" t="n">
        <x:v>1</x:v>
      </x:c>
      <x:c r="H5" s="207" t="n">
        <x:v>0</x:v>
      </x:c>
      <x:c r="I5" s="207" t="n">
        <x:v>0.1</x:v>
      </x:c>
      <x:c r="J5" s="207" t="n">
        <x:v>15</x:v>
      </x:c>
      <x:c r="K5" s="208" t="n">
        <x:v>0.95</x:v>
      </x:c>
      <x:c r="L5" s="209" t="n">
        <x:v>0.1</x:v>
      </x:c>
      <x:c r="M5" s="206" t="str">
        <x:v>(主动买量-主动卖量)/(二者之和)</x:v>
      </x:c>
      <x:c r="N5" s="206" t="str">
        <x:v>单一交易所可被大单或做市撤单短暂扭曲</x:v>
      </x:c>
      <x:c r="O5" s="206" t="str">
        <x:v>BIN_FUT</x:v>
      </x:c>
      <x:c r="P5" s="206" t="str">
        <x:v>是</x:v>
      </x:c>
    </x:row>
    <x:row r="6">
      <x:c r="A6" s="206" t="str">
        <x:v>S02</x:v>
      </x:c>
      <x:c r="B6" s="206" t="str">
        <x:v>订单流</x:v>
      </x:c>
      <x:c r="C6" s="206" t="str">
        <x:v>现货主动买卖不平衡</x:v>
      </x:c>
      <x:c r="D6" s="206" t="str">
        <x:v>方向</x:v>
      </x:c>
      <x:c r="E6" s="206" t="str">
        <x:v>%</x:v>
      </x:c>
      <x:c r="F6" s="206" t="str">
        <x:v>linear</x:v>
      </x:c>
      <x:c r="G6" s="207" t="n">
        <x:v>1</x:v>
      </x:c>
      <x:c r="H6" s="207" t="n">
        <x:v>0</x:v>
      </x:c>
      <x:c r="I6" s="207" t="n">
        <x:v>0.08</x:v>
      </x:c>
      <x:c r="J6" s="207" t="n">
        <x:v>15</x:v>
      </x:c>
      <x:c r="K6" s="208" t="n">
        <x:v>0.9</x:v>
      </x:c>
      <x:c r="L6" s="209" t="n">
        <x:v>0.08</x:v>
      </x:c>
      <x:c r="M6" s="206" t="str">
        <x:v>聚合Coinbase/Binance现货主动成交</x:v>
      </x:c>
      <x:c r="N6" s="206" t="str">
        <x:v>单一交易所可被大单或做市撤单短暂扭曲</x:v>
      </x:c>
      <x:c r="O6" s="206" t="str">
        <x:v>CB_WS</x:v>
      </x:c>
      <x:c r="P6" s="206" t="str">
        <x:v>是</x:v>
      </x:c>
    </x:row>
    <x:row r="7">
      <x:c r="A7" s="206" t="str">
        <x:v>S03</x:v>
      </x:c>
      <x:c r="B7" s="206" t="str">
        <x:v>流动性</x:v>
      </x:c>
      <x:c r="C7" s="206" t="str">
        <x:v>L2盘口不平衡（前10档）</x:v>
      </x:c>
      <x:c r="D7" s="206" t="str">
        <x:v>方向</x:v>
      </x:c>
      <x:c r="E7" s="206" t="str">
        <x:v>%</x:v>
      </x:c>
      <x:c r="F7" s="206" t="str">
        <x:v>linear</x:v>
      </x:c>
      <x:c r="G7" s="207" t="n">
        <x:v>1</x:v>
      </x:c>
      <x:c r="H7" s="207" t="n">
        <x:v>0</x:v>
      </x:c>
      <x:c r="I7" s="207" t="n">
        <x:v>0.1</x:v>
      </x:c>
      <x:c r="J7" s="207" t="n">
        <x:v>5</x:v>
      </x:c>
      <x:c r="K7" s="208" t="n">
        <x:v>0.9</x:v>
      </x:c>
      <x:c r="L7" s="209" t="n">
        <x:v>0.1</x:v>
      </x:c>
      <x:c r="M7" s="206" t="str">
        <x:v>(买盘深度-卖盘深度)/(总深度)</x:v>
      </x:c>
      <x:c r="N7" s="206" t="str">
        <x:v>隐藏流动性/RPI订单不可见；撤单不一定等于真实方向</x:v>
      </x:c>
      <x:c r="O7" s="206" t="str">
        <x:v>BIN_BOOK</x:v>
      </x:c>
      <x:c r="P7" s="206" t="str">
        <x:v>是</x:v>
      </x:c>
    </x:row>
    <x:row r="8">
      <x:c r="A8" s="206" t="str">
        <x:v>S04</x:v>
      </x:c>
      <x:c r="B8" s="206" t="str">
        <x:v>流动性</x:v>
      </x:c>
      <x:c r="C8" s="206" t="str">
        <x:v>净深度变化</x:v>
      </x:c>
      <x:c r="D8" s="206" t="str">
        <x:v>方向</x:v>
      </x:c>
      <x:c r="E8" s="206" t="str">
        <x:v>%</x:v>
      </x:c>
      <x:c r="F8" s="206" t="str">
        <x:v>linear</x:v>
      </x:c>
      <x:c r="G8" s="207" t="n">
        <x:v>1</x:v>
      </x:c>
      <x:c r="H8" s="207" t="n">
        <x:v>0</x:v>
      </x:c>
      <x:c r="I8" s="207" t="n">
        <x:v>0.1</x:v>
      </x:c>
      <x:c r="J8" s="207" t="n">
        <x:v>10</x:v>
      </x:c>
      <x:c r="K8" s="208" t="n">
        <x:v>0.8</x:v>
      </x:c>
      <x:c r="L8" s="209" t="n">
        <x:v>0.05</x:v>
      </x:c>
      <x:c r="M8" s="206" t="str">
        <x:v>5分钟内买盘深度变化减卖盘深度变化</x:v>
      </x:c>
      <x:c r="N8" s="206" t="str">
        <x:v>隐藏流动性/RPI订单不可见；撤单不一定等于真实方向</x:v>
      </x:c>
      <x:c r="O8" s="206" t="str">
        <x:v>BIN_BOOK</x:v>
      </x:c>
      <x:c r="P8" s="206" t="str">
        <x:v>是</x:v>
      </x:c>
    </x:row>
    <x:row r="9">
      <x:c r="A9" s="206" t="str">
        <x:v>S05</x:v>
      </x:c>
      <x:c r="B9" s="206" t="str">
        <x:v>流动性</x:v>
      </x:c>
      <x:c r="C9" s="206" t="str">
        <x:v>买卖价差冲击</x:v>
      </x:c>
      <x:c r="D9" s="206" t="str">
        <x:v>风险</x:v>
      </x:c>
      <x:c r="E9" s="206" t="str">
        <x:v>x基线</x:v>
      </x:c>
      <x:c r="F9" s="206" t="str">
        <x:v>risk_abs</x:v>
      </x:c>
      <x:c r="G9" s="207" t="n">
        <x:v>1</x:v>
      </x:c>
      <x:c r="H9" s="207" t="n">
        <x:v>1</x:v>
      </x:c>
      <x:c r="I9" s="207" t="n">
        <x:v>0.5</x:v>
      </x:c>
      <x:c r="J9" s="207" t="n">
        <x:v>5</x:v>
      </x:c>
      <x:c r="K9" s="208" t="n">
        <x:v>0.9</x:v>
      </x:c>
      <x:c r="L9" s="209" t="n">
        <x:v>0.03</x:v>
      </x:c>
      <x:c r="M9" s="206" t="str">
        <x:v>当前价差/过去24小时同时间段中位数</x:v>
      </x:c>
      <x:c r="N9" s="206" t="str">
        <x:v>隐藏流动性/RPI订单不可见；撤单不一定等于真实方向</x:v>
      </x:c>
      <x:c r="O9" s="206" t="str">
        <x:v>BIN_BOOK</x:v>
      </x:c>
      <x:c r="P9" s="206" t="str">
        <x:v>是</x:v>
      </x:c>
    </x:row>
    <x:row r="10">
      <x:c r="A10" s="206" t="str">
        <x:v>S06</x:v>
      </x:c>
      <x:c r="B10" s="206" t="str">
        <x:v>价格行为</x:v>
      </x:c>
      <x:c r="C10" s="206" t="str">
        <x:v>价格加速度</x:v>
      </x:c>
      <x:c r="D10" s="206" t="str">
        <x:v>方向</x:v>
      </x:c>
      <x:c r="E10" s="206" t="str">
        <x:v>%</x:v>
      </x:c>
      <x:c r="F10" s="206" t="str">
        <x:v>linear</x:v>
      </x:c>
      <x:c r="G10" s="207" t="n">
        <x:v>1</x:v>
      </x:c>
      <x:c r="H10" s="207" t="n">
        <x:v>0</x:v>
      </x:c>
      <x:c r="I10" s="207" t="n">
        <x:v>0.0015</x:v>
      </x:c>
      <x:c r="J10" s="207" t="n">
        <x:v>10</x:v>
      </x:c>
      <x:c r="K10" s="208" t="n">
        <x:v>0.75</x:v>
      </x:c>
      <x:c r="L10" s="209" t="n">
        <x:v>0.05</x:v>
      </x:c>
      <x:c r="M10" s="206" t="str">
        <x:v>最近1分钟收益减前4分钟平均每分钟收益</x:v>
      </x:c>
      <x:c r="N10" s="206" t="str">
        <x:v>可能只是对前一信号的滞后确认</x:v>
      </x:c>
      <x:c r="O10" s="206" t="str">
        <x:v>BIN_FUT</x:v>
      </x:c>
      <x:c r="P10" s="206" t="str">
        <x:v>是</x:v>
      </x:c>
    </x:row>
    <x:row r="11">
      <x:c r="A11" s="206" t="str">
        <x:v>S07</x:v>
      </x:c>
      <x:c r="B11" s="206" t="str">
        <x:v>杠杆/清算</x:v>
      </x:c>
      <x:c r="C11" s="206" t="str">
        <x:v>净清算压力</x:v>
      </x:c>
      <x:c r="D11" s="206" t="str">
        <x:v>方向</x:v>
      </x:c>
      <x:c r="E11" s="206" t="str">
        <x:v>%成交额</x:v>
      </x:c>
      <x:c r="F11" s="206" t="str">
        <x:v>linear</x:v>
      </x:c>
      <x:c r="G11" s="207" t="n">
        <x:v>1</x:v>
      </x:c>
      <x:c r="H11" s="207" t="n">
        <x:v>0</x:v>
      </x:c>
      <x:c r="I11" s="207" t="n">
        <x:v>0.02</x:v>
      </x:c>
      <x:c r="J11" s="207" t="n">
        <x:v>10</x:v>
      </x:c>
      <x:c r="K11" s="208" t="n">
        <x:v>0.95</x:v>
      </x:c>
      <x:c r="L11" s="209" t="n">
        <x:v>0.1</x:v>
      </x:c>
      <x:c r="M11" s="206" t="str">
        <x:v>(空头清算-多头清算)/5分钟成交额</x:v>
      </x:c>
      <x:c r="N11" s="206" t="str">
        <x:v>交易所清算推送可能被节流，绝对量会低估</x:v>
      </x:c>
      <x:c r="O11" s="206" t="str">
        <x:v>BIN_LIQ</x:v>
      </x:c>
      <x:c r="P11" s="206" t="str">
        <x:v>是</x:v>
      </x:c>
    </x:row>
    <x:row r="12">
      <x:c r="A12" s="206" t="str">
        <x:v>S08</x:v>
      </x:c>
      <x:c r="B12" s="206" t="str">
        <x:v>杠杆/清算</x:v>
      </x:c>
      <x:c r="C12" s="206" t="str">
        <x:v>清算强度</x:v>
      </x:c>
      <x:c r="D12" s="206" t="str">
        <x:v>风险</x:v>
      </x:c>
      <x:c r="E12" s="206" t="str">
        <x:v>%成交额</x:v>
      </x:c>
      <x:c r="F12" s="206" t="str">
        <x:v>risk_abs</x:v>
      </x:c>
      <x:c r="G12" s="207" t="n">
        <x:v>1</x:v>
      </x:c>
      <x:c r="H12" s="207" t="n">
        <x:v>0</x:v>
      </x:c>
      <x:c r="I12" s="207" t="n">
        <x:v>0.02</x:v>
      </x:c>
      <x:c r="J12" s="207" t="n">
        <x:v>10</x:v>
      </x:c>
      <x:c r="K12" s="208" t="n">
        <x:v>0.95</x:v>
      </x:c>
      <x:c r="L12" s="209" t="n">
        <x:v>0.05</x:v>
      </x:c>
      <x:c r="M12" s="206" t="str">
        <x:v>(空头清算+多头清算)/5分钟成交额</x:v>
      </x:c>
      <x:c r="N12" s="206" t="str">
        <x:v>交易所清算推送可能被节流，绝对量会低估</x:v>
      </x:c>
      <x:c r="O12" s="206" t="str">
        <x:v>BIN_LIQ</x:v>
      </x:c>
      <x:c r="P12" s="206" t="str">
        <x:v>是</x:v>
      </x:c>
    </x:row>
    <x:row r="13">
      <x:c r="A13" s="206" t="str">
        <x:v>S09</x:v>
      </x:c>
      <x:c r="B13" s="206" t="str">
        <x:v>杠杆/清算</x:v>
      </x:c>
      <x:c r="C13" s="206" t="str">
        <x:v>OI确认后的价格动量</x:v>
      </x:c>
      <x:c r="D13" s="206" t="str">
        <x:v>方向</x:v>
      </x:c>
      <x:c r="E13" s="206" t="str">
        <x:v>%</x:v>
      </x:c>
      <x:c r="F13" s="206" t="str">
        <x:v>oi_state</x:v>
      </x:c>
      <x:c r="G13" s="207" t="n">
        <x:v>1</x:v>
      </x:c>
      <x:c r="H13" s="207" t="n">
        <x:v>0</x:v>
      </x:c>
      <x:c r="I13" s="207" t="n">
        <x:v>0.0025</x:v>
      </x:c>
      <x:c r="J13" s="207" t="n">
        <x:v>60</x:v>
      </x:c>
      <x:c r="K13" s="208" t="n">
        <x:v>0.85</x:v>
      </x:c>
      <x:c r="L13" s="209" t="n">
        <x:v>0.07</x:v>
      </x:c>
      <x:c r="M13" s="206" t="str">
        <x:v>主值=OI 5分钟变化；辅助值=BTC 5分钟收益</x:v>
      </x:c>
      <x:c r="N13" s="206" t="str">
        <x:v>交易所清算推送可能被节流，绝对量会低估</x:v>
      </x:c>
      <x:c r="O13" s="206" t="str">
        <x:v>BIN_OI</x:v>
      </x:c>
      <x:c r="P13" s="206" t="str">
        <x:v>是</x:v>
      </x:c>
    </x:row>
    <x:row r="14">
      <x:c r="A14" s="206" t="str">
        <x:v>S10</x:v>
      </x:c>
      <x:c r="B14" s="206" t="str">
        <x:v>衍生品</x:v>
      </x:c>
      <x:c r="C14" s="206" t="str">
        <x:v>永续-现货溢价变化</x:v>
      </x:c>
      <x:c r="D14" s="206" t="str">
        <x:v>方向</x:v>
      </x:c>
      <x:c r="E14" s="206" t="str">
        <x:v>bp</x:v>
      </x:c>
      <x:c r="F14" s="206" t="str">
        <x:v>linear</x:v>
      </x:c>
      <x:c r="G14" s="207" t="n">
        <x:v>1</x:v>
      </x:c>
      <x:c r="H14" s="207" t="n">
        <x:v>0</x:v>
      </x:c>
      <x:c r="I14" s="207" t="n">
        <x:v>5</x:v>
      </x:c>
      <x:c r="J14" s="207" t="n">
        <x:v>10</x:v>
      </x:c>
      <x:c r="K14" s="208" t="n">
        <x:v>0.8</x:v>
      </x:c>
      <x:c r="L14" s="209" t="n">
        <x:v>0.05</x:v>
      </x:c>
      <x:c r="M14" s="206" t="str">
        <x:v>使用溢价变化而非绝对资金费率</x:v>
      </x:c>
      <x:c r="N14" s="206" t="str">
        <x:v>溢价过高也可能代表拥挤，需结合OI与清算</x:v>
      </x:c>
      <x:c r="O14" s="206" t="str">
        <x:v>BIN_FUT</x:v>
      </x:c>
      <x:c r="P14" s="206" t="str">
        <x:v>是</x:v>
      </x:c>
    </x:row>
    <x:row r="15">
      <x:c r="A15" s="206" t="str">
        <x:v>S11</x:v>
      </x:c>
      <x:c r="B15" s="206" t="str">
        <x:v>衍生品</x:v>
      </x:c>
      <x:c r="C15" s="206" t="str">
        <x:v>标记价-指数价偏离</x:v>
      </x:c>
      <x:c r="D15" s="206" t="str">
        <x:v>方向</x:v>
      </x:c>
      <x:c r="E15" s="206" t="str">
        <x:v>bp</x:v>
      </x:c>
      <x:c r="F15" s="206" t="str">
        <x:v>linear</x:v>
      </x:c>
      <x:c r="G15" s="207" t="n">
        <x:v>1</x:v>
      </x:c>
      <x:c r="H15" s="207" t="n">
        <x:v>0</x:v>
      </x:c>
      <x:c r="I15" s="207" t="n">
        <x:v>5</x:v>
      </x:c>
      <x:c r="J15" s="207" t="n">
        <x:v>5</x:v>
      </x:c>
      <x:c r="K15" s="208" t="n">
        <x:v>0.75</x:v>
      </x:c>
      <x:c r="L15" s="209" t="n">
        <x:v>0.03</x:v>
      </x:c>
      <x:c r="M15" s="206" t="str">
        <x:v>反映清算触发价格与现货指数的偏离</x:v>
      </x:c>
      <x:c r="N15" s="206" t="str">
        <x:v>溢价过高也可能代表拥挤，需结合OI与清算</x:v>
      </x:c>
      <x:c r="O15" s="206" t="str">
        <x:v>BIN_MARK</x:v>
      </x:c>
      <x:c r="P15" s="206" t="str">
        <x:v>是</x:v>
      </x:c>
    </x:row>
    <x:row r="16">
      <x:c r="A16" s="206" t="str">
        <x:v>S12</x:v>
      </x:c>
      <x:c r="B16" s="206" t="str">
        <x:v>跨市场</x:v>
      </x:c>
      <x:c r="C16" s="206" t="str">
        <x:v>领先交易所收益差</x:v>
      </x:c>
      <x:c r="D16" s="206" t="str">
        <x:v>方向</x:v>
      </x:c>
      <x:c r="E16" s="206" t="str">
        <x:v>bp</x:v>
      </x:c>
      <x:c r="F16" s="206" t="str">
        <x:v>linear</x:v>
      </x:c>
      <x:c r="G16" s="207" t="n">
        <x:v>1</x:v>
      </x:c>
      <x:c r="H16" s="207" t="n">
        <x:v>0</x:v>
      </x:c>
      <x:c r="I16" s="207" t="n">
        <x:v>5</x:v>
      </x:c>
      <x:c r="J16" s="207" t="n">
        <x:v>5</x:v>
      </x:c>
      <x:c r="K16" s="208" t="n">
        <x:v>0.85</x:v>
      </x:c>
      <x:c r="L16" s="209" t="n">
        <x:v>0.05</x:v>
      </x:c>
      <x:c r="M16" s="206" t="str">
        <x:v>Binance永续收益减Coinbase/Deribit现货中位数</x:v>
      </x:c>
      <x:c r="N16" s="206" t="str">
        <x:v>稳定币汇率、交易费和时区可制造假溢价</x:v>
      </x:c>
      <x:c r="O16" s="206" t="str">
        <x:v>PD_PAPER</x:v>
      </x:c>
      <x:c r="P16" s="206" t="str">
        <x:v>是</x:v>
      </x:c>
    </x:row>
    <x:row r="17">
      <x:c r="A17" s="206" t="str">
        <x:v>S13</x:v>
      </x:c>
      <x:c r="B17" s="206" t="str">
        <x:v>跨市场</x:v>
      </x:c>
      <x:c r="C17" s="206" t="str">
        <x:v>Coinbase溢价</x:v>
      </x:c>
      <x:c r="D17" s="206" t="str">
        <x:v>方向</x:v>
      </x:c>
      <x:c r="E17" s="206" t="str">
        <x:v>bp</x:v>
      </x:c>
      <x:c r="F17" s="206" t="str">
        <x:v>linear</x:v>
      </x:c>
      <x:c r="G17" s="207" t="n">
        <x:v>1</x:v>
      </x:c>
      <x:c r="H17" s="207" t="n">
        <x:v>0</x:v>
      </x:c>
      <x:c r="I17" s="207" t="n">
        <x:v>5</x:v>
      </x:c>
      <x:c r="J17" s="207" t="n">
        <x:v>5</x:v>
      </x:c>
      <x:c r="K17" s="208" t="n">
        <x:v>0.8</x:v>
      </x:c>
      <x:c r="L17" s="209" t="n">
        <x:v>0.04</x:v>
      </x:c>
      <x:c r="M17" s="206" t="str">
        <x:v>Coinbase BTC-USD相对稳定币报价的美元溢价</x:v>
      </x:c>
      <x:c r="N17" s="206" t="str">
        <x:v>稳定币汇率、交易费和时区可制造假溢价</x:v>
      </x:c>
      <x:c r="O17" s="206" t="str">
        <x:v>CB_WS</x:v>
      </x:c>
      <x:c r="P17" s="206" t="str">
        <x:v>是</x:v>
      </x:c>
    </x:row>
    <x:row r="18">
      <x:c r="A18" s="206" t="str">
        <x:v>S14</x:v>
      </x:c>
      <x:c r="B18" s="206" t="str">
        <x:v>跨市场</x:v>
      </x:c>
      <x:c r="C18" s="206" t="str">
        <x:v>稳定币压力</x:v>
      </x:c>
      <x:c r="D18" s="206" t="str">
        <x:v>方向</x:v>
      </x:c>
      <x:c r="E18" s="206" t="str">
        <x:v>bp</x:v>
      </x:c>
      <x:c r="F18" s="206" t="str">
        <x:v>linear</x:v>
      </x:c>
      <x:c r="G18" s="207" t="n">
        <x:v>1</x:v>
      </x:c>
      <x:c r="H18" s="207" t="n">
        <x:v>0</x:v>
      </x:c>
      <x:c r="I18" s="207" t="n">
        <x:v>10</x:v>
      </x:c>
      <x:c r="J18" s="207" t="n">
        <x:v>15</x:v>
      </x:c>
      <x:c r="K18" s="208" t="n">
        <x:v>0.7</x:v>
      </x:c>
      <x:c r="L18" s="209" t="n">
        <x:v>0.02</x:v>
      </x:c>
      <x:c r="M18" s="206" t="str">
        <x:v>USDT/USDC对美元折价为负，通常风险偏空</x:v>
      </x:c>
      <x:c r="N18" s="206" t="str">
        <x:v>稳定币汇率、交易费和时区可制造假溢价</x:v>
      </x:c>
      <x:c r="O18" s="206" t="str">
        <x:v>CB_WS</x:v>
      </x:c>
      <x:c r="P18" s="206" t="str">
        <x:v>是</x:v>
      </x:c>
    </x:row>
    <x:row r="19">
      <x:c r="A19" s="206" t="str">
        <x:v>S15</x:v>
      </x:c>
      <x:c r="B19" s="206" t="str">
        <x:v>宏观代理</x:v>
      </x:c>
      <x:c r="C19" s="206" t="str">
        <x:v>纳指期货5分钟收益</x:v>
      </x:c>
      <x:c r="D19" s="206" t="str">
        <x:v>方向</x:v>
      </x:c>
      <x:c r="E19" s="206" t="str">
        <x:v>%</x:v>
      </x:c>
      <x:c r="F19" s="206" t="str">
        <x:v>linear</x:v>
      </x:c>
      <x:c r="G19" s="207" t="n">
        <x:v>1</x:v>
      </x:c>
      <x:c r="H19" s="207" t="n">
        <x:v>0</x:v>
      </x:c>
      <x:c r="I19" s="207" t="n">
        <x:v>0.002</x:v>
      </x:c>
      <x:c r="J19" s="207" t="n">
        <x:v>15</x:v>
      </x:c>
      <x:c r="K19" s="208" t="n">
        <x:v>0.7</x:v>
      </x:c>
      <x:c r="L19" s="209" t="n">
        <x:v>0.03</x:v>
      </x:c>
      <x:c r="M19" s="206" t="str">
        <x:v>宏观事件窗口权重上调</x:v>
      </x:c>
      <x:c r="N19" s="206" t="str">
        <x:v>非事件时段相关性不稳定</x:v>
      </x:c>
      <x:c r="O19" s="206" t="str">
        <x:v>CME_NQ</x:v>
      </x:c>
      <x:c r="P19" s="206" t="str">
        <x:v>是</x:v>
      </x:c>
    </x:row>
    <x:row r="20">
      <x:c r="A20" s="206" t="str">
        <x:v>S16</x:v>
      </x:c>
      <x:c r="B20" s="206" t="str">
        <x:v>宏观代理</x:v>
      </x:c>
      <x:c r="C20" s="206" t="str">
        <x:v>美国2年期收益率变化</x:v>
      </x:c>
      <x:c r="D20" s="206" t="str">
        <x:v>方向</x:v>
      </x:c>
      <x:c r="E20" s="206" t="str">
        <x:v>bp</x:v>
      </x:c>
      <x:c r="F20" s="206" t="str">
        <x:v>linear</x:v>
      </x:c>
      <x:c r="G20" s="207" t="n">
        <x:v>-1</x:v>
      </x:c>
      <x:c r="H20" s="207" t="n">
        <x:v>0</x:v>
      </x:c>
      <x:c r="I20" s="207" t="n">
        <x:v>1.5</x:v>
      </x:c>
      <x:c r="J20" s="207" t="n">
        <x:v>30</x:v>
      </x:c>
      <x:c r="K20" s="208" t="n">
        <x:v>0.7</x:v>
      </x:c>
      <x:c r="L20" s="209" t="n">
        <x:v>0.02</x:v>
      </x:c>
      <x:c r="M20" s="206" t="str">
        <x:v>收益率上行通常对风险资产偏空</x:v>
      </x:c>
      <x:c r="N20" s="206" t="str">
        <x:v>非事件时段相关性不稳定</x:v>
      </x:c>
      <x:c r="O20" s="206" t="str">
        <x:v>CME_TSY</x:v>
      </x:c>
      <x:c r="P20" s="206" t="str">
        <x:v>是</x:v>
      </x:c>
    </x:row>
    <x:row r="21">
      <x:c r="A21" s="206" t="str">
        <x:v>S17</x:v>
      </x:c>
      <x:c r="B21" s="206" t="str">
        <x:v>宏观代理</x:v>
      </x:c>
      <x:c r="C21" s="206" t="str">
        <x:v>美元指数5分钟收益</x:v>
      </x:c>
      <x:c r="D21" s="206" t="str">
        <x:v>方向</x:v>
      </x:c>
      <x:c r="E21" s="206" t="str">
        <x:v>%</x:v>
      </x:c>
      <x:c r="F21" s="206" t="str">
        <x:v>linear</x:v>
      </x:c>
      <x:c r="G21" s="207" t="n">
        <x:v>-1</x:v>
      </x:c>
      <x:c r="H21" s="207" t="n">
        <x:v>0</x:v>
      </x:c>
      <x:c r="I21" s="207" t="n">
        <x:v>0.001</x:v>
      </x:c>
      <x:c r="J21" s="207" t="n">
        <x:v>30</x:v>
      </x:c>
      <x:c r="K21" s="208" t="n">
        <x:v>0.6</x:v>
      </x:c>
      <x:c r="L21" s="209" t="n">
        <x:v>0.01</x:v>
      </x:c>
      <x:c r="M21" s="206" t="str">
        <x:v>美元走强通常对BTC偏空</x:v>
      </x:c>
      <x:c r="N21" s="206" t="str">
        <x:v>非事件时段相关性不稳定</x:v>
      </x:c>
      <x:c r="O21" s="206" t="str">
        <x:v>CME_FX</x:v>
      </x:c>
      <x:c r="P21" s="206" t="str">
        <x:v>是</x:v>
      </x:c>
    </x:row>
    <x:row r="22">
      <x:c r="A22" s="206" t="str">
        <x:v>S18</x:v>
      </x:c>
      <x:c r="B22" s="206" t="str">
        <x:v>事件</x:v>
      </x:c>
      <x:c r="C22" s="206" t="str">
        <x:v>宏观数据意外值</x:v>
      </x:c>
      <x:c r="D22" s="206" t="str">
        <x:v>方向</x:v>
      </x:c>
      <x:c r="E22" s="206" t="str">
        <x:v>标准分</x:v>
      </x:c>
      <x:c r="F22" s="206" t="str">
        <x:v>manual</x:v>
      </x:c>
      <x:c r="G22" s="207" t="n">
        <x:v>1</x:v>
      </x:c>
      <x:c r="H22" s="207" t="n">
        <x:v>0</x:v>
      </x:c>
      <x:c r="I22" s="207" t="n">
        <x:v>1</x:v>
      </x:c>
      <x:c r="J22" s="207" t="n">
        <x:v>300</x:v>
      </x:c>
      <x:c r="K22" s="208" t="n">
        <x:v>0.95</x:v>
      </x:c>
      <x:c r="L22" s="209" t="n">
        <x:v>0.05</x:v>
      </x:c>
      <x:c r="M22" s="206" t="str">
        <x:v>按实际值相对市场预期人工映射至-3~+3</x:v>
      </x:c>
      <x:c r="N22" s="206" t="str">
        <x:v>需要准确时间戳和市场预期，标题方向可能迅速反转</x:v>
      </x:c>
      <x:c r="O22" s="206" t="str">
        <x:v>MACRO</x:v>
      </x:c>
      <x:c r="P22" s="206" t="str">
        <x:v>是</x:v>
      </x:c>
    </x:row>
    <x:row r="23">
      <x:c r="A23" s="206" t="str">
        <x:v>S19</x:v>
      </x:c>
      <x:c r="B23" s="206" t="str">
        <x:v>事件</x:v>
      </x:c>
      <x:c r="C23" s="206" t="str">
        <x:v>突发新闻冲击</x:v>
      </x:c>
      <x:c r="D23" s="206" t="str">
        <x:v>方向</x:v>
      </x:c>
      <x:c r="E23" s="206" t="str">
        <x:v>标准分</x:v>
      </x:c>
      <x:c r="F23" s="206" t="str">
        <x:v>manual</x:v>
      </x:c>
      <x:c r="G23" s="207" t="n">
        <x:v>1</x:v>
      </x:c>
      <x:c r="H23" s="207" t="n">
        <x:v>0</x:v>
      </x:c>
      <x:c r="I23" s="207" t="n">
        <x:v>1</x:v>
      </x:c>
      <x:c r="J23" s="207" t="n">
        <x:v>120</x:v>
      </x:c>
      <x:c r="K23" s="208" t="n">
        <x:v>0.9</x:v>
      </x:c>
      <x:c r="L23" s="209" t="n">
        <x:v>0.05</x:v>
      </x:c>
      <x:c r="M23" s="206" t="str">
        <x:v>监管、战争、财政/货币政策、ETF等突发消息</x:v>
      </x:c>
      <x:c r="N23" s="206" t="str">
        <x:v>需要准确时间戳和市场预期，标题方向可能迅速反转</x:v>
      </x:c>
      <x:c r="O23" s="206" t="str">
        <x:v>NEWS</x:v>
      </x:c>
      <x:c r="P23" s="206" t="str">
        <x:v>是</x:v>
      </x:c>
    </x:row>
    <x:row r="24">
      <x:c r="A24" s="206" t="str">
        <x:v>S20</x:v>
      </x:c>
      <x:c r="B24" s="206" t="str">
        <x:v>事件</x:v>
      </x:c>
      <x:c r="C24" s="206" t="str">
        <x:v>交易所/系统事故</x:v>
      </x:c>
      <x:c r="D24" s="206" t="str">
        <x:v>方向</x:v>
      </x:c>
      <x:c r="E24" s="206" t="str">
        <x:v>标准分</x:v>
      </x:c>
      <x:c r="F24" s="206" t="str">
        <x:v>manual</x:v>
      </x:c>
      <x:c r="G24" s="207" t="n">
        <x:v>1</x:v>
      </x:c>
      <x:c r="H24" s="207" t="n">
        <x:v>0</x:v>
      </x:c>
      <x:c r="I24" s="207" t="n">
        <x:v>1</x:v>
      </x:c>
      <x:c r="J24" s="207" t="n">
        <x:v>60</x:v>
      </x:c>
      <x:c r="K24" s="208" t="n">
        <x:v>0.95</x:v>
      </x:c>
      <x:c r="L24" s="209" t="n">
        <x:v>0.02</x:v>
      </x:c>
      <x:c r="M24" s="206" t="str">
        <x:v>宕机、提款暂停、稳定币或托管风险等</x:v>
      </x:c>
      <x:c r="N24" s="206" t="str">
        <x:v>需要准确时间戳和市场预期，标题方向可能迅速反转</x:v>
      </x:c>
      <x:c r="O24" s="206" t="str">
        <x:v>INCIDENT</x:v>
      </x:c>
      <x:c r="P24" s="206" t="str">
        <x:v>是</x:v>
      </x:c>
    </x:row>
    <x:row r="25">
      <x:c r="A25" s="194"/>
      <x:c r="B25" s="194"/>
      <x:c r="C25" s="194"/>
      <x:c r="D25" s="194"/>
      <x:c r="E25" s="194"/>
      <x:c r="F25" s="194"/>
      <x:c r="G25" s="194"/>
      <x:c r="H25" s="194"/>
      <x:c r="I25" s="194"/>
      <x:c r="J25" s="194"/>
      <x:c r="K25" s="194"/>
      <x:c r="L25" s="194"/>
      <x:c r="M25" s="194"/>
      <x:c r="N25" s="194"/>
      <x:c r="O25" s="194"/>
      <x:c r="P25" s="194"/>
    </x:row>
    <x:row r="26">
      <x:c r="A26" s="194"/>
      <x:c r="B26" s="194"/>
      <x:c r="C26" s="194"/>
      <x:c r="D26" s="194"/>
      <x:c r="E26" s="194"/>
      <x:c r="F26" s="194"/>
      <x:c r="G26" s="194"/>
      <x:c r="H26" s="194"/>
      <x:c r="I26" s="194"/>
      <x:c r="J26" s="194"/>
      <x:c r="K26" s="194"/>
      <x:c r="L26" s="194"/>
      <x:c r="M26" s="194"/>
      <x:c r="N26" s="194"/>
      <x:c r="O26" s="194"/>
      <x:c r="P26" s="194"/>
    </x:row>
    <x:row r="27" ht="20" customHeight="1">
      <x:c r="A27" s="17" t="str">
        <x:v>不建议直接作为5分钟主信号的数据</x:v>
      </x:c>
      <x:c r="B27" s="17"/>
      <x:c r="C27" s="17"/>
      <x:c r="D27" s="17"/>
      <x:c r="E27" s="17"/>
      <x:c r="F27" s="17"/>
      <x:c r="G27" s="17"/>
      <x:c r="H27" s="17"/>
      <x:c r="I27" s="194"/>
      <x:c r="J27" s="194"/>
      <x:c r="K27" s="194"/>
      <x:c r="L27" s="194"/>
      <x:c r="M27" s="194"/>
      <x:c r="N27" s="194"/>
      <x:c r="O27" s="194"/>
      <x:c r="P27" s="194"/>
    </x:row>
    <x:row r="28">
      <x:c r="A28" s="27" t="str">
        <x:v>数据</x:v>
      </x:c>
      <x:c r="B28" s="27" t="str">
        <x:v>5分钟优先级</x:v>
      </x:c>
      <x:c r="C28" s="27" t="str">
        <x:v>为什么不决定下一根5分钟K线</x:v>
      </x:c>
      <x:c r="D28" s="27" t="str">
        <x:v>正确用法</x:v>
      </x:c>
      <x:c r="E28" s="194"/>
      <x:c r="F28" s="194"/>
      <x:c r="G28" s="194"/>
      <x:c r="H28" s="194"/>
      <x:c r="I28" s="194"/>
      <x:c r="J28" s="194"/>
      <x:c r="K28" s="194"/>
      <x:c r="L28" s="194"/>
      <x:c r="M28" s="194"/>
      <x:c r="N28" s="194"/>
      <x:c r="O28" s="194"/>
      <x:c r="P28" s="194"/>
    </x:row>
    <x:row r="29">
      <x:c r="A29" s="206" t="str">
        <x:v>链上大额转账</x:v>
      </x:c>
      <x:c r="B29" s="206" t="str">
        <x:v>低</x:v>
      </x:c>
      <x:c r="C29" s="206" t="str">
        <x:v>链上确认后才可见，且转账不等于卖出</x:v>
      </x:c>
      <x:c r="D29" s="206" t="str">
        <x:v>仅作为事件解释；若交易所净流入与现货卖压同步才提高权重</x:v>
      </x:c>
      <x:c r="E29" s="194"/>
      <x:c r="F29" s="194"/>
      <x:c r="G29" s="194"/>
      <x:c r="H29" s="194"/>
      <x:c r="I29" s="194"/>
      <x:c r="J29" s="194"/>
      <x:c r="K29" s="194"/>
      <x:c r="L29" s="194"/>
      <x:c r="M29" s="194"/>
      <x:c r="N29" s="194"/>
      <x:c r="O29" s="194"/>
      <x:c r="P29" s="194"/>
    </x:row>
    <x:row r="30">
      <x:c r="A30" s="206" t="str">
        <x:v>交易所日净流入/流出</x:v>
      </x:c>
      <x:c r="B30" s="206" t="str">
        <x:v>低</x:v>
      </x:c>
      <x:c r="C30" s="206" t="str">
        <x:v>聚合、标签和时间延迟较大</x:v>
      </x:c>
      <x:c r="D30" s="206" t="str">
        <x:v>用于数小时至数日背景</x:v>
      </x:c>
      <x:c r="E30" s="194"/>
      <x:c r="F30" s="194"/>
      <x:c r="G30" s="194"/>
      <x:c r="H30" s="194"/>
      <x:c r="I30" s="194"/>
      <x:c r="J30" s="194"/>
      <x:c r="K30" s="194"/>
      <x:c r="L30" s="194"/>
      <x:c r="M30" s="194"/>
      <x:c r="N30" s="194"/>
      <x:c r="O30" s="194"/>
      <x:c r="P30" s="194"/>
    </x:row>
    <x:row r="31">
      <x:c r="A31" s="206" t="str">
        <x:v>ETF日净申购赎回</x:v>
      </x:c>
      <x:c r="B31" s="206" t="str">
        <x:v>中低</x:v>
      </x:c>
      <x:c r="C31" s="206" t="str">
        <x:v>官方/可靠汇总多为盘后或延迟数据</x:v>
      </x:c>
      <x:c r="D31" s="206" t="str">
        <x:v>美国开盘和收盘时用现货订单流替代</x:v>
      </x:c>
      <x:c r="E31" s="194"/>
      <x:c r="F31" s="194"/>
      <x:c r="G31" s="194"/>
      <x:c r="H31" s="194"/>
      <x:c r="I31" s="194"/>
      <x:c r="J31" s="194"/>
      <x:c r="K31" s="194"/>
      <x:c r="L31" s="194"/>
      <x:c r="M31" s="194"/>
      <x:c r="N31" s="194"/>
      <x:c r="O31" s="194"/>
      <x:c r="P31" s="194"/>
    </x:row>
    <x:row r="32">
      <x:c r="A32" s="206" t="str">
        <x:v>资金费率绝对水平</x:v>
      </x:c>
      <x:c r="B32" s="206" t="str">
        <x:v>中低</x:v>
      </x:c>
      <x:c r="C32" s="206" t="str">
        <x:v>通常每8小时结算，5分钟内多为仓位背景</x:v>
      </x:c>
      <x:c r="D32" s="206" t="str">
        <x:v>用溢价变化、OI和清算流作实时触发</x:v>
      </x:c>
      <x:c r="E32" s="194"/>
      <x:c r="F32" s="194"/>
      <x:c r="G32" s="194"/>
      <x:c r="H32" s="194"/>
      <x:c r="I32" s="194"/>
      <x:c r="J32" s="194"/>
      <x:c r="K32" s="194"/>
      <x:c r="L32" s="194"/>
      <x:c r="M32" s="194"/>
      <x:c r="N32" s="194"/>
      <x:c r="O32" s="194"/>
      <x:c r="P32" s="194"/>
    </x:row>
    <x:row r="33">
      <x:c r="A33" s="206" t="str">
        <x:v>期权最大痛点/日Gamma</x:v>
      </x:c>
      <x:c r="B33" s="206" t="str">
        <x:v>中</x:v>
      </x:c>
      <x:c r="C33" s="206" t="str">
        <x:v>对日内路径有约束但不直接决定任意5分钟</x:v>
      </x:c>
      <x:c r="D33" s="206" t="str">
        <x:v>仅在大到期、关键行权价附近上调</x:v>
      </x:c>
      <x:c r="E33" s="194"/>
      <x:c r="F33" s="194"/>
      <x:c r="G33" s="194"/>
      <x:c r="H33" s="194"/>
      <x:c r="I33" s="194"/>
      <x:c r="J33" s="194"/>
      <x:c r="K33" s="194"/>
      <x:c r="L33" s="194"/>
      <x:c r="M33" s="194"/>
      <x:c r="N33" s="194"/>
      <x:c r="O33" s="194"/>
      <x:c r="P33" s="194"/>
    </x:row>
    <x:row r="34">
      <x:c r="A34" s="206" t="str">
        <x:v>社交媒体情绪/搜索热度</x:v>
      </x:c>
      <x:c r="B34" s="206" t="str">
        <x:v>低</x:v>
      </x:c>
      <x:c r="C34" s="206" t="str">
        <x:v>噪声和机器人影响大，时间戳难以校准</x:v>
      </x:c>
      <x:c r="D34" s="206" t="str">
        <x:v>只在可验证新闻爆发时作为辅助</x:v>
      </x:c>
      <x:c r="E34" s="194"/>
      <x:c r="F34" s="194"/>
      <x:c r="G34" s="194"/>
      <x:c r="H34" s="194"/>
      <x:c r="I34" s="194"/>
      <x:c r="J34" s="194"/>
      <x:c r="K34" s="194"/>
      <x:c r="L34" s="194"/>
      <x:c r="M34" s="194"/>
      <x:c r="N34" s="194"/>
      <x:c r="O34" s="194"/>
      <x:c r="P34" s="194"/>
    </x:row>
    <x:row r="35">
      <x:c r="A35" s="206" t="str">
        <x:v>恐惧贪婪指数</x:v>
      </x:c>
      <x:c r="B35" s="206" t="str">
        <x:v>低</x:v>
      </x:c>
      <x:c r="C35" s="206" t="str">
        <x:v>日频、滞后</x:v>
      </x:c>
      <x:c r="D35" s="206" t="str">
        <x:v>不用作5分钟交易信号</x:v>
      </x:c>
      <x:c r="E35" s="194"/>
      <x:c r="F35" s="194"/>
      <x:c r="G35" s="194"/>
      <x:c r="H35" s="194"/>
      <x:c r="I35" s="194"/>
      <x:c r="J35" s="194"/>
      <x:c r="K35" s="194"/>
      <x:c r="L35" s="194"/>
      <x:c r="M35" s="194"/>
      <x:c r="N35" s="194"/>
      <x:c r="O35" s="194"/>
      <x:c r="P35" s="194"/>
    </x:row>
    <x:row r="36">
      <x:c r="A36" s="206" t="str">
        <x:v>算力、难度、Mempool</x:v>
      </x:c>
      <x:c r="B36" s="206" t="str">
        <x:v>低</x:v>
      </x:c>
      <x:c r="C36" s="206" t="str">
        <x:v>通常不对应即时价格；除非链停摆/攻击</x:v>
      </x:c>
      <x:c r="D36" s="206" t="str">
        <x:v>链上事故时转化为事件信号</x:v>
      </x:c>
      <x:c r="E36" s="194"/>
      <x:c r="F36" s="194"/>
      <x:c r="G36" s="194"/>
      <x:c r="H36" s="194"/>
      <x:c r="I36" s="194"/>
      <x:c r="J36" s="194"/>
      <x:c r="K36" s="194"/>
      <x:c r="L36" s="194"/>
      <x:c r="M36" s="194"/>
      <x:c r="N36" s="194"/>
      <x:c r="O36" s="194"/>
      <x:c r="P36" s="194"/>
    </x:row>
  </x:sheetData>
  <x:mergeCells>
    <x:mergeCell ref="A1:P1"/>
    <x:mergeCell ref="A2:P2"/>
    <x:mergeCell ref="A27:H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2" hidden="0" customWidth="1"/>
    <x:col min="8" max="8" width="18" hidden="0" customWidth="1"/>
    <x:col min="9" max="9" width="14" hidden="0" customWidth="1"/>
    <x:col min="10" max="10" width="12" hidden="0" customWidth="1"/>
    <x:col min="12" max="12" width="18" hidden="0" customWidth="1"/>
    <x:col min="11" max="11" width="10" hidden="0" customWidth="1"/>
  </x:cols>
  <x:sheetData>
    <x:row r="1" ht="28" customHeight="1">
      <x:c r="A1" s="5" t="str">
        <x:v>BTC 5分钟价格驱动模型｜参数与权重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t="str">
        <x:v>正常</x:v>
      </x:c>
    </x:row>
    <x:row r="2">
      <x:c r="A2" s="11" t="str">
        <x:v>黄色/蓝字为可调整输入；权重为初始值，必须用自身历史数据进行滚动校准。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L2" t="str">
        <x:v>宏观数据公布</x:v>
      </x:c>
    </x:row>
    <x:row r="3">
      <x:c r="L3" t="str">
        <x:v>清算级联</x:v>
      </x:c>
    </x:row>
    <x:row r="4" ht="20" customHeight="1">
      <x:c r="A4" s="17" t="str">
        <x:v>信号权重、阈值与不同市场状态的乘数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t="str">
        <x:v>美国开盘/定价窗口</x:v>
      </x:c>
    </x:row>
    <x:row r="5">
      <x:c r="A5" s="27" t="str">
        <x:v>ID</x:v>
      </x:c>
      <x:c r="B5" s="27" t="str">
        <x:v>信号</x:v>
      </x:c>
      <x:c r="C5" s="27" t="str">
        <x:v>基础权重</x:v>
      </x:c>
      <x:c r="D5" s="27" t="str">
        <x:v>可靠度</x:v>
      </x:c>
      <x:c r="E5" s="27" t="str">
        <x:v>正常</x:v>
      </x:c>
      <x:c r="F5" s="27" t="str">
        <x:v>宏观数据公布</x:v>
      </x:c>
      <x:c r="G5" s="27" t="str">
        <x:v>清算级联</x:v>
      </x:c>
      <x:c r="H5" s="27" t="str">
        <x:v>美国开盘/定价窗口</x:v>
      </x:c>
      <x:c r="I5" s="27" t="str">
        <x:v>亚洲低流动性</x:v>
      </x:c>
      <x:c r="J5" s="27" t="str">
        <x:v>交易所事故</x:v>
      </x:c>
      <x:c r="K5" s="27" t="str">
        <x:v>方向标记</x:v>
      </x:c>
      <x:c r="L5" t="str">
        <x:v>亚洲低流动性</x:v>
      </x:c>
    </x:row>
    <x:row r="6">
      <x:c r="A6" s="194" t="str">
        <x:v>S01</x:v>
      </x:c>
      <x:c r="B6" s="194" t="str">
        <x:v>永续主动买卖不平衡</x:v>
      </x:c>
      <x:c r="C6" s="195" t="n">
        <x:v>0.1</x:v>
      </x:c>
      <x:c r="D6" s="196" t="n">
        <x:v>0.95</x:v>
      </x:c>
      <x:c r="E6" s="197" t="n">
        <x:v>1</x:v>
      </x:c>
      <x:c r="F6" s="197" t="n">
        <x:v>0.9</x:v>
      </x:c>
      <x:c r="G6" s="197" t="n">
        <x:v>1.4</x:v>
      </x:c>
      <x:c r="H6" s="197" t="n">
        <x:v>1.2</x:v>
      </x:c>
      <x:c r="I6" s="197" t="n">
        <x:v>1.35</x:v>
      </x:c>
      <x:c r="J6" s="197" t="n">
        <x:v>1.6</x:v>
      </x:c>
      <x:c r="K6" s="242" t="n">
        <x:v>1</x:v>
      </x:c>
      <x:c r="L6" t="str">
        <x:v>交易所事故</x:v>
      </x:c>
    </x:row>
    <x:row r="7">
      <x:c r="A7" s="194" t="str">
        <x:v>S02</x:v>
      </x:c>
      <x:c r="B7" s="194" t="str">
        <x:v>现货主动买卖不平衡</x:v>
      </x:c>
      <x:c r="C7" s="195" t="n">
        <x:v>0.08</x:v>
      </x:c>
      <x:c r="D7" s="196" t="n">
        <x:v>0.9</x:v>
      </x:c>
      <x:c r="E7" s="197" t="n">
        <x:v>1</x:v>
      </x:c>
      <x:c r="F7" s="197" t="n">
        <x:v>0.9</x:v>
      </x:c>
      <x:c r="G7" s="197" t="n">
        <x:v>1.4</x:v>
      </x:c>
      <x:c r="H7" s="197" t="n">
        <x:v>1.2</x:v>
      </x:c>
      <x:c r="I7" s="197" t="n">
        <x:v>1.35</x:v>
      </x:c>
      <x:c r="J7" s="197" t="n">
        <x:v>1.6</x:v>
      </x:c>
      <x:c r="K7" s="242" t="n">
        <x:v>1</x:v>
      </x:c>
    </x:row>
    <x:row r="8">
      <x:c r="A8" s="194" t="str">
        <x:v>S03</x:v>
      </x:c>
      <x:c r="B8" s="194" t="str">
        <x:v>L2盘口不平衡（前10档）</x:v>
      </x:c>
      <x:c r="C8" s="195" t="n">
        <x:v>0.1</x:v>
      </x:c>
      <x:c r="D8" s="196" t="n">
        <x:v>0.9</x:v>
      </x:c>
      <x:c r="E8" s="197" t="n">
        <x:v>1</x:v>
      </x:c>
      <x:c r="F8" s="197" t="n">
        <x:v>0.9</x:v>
      </x:c>
      <x:c r="G8" s="197" t="n">
        <x:v>1.4</x:v>
      </x:c>
      <x:c r="H8" s="197" t="n">
        <x:v>1.2</x:v>
      </x:c>
      <x:c r="I8" s="197" t="n">
        <x:v>1.35</x:v>
      </x:c>
      <x:c r="J8" s="197" t="n">
        <x:v>1.6</x:v>
      </x:c>
      <x:c r="K8" s="242" t="n">
        <x:v>1</x:v>
      </x:c>
    </x:row>
    <x:row r="9">
      <x:c r="A9" s="194" t="str">
        <x:v>S04</x:v>
      </x:c>
      <x:c r="B9" s="194" t="str">
        <x:v>净深度变化</x:v>
      </x:c>
      <x:c r="C9" s="195" t="n">
        <x:v>0.05</x:v>
      </x:c>
      <x:c r="D9" s="196" t="n">
        <x:v>0.8</x:v>
      </x:c>
      <x:c r="E9" s="197" t="n">
        <x:v>1</x:v>
      </x:c>
      <x:c r="F9" s="197" t="n">
        <x:v>0.9</x:v>
      </x:c>
      <x:c r="G9" s="197" t="n">
        <x:v>1.4</x:v>
      </x:c>
      <x:c r="H9" s="197" t="n">
        <x:v>1.2</x:v>
      </x:c>
      <x:c r="I9" s="197" t="n">
        <x:v>1.35</x:v>
      </x:c>
      <x:c r="J9" s="197" t="n">
        <x:v>1.6</x:v>
      </x:c>
      <x:c r="K9" s="242" t="n">
        <x:v>1</x:v>
      </x:c>
    </x:row>
    <x:row r="10">
      <x:c r="A10" s="194" t="str">
        <x:v>S05</x:v>
      </x:c>
      <x:c r="B10" s="194" t="str">
        <x:v>买卖价差冲击</x:v>
      </x:c>
      <x:c r="C10" s="195" t="n">
        <x:v>0.03</x:v>
      </x:c>
      <x:c r="D10" s="196" t="n">
        <x:v>0.9</x:v>
      </x:c>
      <x:c r="E10" s="197" t="n">
        <x:v>1</x:v>
      </x:c>
      <x:c r="F10" s="197" t="n">
        <x:v>0.9</x:v>
      </x:c>
      <x:c r="G10" s="197" t="n">
        <x:v>1.4</x:v>
      </x:c>
      <x:c r="H10" s="197" t="n">
        <x:v>1.2</x:v>
      </x:c>
      <x:c r="I10" s="197" t="n">
        <x:v>1.35</x:v>
      </x:c>
      <x:c r="J10" s="197" t="n">
        <x:v>1.6</x:v>
      </x:c>
      <x:c r="K10" s="242" t="n">
        <x:v>0</x:v>
      </x:c>
    </x:row>
    <x:row r="11">
      <x:c r="A11" s="194" t="str">
        <x:v>S06</x:v>
      </x:c>
      <x:c r="B11" s="194" t="str">
        <x:v>价格加速度</x:v>
      </x:c>
      <x:c r="C11" s="195" t="n">
        <x:v>0.05</x:v>
      </x:c>
      <x:c r="D11" s="196" t="n">
        <x:v>0.75</x:v>
      </x:c>
      <x:c r="E11" s="197" t="n">
        <x:v>1</x:v>
      </x:c>
      <x:c r="F11" s="197" t="n">
        <x:v>0.9</x:v>
      </x:c>
      <x:c r="G11" s="197" t="n">
        <x:v>1.4</x:v>
      </x:c>
      <x:c r="H11" s="197" t="n">
        <x:v>1.2</x:v>
      </x:c>
      <x:c r="I11" s="197" t="n">
        <x:v>1.35</x:v>
      </x:c>
      <x:c r="J11" s="197" t="n">
        <x:v>1.6</x:v>
      </x:c>
      <x:c r="K11" s="242" t="n">
        <x:v>1</x:v>
      </x:c>
    </x:row>
    <x:row r="12">
      <x:c r="A12" s="194" t="str">
        <x:v>S07</x:v>
      </x:c>
      <x:c r="B12" s="194" t="str">
        <x:v>净清算压力</x:v>
      </x:c>
      <x:c r="C12" s="195" t="n">
        <x:v>0.1</x:v>
      </x:c>
      <x:c r="D12" s="196" t="n">
        <x:v>0.95</x:v>
      </x:c>
      <x:c r="E12" s="197" t="n">
        <x:v>1</x:v>
      </x:c>
      <x:c r="F12" s="197" t="n">
        <x:v>1.1</x:v>
      </x:c>
      <x:c r="G12" s="197" t="n">
        <x:v>2.2</x:v>
      </x:c>
      <x:c r="H12" s="197" t="n">
        <x:v>1.05</x:v>
      </x:c>
      <x:c r="I12" s="197" t="n">
        <x:v>1.15</x:v>
      </x:c>
      <x:c r="J12" s="197" t="n">
        <x:v>1.35</x:v>
      </x:c>
      <x:c r="K12" s="242" t="n">
        <x:v>1</x:v>
      </x:c>
    </x:row>
    <x:row r="13">
      <x:c r="A13" s="194" t="str">
        <x:v>S08</x:v>
      </x:c>
      <x:c r="B13" s="194" t="str">
        <x:v>清算强度</x:v>
      </x:c>
      <x:c r="C13" s="195" t="n">
        <x:v>0.05</x:v>
      </x:c>
      <x:c r="D13" s="196" t="n">
        <x:v>0.95</x:v>
      </x:c>
      <x:c r="E13" s="197" t="n">
        <x:v>1</x:v>
      </x:c>
      <x:c r="F13" s="197" t="n">
        <x:v>1.1</x:v>
      </x:c>
      <x:c r="G13" s="197" t="n">
        <x:v>2.2</x:v>
      </x:c>
      <x:c r="H13" s="197" t="n">
        <x:v>1.05</x:v>
      </x:c>
      <x:c r="I13" s="197" t="n">
        <x:v>1.15</x:v>
      </x:c>
      <x:c r="J13" s="197" t="n">
        <x:v>1.35</x:v>
      </x:c>
      <x:c r="K13" s="242" t="n">
        <x:v>0</x:v>
      </x:c>
    </x:row>
    <x:row r="14">
      <x:c r="A14" s="194" t="str">
        <x:v>S09</x:v>
      </x:c>
      <x:c r="B14" s="194" t="str">
        <x:v>OI确认后的价格动量</x:v>
      </x:c>
      <x:c r="C14" s="195" t="n">
        <x:v>0.07</x:v>
      </x:c>
      <x:c r="D14" s="196" t="n">
        <x:v>0.85</x:v>
      </x:c>
      <x:c r="E14" s="197" t="n">
        <x:v>1</x:v>
      </x:c>
      <x:c r="F14" s="197" t="n">
        <x:v>1.1</x:v>
      </x:c>
      <x:c r="G14" s="197" t="n">
        <x:v>2.2</x:v>
      </x:c>
      <x:c r="H14" s="197" t="n">
        <x:v>1.05</x:v>
      </x:c>
      <x:c r="I14" s="197" t="n">
        <x:v>1.15</x:v>
      </x:c>
      <x:c r="J14" s="197" t="n">
        <x:v>1.35</x:v>
      </x:c>
      <x:c r="K14" s="242" t="n">
        <x:v>1</x:v>
      </x:c>
    </x:row>
    <x:row r="15">
      <x:c r="A15" s="194" t="str">
        <x:v>S10</x:v>
      </x:c>
      <x:c r="B15" s="194" t="str">
        <x:v>永续-现货溢价变化</x:v>
      </x:c>
      <x:c r="C15" s="195" t="n">
        <x:v>0.05</x:v>
      </x:c>
      <x:c r="D15" s="196" t="n">
        <x:v>0.8</x:v>
      </x:c>
      <x:c r="E15" s="197" t="n">
        <x:v>1</x:v>
      </x:c>
      <x:c r="F15" s="197" t="n">
        <x:v>1</x:v>
      </x:c>
      <x:c r="G15" s="197" t="n">
        <x:v>1.45</x:v>
      </x:c>
      <x:c r="H15" s="197" t="n">
        <x:v>1.1</x:v>
      </x:c>
      <x:c r="I15" s="197" t="n">
        <x:v>1.1</x:v>
      </x:c>
      <x:c r="J15" s="197" t="n">
        <x:v>1.3</x:v>
      </x:c>
      <x:c r="K15" s="242" t="n">
        <x:v>1</x:v>
      </x:c>
    </x:row>
    <x:row r="16">
      <x:c r="A16" s="194" t="str">
        <x:v>S11</x:v>
      </x:c>
      <x:c r="B16" s="194" t="str">
        <x:v>标记价-指数价偏离</x:v>
      </x:c>
      <x:c r="C16" s="195" t="n">
        <x:v>0.03</x:v>
      </x:c>
      <x:c r="D16" s="196" t="n">
        <x:v>0.75</x:v>
      </x:c>
      <x:c r="E16" s="197" t="n">
        <x:v>1</x:v>
      </x:c>
      <x:c r="F16" s="197" t="n">
        <x:v>1</x:v>
      </x:c>
      <x:c r="G16" s="197" t="n">
        <x:v>1.45</x:v>
      </x:c>
      <x:c r="H16" s="197" t="n">
        <x:v>1.1</x:v>
      </x:c>
      <x:c r="I16" s="197" t="n">
        <x:v>1.1</x:v>
      </x:c>
      <x:c r="J16" s="197" t="n">
        <x:v>1.3</x:v>
      </x:c>
      <x:c r="K16" s="242" t="n">
        <x:v>1</x:v>
      </x:c>
    </x:row>
    <x:row r="17">
      <x:c r="A17" s="194" t="str">
        <x:v>S12</x:v>
      </x:c>
      <x:c r="B17" s="194" t="str">
        <x:v>领先交易所收益差</x:v>
      </x:c>
      <x:c r="C17" s="195" t="n">
        <x:v>0.05</x:v>
      </x:c>
      <x:c r="D17" s="196" t="n">
        <x:v>0.85</x:v>
      </x:c>
      <x:c r="E17" s="197" t="n">
        <x:v>1</x:v>
      </x:c>
      <x:c r="F17" s="197" t="n">
        <x:v>1.1</x:v>
      </x:c>
      <x:c r="G17" s="197" t="n">
        <x:v>1.25</x:v>
      </x:c>
      <x:c r="H17" s="197" t="n">
        <x:v>1.45</x:v>
      </x:c>
      <x:c r="I17" s="197" t="n">
        <x:v>1.2</x:v>
      </x:c>
      <x:c r="J17" s="197" t="n">
        <x:v>1.8</x:v>
      </x:c>
      <x:c r="K17" s="242" t="n">
        <x:v>1</x:v>
      </x:c>
    </x:row>
    <x:row r="18">
      <x:c r="A18" s="194" t="str">
        <x:v>S13</x:v>
      </x:c>
      <x:c r="B18" s="194" t="str">
        <x:v>Coinbase溢价</x:v>
      </x:c>
      <x:c r="C18" s="195" t="n">
        <x:v>0.04</x:v>
      </x:c>
      <x:c r="D18" s="196" t="n">
        <x:v>0.8</x:v>
      </x:c>
      <x:c r="E18" s="197" t="n">
        <x:v>1</x:v>
      </x:c>
      <x:c r="F18" s="197" t="n">
        <x:v>1.1</x:v>
      </x:c>
      <x:c r="G18" s="197" t="n">
        <x:v>1.25</x:v>
      </x:c>
      <x:c r="H18" s="197" t="n">
        <x:v>1.45</x:v>
      </x:c>
      <x:c r="I18" s="197" t="n">
        <x:v>1.2</x:v>
      </x:c>
      <x:c r="J18" s="197" t="n">
        <x:v>1.8</x:v>
      </x:c>
      <x:c r="K18" s="242" t="n">
        <x:v>1</x:v>
      </x:c>
    </x:row>
    <x:row r="19">
      <x:c r="A19" s="194" t="str">
        <x:v>S14</x:v>
      </x:c>
      <x:c r="B19" s="194" t="str">
        <x:v>稳定币压力</x:v>
      </x:c>
      <x:c r="C19" s="195" t="n">
        <x:v>0.02</x:v>
      </x:c>
      <x:c r="D19" s="196" t="n">
        <x:v>0.7</x:v>
      </x:c>
      <x:c r="E19" s="197" t="n">
        <x:v>1</x:v>
      </x:c>
      <x:c r="F19" s="197" t="n">
        <x:v>1.1</x:v>
      </x:c>
      <x:c r="G19" s="197" t="n">
        <x:v>1.25</x:v>
      </x:c>
      <x:c r="H19" s="197" t="n">
        <x:v>1.45</x:v>
      </x:c>
      <x:c r="I19" s="197" t="n">
        <x:v>1.2</x:v>
      </x:c>
      <x:c r="J19" s="197" t="n">
        <x:v>1.8</x:v>
      </x:c>
      <x:c r="K19" s="242" t="n">
        <x:v>1</x:v>
      </x:c>
    </x:row>
    <x:row r="20">
      <x:c r="A20" s="194" t="str">
        <x:v>S15</x:v>
      </x:c>
      <x:c r="B20" s="194" t="str">
        <x:v>纳指期货5分钟收益</x:v>
      </x:c>
      <x:c r="C20" s="195" t="n">
        <x:v>0.03</x:v>
      </x:c>
      <x:c r="D20" s="196" t="n">
        <x:v>0.7</x:v>
      </x:c>
      <x:c r="E20" s="197" t="n">
        <x:v>1</x:v>
      </x:c>
      <x:c r="F20" s="197" t="n">
        <x:v>2.2</x:v>
      </x:c>
      <x:c r="G20" s="197" t="n">
        <x:v>0.85</x:v>
      </x:c>
      <x:c r="H20" s="197" t="n">
        <x:v>1.45</x:v>
      </x:c>
      <x:c r="I20" s="197" t="n">
        <x:v>0.8</x:v>
      </x:c>
      <x:c r="J20" s="197" t="n">
        <x:v>0.9</x:v>
      </x:c>
      <x:c r="K20" s="242" t="n">
        <x:v>1</x:v>
      </x:c>
    </x:row>
    <x:row r="21">
      <x:c r="A21" s="194" t="str">
        <x:v>S16</x:v>
      </x:c>
      <x:c r="B21" s="194" t="str">
        <x:v>美国2年期收益率变化</x:v>
      </x:c>
      <x:c r="C21" s="195" t="n">
        <x:v>0.02</x:v>
      </x:c>
      <x:c r="D21" s="196" t="n">
        <x:v>0.7</x:v>
      </x:c>
      <x:c r="E21" s="197" t="n">
        <x:v>1</x:v>
      </x:c>
      <x:c r="F21" s="197" t="n">
        <x:v>2.2</x:v>
      </x:c>
      <x:c r="G21" s="197" t="n">
        <x:v>0.85</x:v>
      </x:c>
      <x:c r="H21" s="197" t="n">
        <x:v>1.45</x:v>
      </x:c>
      <x:c r="I21" s="197" t="n">
        <x:v>0.8</x:v>
      </x:c>
      <x:c r="J21" s="197" t="n">
        <x:v>0.9</x:v>
      </x:c>
      <x:c r="K21" s="242" t="n">
        <x:v>1</x:v>
      </x:c>
    </x:row>
    <x:row r="22">
      <x:c r="A22" s="194" t="str">
        <x:v>S17</x:v>
      </x:c>
      <x:c r="B22" s="194" t="str">
        <x:v>美元指数5分钟收益</x:v>
      </x:c>
      <x:c r="C22" s="195" t="n">
        <x:v>0.01</x:v>
      </x:c>
      <x:c r="D22" s="196" t="n">
        <x:v>0.6</x:v>
      </x:c>
      <x:c r="E22" s="197" t="n">
        <x:v>1</x:v>
      </x:c>
      <x:c r="F22" s="197" t="n">
        <x:v>2.2</x:v>
      </x:c>
      <x:c r="G22" s="197" t="n">
        <x:v>0.85</x:v>
      </x:c>
      <x:c r="H22" s="197" t="n">
        <x:v>1.45</x:v>
      </x:c>
      <x:c r="I22" s="197" t="n">
        <x:v>0.8</x:v>
      </x:c>
      <x:c r="J22" s="197" t="n">
        <x:v>0.9</x:v>
      </x:c>
      <x:c r="K22" s="242" t="n">
        <x:v>1</x:v>
      </x:c>
    </x:row>
    <x:row r="23">
      <x:c r="A23" s="194" t="str">
        <x:v>S18</x:v>
      </x:c>
      <x:c r="B23" s="194" t="str">
        <x:v>宏观数据意外值</x:v>
      </x:c>
      <x:c r="C23" s="195" t="n">
        <x:v>0.05</x:v>
      </x:c>
      <x:c r="D23" s="196" t="n">
        <x:v>0.95</x:v>
      </x:c>
      <x:c r="E23" s="197" t="n">
        <x:v>0.7</x:v>
      </x:c>
      <x:c r="F23" s="197" t="n">
        <x:v>3</x:v>
      </x:c>
      <x:c r="G23" s="197" t="n">
        <x:v>0.7</x:v>
      </x:c>
      <x:c r="H23" s="197" t="n">
        <x:v>1</x:v>
      </x:c>
      <x:c r="I23" s="197" t="n">
        <x:v>0.7</x:v>
      </x:c>
      <x:c r="J23" s="197" t="n">
        <x:v>0.7</x:v>
      </x:c>
      <x:c r="K23" s="242" t="n">
        <x:v>1</x:v>
      </x:c>
    </x:row>
    <x:row r="24">
      <x:c r="A24" s="194" t="str">
        <x:v>S19</x:v>
      </x:c>
      <x:c r="B24" s="194" t="str">
        <x:v>突发新闻冲击</x:v>
      </x:c>
      <x:c r="C24" s="195" t="n">
        <x:v>0.05</x:v>
      </x:c>
      <x:c r="D24" s="196" t="n">
        <x:v>0.9</x:v>
      </x:c>
      <x:c r="E24" s="197" t="n">
        <x:v>1</x:v>
      </x:c>
      <x:c r="F24" s="197" t="n">
        <x:v>1.4</x:v>
      </x:c>
      <x:c r="G24" s="197" t="n">
        <x:v>0.9</x:v>
      </x:c>
      <x:c r="H24" s="197" t="n">
        <x:v>1.1</x:v>
      </x:c>
      <x:c r="I24" s="197" t="n">
        <x:v>1.1</x:v>
      </x:c>
      <x:c r="J24" s="197" t="n">
        <x:v>2</x:v>
      </x:c>
      <x:c r="K24" s="242" t="n">
        <x:v>1</x:v>
      </x:c>
    </x:row>
    <x:row r="25">
      <x:c r="A25" s="194" t="str">
        <x:v>S20</x:v>
      </x:c>
      <x:c r="B25" s="194" t="str">
        <x:v>交易所/系统事故</x:v>
      </x:c>
      <x:c r="C25" s="195" t="n">
        <x:v>0.02</x:v>
      </x:c>
      <x:c r="D25" s="196" t="n">
        <x:v>0.95</x:v>
      </x:c>
      <x:c r="E25" s="197" t="n">
        <x:v>0.7</x:v>
      </x:c>
      <x:c r="F25" s="197" t="n">
        <x:v>0.7</x:v>
      </x:c>
      <x:c r="G25" s="197" t="n">
        <x:v>0.9</x:v>
      </x:c>
      <x:c r="H25" s="197" t="n">
        <x:v>0.8</x:v>
      </x:c>
      <x:c r="I25" s="197" t="n">
        <x:v>0.8</x:v>
      </x:c>
      <x:c r="J25" s="197" t="n">
        <x:v>3</x:v>
      </x:c>
      <x:c r="K25" s="242" t="n">
        <x:v>1</x:v>
      </x:c>
    </x:row>
    <x:row r="26">
      <x:c r="A26" s="194"/>
      <x:c r="B26" s="194"/>
      <x:c r="C26" s="194"/>
      <x:c r="D26" s="194"/>
      <x:c r="E26" s="194"/>
      <x:c r="F26" s="194"/>
      <x:c r="G26" s="194"/>
      <x:c r="H26" s="194"/>
      <x:c r="I26" s="194"/>
      <x:c r="J26" s="194"/>
    </x:row>
    <x:row r="27">
      <x:c r="A27" s="194"/>
      <x:c r="B27" s="194"/>
      <x:c r="C27" s="194"/>
      <x:c r="D27" s="194"/>
      <x:c r="E27" s="194"/>
      <x:c r="F27" s="194"/>
      <x:c r="G27" s="194"/>
      <x:c r="H27" s="194"/>
      <x:c r="I27" s="194"/>
      <x:c r="J27" s="194"/>
    </x:row>
    <x:row r="28" ht="20" customHeight="1">
      <x:c r="A28" s="17" t="str">
        <x:v>判定阈值与示意校准</x:v>
      </x:c>
      <x:c r="B28" s="17"/>
      <x:c r="C28" s="17"/>
      <x:c r="D28" s="17"/>
      <x:c r="E28" s="17"/>
      <x:c r="F28" s="17"/>
      <x:c r="G28" s="194"/>
      <x:c r="H28" s="194"/>
      <x:c r="I28" s="194"/>
      <x:c r="J28" s="194"/>
    </x:row>
    <x:row r="29">
      <x:c r="A29" s="27" t="str">
        <x:v>参数</x:v>
      </x:c>
      <x:c r="B29" s="27" t="str">
        <x:v>当前值</x:v>
      </x:c>
      <x:c r="C29" s="27" t="str">
        <x:v>单位</x:v>
      </x:c>
      <x:c r="D29" s="27" t="str">
        <x:v>说明</x:v>
      </x:c>
      <x:c r="E29" s="27" t="str"/>
      <x:c r="F29" s="27" t="str"/>
      <x:c r="G29" s="194"/>
      <x:c r="H29" s="194"/>
      <x:c r="I29" s="194"/>
      <x:c r="J29" s="194"/>
    </x:row>
    <x:row r="30">
      <x:c r="A30" s="194" t="str">
        <x:v>方向中性带</x:v>
      </x:c>
      <x:c r="B30" s="198" t="n">
        <x:v>0.5</x:v>
      </x:c>
      <x:c r="C30" s="194" t="str">
        <x:v>score</x:v>
      </x:c>
      <x:c r="D30" s="194" t="str">
        <x:v>绝对综合分低于该值视为无明确方向</x:v>
      </x:c>
      <x:c r="E30" s="194" t="str"/>
      <x:c r="F30" s="194" t="str"/>
      <x:c r="G30" s="194"/>
      <x:c r="H30" s="194"/>
      <x:c r="I30" s="194"/>
      <x:c r="J30" s="194"/>
    </x:row>
    <x:row r="31">
      <x:c r="A31" s="194" t="str">
        <x:v>强方向阈值</x:v>
      </x:c>
      <x:c r="B31" s="198" t="n">
        <x:v>1.25</x:v>
      </x:c>
      <x:c r="C31" s="194" t="str">
        <x:v>score</x:v>
      </x:c>
      <x:c r="D31" s="194" t="str">
        <x:v>绝对综合分高于该值视为强方向</x:v>
      </x:c>
      <x:c r="E31" s="194" t="str"/>
      <x:c r="F31" s="194" t="str"/>
      <x:c r="G31" s="194"/>
      <x:c r="H31" s="194"/>
      <x:c r="I31" s="194"/>
      <x:c r="J31" s="194"/>
    </x:row>
    <x:row r="32">
      <x:c r="A32" s="194" t="str">
        <x:v>高波动阈值</x:v>
      </x:c>
      <x:c r="B32" s="198" t="n">
        <x:v>1.5</x:v>
      </x:c>
      <x:c r="C32" s="194" t="str">
        <x:v>risk</x:v>
      </x:c>
      <x:c r="D32" s="194" t="str">
        <x:v>风险分高于该值视为高波动</x:v>
      </x:c>
      <x:c r="E32" s="194" t="str"/>
      <x:c r="F32" s="194" t="str"/>
      <x:c r="G32" s="194"/>
      <x:c r="H32" s="194"/>
      <x:c r="I32" s="194"/>
      <x:c r="J32" s="194"/>
    </x:row>
    <x:row r="33">
      <x:c r="A33" s="194" t="str">
        <x:v>极端波动阈值</x:v>
      </x:c>
      <x:c r="B33" s="198" t="n">
        <x:v>2.25</x:v>
      </x:c>
      <x:c r="C33" s="194" t="str">
        <x:v>risk</x:v>
      </x:c>
      <x:c r="D33" s="194" t="str">
        <x:v>风险分高于该值视为极端波动</x:v>
      </x:c>
      <x:c r="E33" s="194" t="str"/>
      <x:c r="F33" s="194" t="str"/>
      <x:c r="G33" s="194"/>
      <x:c r="H33" s="194"/>
      <x:c r="I33" s="194"/>
      <x:c r="J33" s="194"/>
    </x:row>
    <x:row r="34">
      <x:c r="A34" s="194" t="str">
        <x:v>1分对应的5分钟收益</x:v>
      </x:c>
      <x:c r="B34" s="199" t="n">
        <x:v>0.0015</x:v>
      </x:c>
      <x:c r="C34" s="194" t="str">
        <x:v>%</x:v>
      </x:c>
      <x:c r="D34" s="194" t="str">
        <x:v>仅用于示意，需用回测回归校准</x:v>
      </x:c>
      <x:c r="E34" s="194" t="str"/>
      <x:c r="F34" s="194" t="str"/>
      <x:c r="G34" s="194"/>
      <x:c r="H34" s="194"/>
      <x:c r="I34" s="194"/>
      <x:c r="J34" s="194"/>
    </x:row>
    <x:row r="35">
      <x:c r="A35" s="194" t="str">
        <x:v>基准5分钟绝对波动</x:v>
      </x:c>
      <x:c r="B35" s="199" t="n">
        <x:v>0.002</x:v>
      </x:c>
      <x:c r="C35" s="194" t="str">
        <x:v>%</x:v>
      </x:c>
      <x:c r="D35" s="194" t="str">
        <x:v>用于估算绝对波动区间</x:v>
      </x:c>
      <x:c r="E35" s="194" t="str"/>
      <x:c r="F35" s="194" t="str"/>
      <x:c r="G35" s="194"/>
      <x:c r="H35" s="194"/>
      <x:c r="I35" s="194"/>
      <x:c r="J35" s="194"/>
    </x:row>
    <x:row r="36">
      <x:c r="A36" s="194" t="str">
        <x:v>风险分放大系数</x:v>
      </x:c>
      <x:c r="B36" s="199" t="n">
        <x:v>0.75</x:v>
      </x:c>
      <x:c r="C36" s="194" t="str">
        <x:v>x</x:v>
      </x:c>
      <x:c r="D36" s="194" t="str">
        <x:v>估算绝对波动时使用</x:v>
      </x:c>
      <x:c r="E36" s="194" t="str"/>
      <x:c r="F36" s="194" t="str"/>
      <x:c r="G36" s="194"/>
      <x:c r="H36" s="194"/>
      <x:c r="I36" s="194"/>
      <x:c r="J36" s="194"/>
    </x:row>
    <x:row r="37">
      <x:c r="A37" s="194" t="str">
        <x:v>实际方向噪声带</x:v>
      </x:c>
      <x:c r="B37" s="199" t="n">
        <x:v>0.0005</x:v>
      </x:c>
      <x:c r="C37" s="194" t="str">
        <x:v>%</x:v>
      </x:c>
      <x:c r="D37" s="194" t="str">
        <x:v>回测时低于该幅度视为中性</x:v>
      </x:c>
      <x:c r="E37" s="194" t="str"/>
      <x:c r="F37" s="194" t="str"/>
      <x:c r="G37" s="194"/>
      <x:c r="H37" s="194"/>
      <x:c r="I37" s="194"/>
      <x:c r="J37" s="194"/>
    </x:row>
  </x:sheetData>
  <x:mergeCells>
    <x:mergeCell ref="A2:J2"/>
    <x:mergeCell ref="A28:F28"/>
    <x:mergeCell ref="A1:K1"/>
    <x:mergeCell ref="A4:K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  <x:col min="8" max="8" width="8" hidden="0" customWidth="1"/>
    <x:col min="9" max="9" width="14" hidden="0" customWidth="1"/>
    <x:col min="10" max="10" width="12" hidden="0" customWidth="1"/>
    <x:col min="11" max="11" width="16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24" hidden="0" customWidth="1"/>
  </x:cols>
  <x:sheetData>
    <x:row r="1" ht="28" customHeight="1">
      <x:c r="A1" s="5" t="str">
        <x:v>BTC 5分钟历史回测模板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2">
      <x:c r="A2" s="11" t="str">
        <x:v>每行代表一个5分钟窗口。S01~S20填入已标准化的方向分（-3~+3）；风险型信号S05/S08填入0~3。权重按参数表自动计算。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</x:row>
    <x:row r="4">
      <x:c r="A4" s="27" t="str">
        <x:v>时间戳</x:v>
      </x:c>
      <x:c r="B4" s="27" t="str">
        <x:v>市场状态</x:v>
      </x:c>
      <x:c r="C4" s="27" t="str">
        <x:v>实际5分钟收益</x:v>
      </x:c>
      <x:c r="D4" s="27" t="str">
        <x:v>综合方向分</x:v>
      </x:c>
      <x:c r="E4" s="27" t="str">
        <x:v>波动风险</x:v>
      </x:c>
      <x:c r="F4" s="27" t="str">
        <x:v>预测方向</x:v>
      </x:c>
      <x:c r="G4" s="27" t="str">
        <x:v>实际方向</x:v>
      </x:c>
      <x:c r="H4" s="27" t="str">
        <x:v>命中</x:v>
      </x:c>
      <x:c r="I4" s="27" t="str">
        <x:v>示意预测收益</x:v>
      </x:c>
      <x:c r="J4" s="27" t="str">
        <x:v>绝对误差</x:v>
      </x:c>
      <x:c r="K4" s="27" t="str">
        <x:v>主导机制</x:v>
      </x:c>
      <x:c r="L4" s="27" t="str">
        <x:v>S01</x:v>
      </x:c>
      <x:c r="M4" s="27" t="str">
        <x:v>S02</x:v>
      </x:c>
      <x:c r="N4" s="27" t="str">
        <x:v>S03</x:v>
      </x:c>
      <x:c r="O4" s="27" t="str">
        <x:v>S04</x:v>
      </x:c>
      <x:c r="P4" s="27" t="str">
        <x:v>S05</x:v>
      </x:c>
      <x:c r="Q4" s="27" t="str">
        <x:v>S06</x:v>
      </x:c>
      <x:c r="R4" s="27" t="str">
        <x:v>S07</x:v>
      </x:c>
      <x:c r="S4" s="27" t="str">
        <x:v>S08</x:v>
      </x:c>
      <x:c r="T4" s="27" t="str">
        <x:v>S09</x:v>
      </x:c>
      <x:c r="U4" s="27" t="str">
        <x:v>S10</x:v>
      </x:c>
      <x:c r="V4" s="27" t="str">
        <x:v>S11</x:v>
      </x:c>
      <x:c r="W4" s="27" t="str">
        <x:v>S12</x:v>
      </x:c>
      <x:c r="X4" s="27" t="str">
        <x:v>S13</x:v>
      </x:c>
      <x:c r="Y4" s="27" t="str">
        <x:v>S14</x:v>
      </x:c>
      <x:c r="Z4" s="27" t="str">
        <x:v>S15</x:v>
      </x:c>
      <x:c r="AA4" s="27" t="str">
        <x:v>S16</x:v>
      </x:c>
      <x:c r="AB4" s="27" t="str">
        <x:v>S17</x:v>
      </x:c>
      <x:c r="AC4" s="27" t="str">
        <x:v>S18</x:v>
      </x:c>
      <x:c r="AD4" s="27" t="str">
        <x:v>S19</x:v>
      </x:c>
      <x:c r="AE4" s="27" t="str">
        <x:v>S20</x:v>
      </x:c>
      <x:c r="AF4" s="27" t="str">
        <x:v>备注</x:v>
      </x:c>
    </x:row>
    <x:row r="5">
      <x:c r="A5" s="238"/>
      <x:c r="B5" s="215" t="str">
        <x:v>正常</x:v>
      </x:c>
      <x:c r="C5" s="199"/>
      <x:c r="D5" s="223" t="str">
        <x:f>IF(COUNTA(L5:AE5)=0,"",SUMPRODUCT(L5:AE5,'参数'!$C$6:$C$25,'参数'!$D$6:$D$25,INDEX('参数'!$E$6:$J$25,0,MATCH(B5,'参数'!$E$5:$J$5,0)),'参数'!$K$6:$K$25)/SUMPRODUCT('参数'!$C$6:$C$25,'参数'!$D$6:$D$25,INDEX('参数'!$E$6:$J$25,0,MATCH(B5,'参数'!$E$5:$J$5,0)),'参数'!$K$6:$K$25))</x:f>
      </x:c>
      <x:c r="E5" s="223" t="str">
        <x:f>IF(D5="","",SUMPRODUCT(ABS(L5:AE5),'参数'!$C$6:$C$25,'参数'!$D$6:$D$25,INDEX('参数'!$E$6:$J$25,0,MATCH(B5,'参数'!$E$5:$J$5,0)))/SUMPRODUCT('参数'!$C$6:$C$25,'参数'!$D$6:$D$25,INDEX('参数'!$E$6:$J$25,0,MATCH(B5,'参数'!$E$5:$J$5,0))))</x:f>
      </x:c>
      <x:c r="F5" s="194" t="str">
        <x:f>IF(D5="","",IF(D5&gt;='参数'!$B$30,1,IF(D5&lt;=-'参数'!$B$30,-1,0)))</x:f>
      </x:c>
      <x:c r="G5" s="194" t="str">
        <x:f>IF(C5="","",IF(C5&gt;='参数'!$B$37,1,IF(C5&lt;=-'参数'!$B$37,-1,0)))</x:f>
      </x:c>
      <x:c r="H5" s="194" t="str">
        <x:f>IF(OR(F5="",G5=""),"",--(F5=G5))</x:f>
      </x:c>
      <x:c r="I5" s="214" t="str">
        <x:f>IF(D5="","",D5*'参数'!$B$34)</x:f>
      </x:c>
      <x:c r="J5" s="214" t="str">
        <x:f>IF(OR(C5="",I5=""),"",ABS(C5-I5))</x:f>
      </x:c>
      <x:c r="K5" s="194" t="str">
        <x:f>IF(D5="","",IF(MAX(ABS(SUM(L5:M5)),ABS(SUM(N5:P5)),ABS(Q5),ABS(SUM(R5:T5)),ABS(SUM(U5:V5)),ABS(SUM(W5:Y5)),ABS(SUM(Z5:AB5)),ABS(SUM(AC5:AE5)))=ABS(SUM(L5:M5)),"订单流",IF(MAX(ABS(SUM(L5:M5)),ABS(SUM(N5:P5)),ABS(Q5),ABS(SUM(R5:T5)),ABS(SUM(U5:V5)),ABS(SUM(W5:Y5)),ABS(SUM(Z5:AB5)),ABS(SUM(AC5:AE5)))=ABS(SUM(N5:P5)),"流动性",IF(MAX(ABS(SUM(L5:M5)),ABS(SUM(N5:P5)),ABS(Q5),ABS(SUM(R5:T5)),ABS(SUM(U5:V5)),ABS(SUM(W5:Y5)),ABS(SUM(Z5:AB5)),ABS(SUM(AC5:AE5)))=ABS(Q5),"价格行为",IF(MAX(ABS(SUM(L5:M5)),ABS(SUM(N5:P5)),ABS(Q5),ABS(SUM(R5:T5)),ABS(SUM(U5:V5)),ABS(SUM(W5:Y5)),ABS(SUM(Z5:AB5)),ABS(SUM(AC5:AE5)))=ABS(SUM(R5:T5)),"杠杆/清算",IF(MAX(ABS(SUM(L5:M5)),ABS(SUM(N5:P5)),ABS(Q5),ABS(SUM(R5:T5)),ABS(SUM(U5:V5)),ABS(SUM(W5:Y5)),ABS(SUM(Z5:AB5)),ABS(SUM(AC5:AE5)))=ABS(SUM(U5:V5)),"衍生品",IF(MAX(ABS(SUM(L5:M5)),ABS(SUM(N5:P5)),ABS(Q5),ABS(SUM(R5:T5)),ABS(SUM(U5:V5)),ABS(SUM(W5:Y5)),ABS(SUM(Z5:AB5)),ABS(SUM(AC5:AE5)))=ABS(SUM(W5:Y5)),"跨市场",IF(MAX(ABS(SUM(L5:M5)),ABS(SUM(N5:P5)),ABS(Q5),ABS(SUM(R5:T5)),ABS(SUM(U5:V5)),ABS(SUM(W5:Y5)),ABS(SUM(Z5:AB5)),ABS(SUM(AC5:AE5)))=ABS(SUM(Z5:AB5)),"宏观代理","事件"))))))))</x:f>
      </x:c>
      <x:c r="L5" s="198"/>
      <x:c r="M5" s="198"/>
      <x:c r="N5" s="198"/>
      <x:c r="O5" s="198"/>
      <x:c r="P5" s="198"/>
      <x:c r="Q5" s="198"/>
      <x:c r="R5" s="198"/>
      <x:c r="S5" s="198"/>
      <x:c r="T5" s="198"/>
      <x:c r="U5" s="198"/>
      <x:c r="V5" s="198"/>
      <x:c r="W5" s="198"/>
      <x:c r="X5" s="198"/>
      <x:c r="Y5" s="198"/>
      <x:c r="Z5" s="198"/>
      <x:c r="AA5" s="198"/>
      <x:c r="AB5" s="198"/>
      <x:c r="AC5" s="198"/>
      <x:c r="AD5" s="198"/>
      <x:c r="AE5" s="198"/>
      <x:c r="AF5" s="215"/>
    </x:row>
    <x:row r="6">
      <x:c r="A6" s="238"/>
      <x:c r="B6" s="215" t="str">
        <x:v>正常</x:v>
      </x:c>
      <x:c r="C6" s="199"/>
      <x:c r="D6" s="223" t="str">
        <x:f>IF(COUNTA(L6:AE6)=0,"",SUMPRODUCT(L6:AE6,'参数'!$C$6:$C$25,'参数'!$D$6:$D$25,INDEX('参数'!$E$6:$J$25,0,MATCH(B6,'参数'!$E$5:$J$5,0)),'参数'!$K$6:$K$25)/SUMPRODUCT('参数'!$C$6:$C$25,'参数'!$D$6:$D$25,INDEX('参数'!$E$6:$J$25,0,MATCH(B6,'参数'!$E$5:$J$5,0)),'参数'!$K$6:$K$25))</x:f>
      </x:c>
      <x:c r="E6" s="223" t="str">
        <x:f>IF(D6="","",SUMPRODUCT(ABS(L6:AE6),'参数'!$C$6:$C$25,'参数'!$D$6:$D$25,INDEX('参数'!$E$6:$J$25,0,MATCH(B6,'参数'!$E$5:$J$5,0)))/SUMPRODUCT('参数'!$C$6:$C$25,'参数'!$D$6:$D$25,INDEX('参数'!$E$6:$J$25,0,MATCH(B6,'参数'!$E$5:$J$5,0))))</x:f>
      </x:c>
      <x:c r="F6" s="194" t="str">
        <x:f>IF(D6="","",IF(D6&gt;='参数'!$B$30,1,IF(D6&lt;=-'参数'!$B$30,-1,0)))</x:f>
      </x:c>
      <x:c r="G6" s="194" t="str">
        <x:f>IF(C6="","",IF(C6&gt;='参数'!$B$37,1,IF(C6&lt;=-'参数'!$B$37,-1,0)))</x:f>
      </x:c>
      <x:c r="H6" s="194" t="str">
        <x:f>IF(OR(F6="",G6=""),"",--(F6=G6))</x:f>
      </x:c>
      <x:c r="I6" s="214" t="str">
        <x:f>IF(D6="","",D6*'参数'!$B$34)</x:f>
      </x:c>
      <x:c r="J6" s="214" t="str">
        <x:f>IF(OR(C6="",I6=""),"",ABS(C6-I6))</x:f>
      </x:c>
      <x:c r="K6" s="194" t="str">
        <x:f>IF(D6="","",IF(MAX(ABS(SUM(L6:M6)),ABS(SUM(N6:P6)),ABS(Q6),ABS(SUM(R6:T6)),ABS(SUM(U6:V6)),ABS(SUM(W6:Y6)),ABS(SUM(Z6:AB6)),ABS(SUM(AC6:AE6)))=ABS(SUM(L6:M6)),"订单流",IF(MAX(ABS(SUM(L6:M6)),ABS(SUM(N6:P6)),ABS(Q6),ABS(SUM(R6:T6)),ABS(SUM(U6:V6)),ABS(SUM(W6:Y6)),ABS(SUM(Z6:AB6)),ABS(SUM(AC6:AE6)))=ABS(SUM(N6:P6)),"流动性",IF(MAX(ABS(SUM(L6:M6)),ABS(SUM(N6:P6)),ABS(Q6),ABS(SUM(R6:T6)),ABS(SUM(U6:V6)),ABS(SUM(W6:Y6)),ABS(SUM(Z6:AB6)),ABS(SUM(AC6:AE6)))=ABS(Q6),"价格行为",IF(MAX(ABS(SUM(L6:M6)),ABS(SUM(N6:P6)),ABS(Q6),ABS(SUM(R6:T6)),ABS(SUM(U6:V6)),ABS(SUM(W6:Y6)),ABS(SUM(Z6:AB6)),ABS(SUM(AC6:AE6)))=ABS(SUM(R6:T6)),"杠杆/清算",IF(MAX(ABS(SUM(L6:M6)),ABS(SUM(N6:P6)),ABS(Q6),ABS(SUM(R6:T6)),ABS(SUM(U6:V6)),ABS(SUM(W6:Y6)),ABS(SUM(Z6:AB6)),ABS(SUM(AC6:AE6)))=ABS(SUM(U6:V6)),"衍生品",IF(MAX(ABS(SUM(L6:M6)),ABS(SUM(N6:P6)),ABS(Q6),ABS(SUM(R6:T6)),ABS(SUM(U6:V6)),ABS(SUM(W6:Y6)),ABS(SUM(Z6:AB6)),ABS(SUM(AC6:AE6)))=ABS(SUM(W6:Y6)),"跨市场",IF(MAX(ABS(SUM(L6:M6)),ABS(SUM(N6:P6)),ABS(Q6),ABS(SUM(R6:T6)),ABS(SUM(U6:V6)),ABS(SUM(W6:Y6)),ABS(SUM(Z6:AB6)),ABS(SUM(AC6:AE6)))=ABS(SUM(Z6:AB6)),"宏观代理","事件"))))))))</x:f>
      </x:c>
      <x:c r="L6" s="198"/>
      <x:c r="M6" s="198"/>
      <x:c r="N6" s="198"/>
      <x:c r="O6" s="198"/>
      <x:c r="P6" s="198"/>
      <x:c r="Q6" s="198"/>
      <x:c r="R6" s="198"/>
      <x:c r="S6" s="198"/>
      <x:c r="T6" s="198"/>
      <x:c r="U6" s="198"/>
      <x:c r="V6" s="198"/>
      <x:c r="W6" s="198"/>
      <x:c r="X6" s="198"/>
      <x:c r="Y6" s="198"/>
      <x:c r="Z6" s="198"/>
      <x:c r="AA6" s="198"/>
      <x:c r="AB6" s="198"/>
      <x:c r="AC6" s="198"/>
      <x:c r="AD6" s="198"/>
      <x:c r="AE6" s="198"/>
      <x:c r="AF6" s="215"/>
    </x:row>
    <x:row r="7">
      <x:c r="A7" s="238"/>
      <x:c r="B7" s="215" t="str">
        <x:v>正常</x:v>
      </x:c>
      <x:c r="C7" s="199"/>
      <x:c r="D7" s="223" t="str">
        <x:f>IF(COUNTA(L7:AE7)=0,"",SUMPRODUCT(L7:AE7,'参数'!$C$6:$C$25,'参数'!$D$6:$D$25,INDEX('参数'!$E$6:$J$25,0,MATCH(B7,'参数'!$E$5:$J$5,0)),'参数'!$K$6:$K$25)/SUMPRODUCT('参数'!$C$6:$C$25,'参数'!$D$6:$D$25,INDEX('参数'!$E$6:$J$25,0,MATCH(B7,'参数'!$E$5:$J$5,0)),'参数'!$K$6:$K$25))</x:f>
      </x:c>
      <x:c r="E7" s="223" t="str">
        <x:f>IF(D7="","",SUMPRODUCT(ABS(L7:AE7),'参数'!$C$6:$C$25,'参数'!$D$6:$D$25,INDEX('参数'!$E$6:$J$25,0,MATCH(B7,'参数'!$E$5:$J$5,0)))/SUMPRODUCT('参数'!$C$6:$C$25,'参数'!$D$6:$D$25,INDEX('参数'!$E$6:$J$25,0,MATCH(B7,'参数'!$E$5:$J$5,0))))</x:f>
      </x:c>
      <x:c r="F7" s="194" t="str">
        <x:f>IF(D7="","",IF(D7&gt;='参数'!$B$30,1,IF(D7&lt;=-'参数'!$B$30,-1,0)))</x:f>
      </x:c>
      <x:c r="G7" s="194" t="str">
        <x:f>IF(C7="","",IF(C7&gt;='参数'!$B$37,1,IF(C7&lt;=-'参数'!$B$37,-1,0)))</x:f>
      </x:c>
      <x:c r="H7" s="194" t="str">
        <x:f>IF(OR(F7="",G7=""),"",--(F7=G7))</x:f>
      </x:c>
      <x:c r="I7" s="214" t="str">
        <x:f>IF(D7="","",D7*'参数'!$B$34)</x:f>
      </x:c>
      <x:c r="J7" s="214" t="str">
        <x:f>IF(OR(C7="",I7=""),"",ABS(C7-I7))</x:f>
      </x:c>
      <x:c r="K7" s="194" t="str">
        <x:f>IF(D7="","",IF(MAX(ABS(SUM(L7:M7)),ABS(SUM(N7:P7)),ABS(Q7),ABS(SUM(R7:T7)),ABS(SUM(U7:V7)),ABS(SUM(W7:Y7)),ABS(SUM(Z7:AB7)),ABS(SUM(AC7:AE7)))=ABS(SUM(L7:M7)),"订单流",IF(MAX(ABS(SUM(L7:M7)),ABS(SUM(N7:P7)),ABS(Q7),ABS(SUM(R7:T7)),ABS(SUM(U7:V7)),ABS(SUM(W7:Y7)),ABS(SUM(Z7:AB7)),ABS(SUM(AC7:AE7)))=ABS(SUM(N7:P7)),"流动性",IF(MAX(ABS(SUM(L7:M7)),ABS(SUM(N7:P7)),ABS(Q7),ABS(SUM(R7:T7)),ABS(SUM(U7:V7)),ABS(SUM(W7:Y7)),ABS(SUM(Z7:AB7)),ABS(SUM(AC7:AE7)))=ABS(Q7),"价格行为",IF(MAX(ABS(SUM(L7:M7)),ABS(SUM(N7:P7)),ABS(Q7),ABS(SUM(R7:T7)),ABS(SUM(U7:V7)),ABS(SUM(W7:Y7)),ABS(SUM(Z7:AB7)),ABS(SUM(AC7:AE7)))=ABS(SUM(R7:T7)),"杠杆/清算",IF(MAX(ABS(SUM(L7:M7)),ABS(SUM(N7:P7)),ABS(Q7),ABS(SUM(R7:T7)),ABS(SUM(U7:V7)),ABS(SUM(W7:Y7)),ABS(SUM(Z7:AB7)),ABS(SUM(AC7:AE7)))=ABS(SUM(U7:V7)),"衍生品",IF(MAX(ABS(SUM(L7:M7)),ABS(SUM(N7:P7)),ABS(Q7),ABS(SUM(R7:T7)),ABS(SUM(U7:V7)),ABS(SUM(W7:Y7)),ABS(SUM(Z7:AB7)),ABS(SUM(AC7:AE7)))=ABS(SUM(W7:Y7)),"跨市场",IF(MAX(ABS(SUM(L7:M7)),ABS(SUM(N7:P7)),ABS(Q7),ABS(SUM(R7:T7)),ABS(SUM(U7:V7)),ABS(SUM(W7:Y7)),ABS(SUM(Z7:AB7)),ABS(SUM(AC7:AE7)))=ABS(SUM(Z7:AB7)),"宏观代理","事件"))))))))</x:f>
      </x:c>
      <x:c r="L7" s="198"/>
      <x:c r="M7" s="198"/>
      <x:c r="N7" s="198"/>
      <x:c r="O7" s="198"/>
      <x:c r="P7" s="198"/>
      <x:c r="Q7" s="198"/>
      <x:c r="R7" s="198"/>
      <x:c r="S7" s="198"/>
      <x:c r="T7" s="198"/>
      <x:c r="U7" s="198"/>
      <x:c r="V7" s="198"/>
      <x:c r="W7" s="198"/>
      <x:c r="X7" s="198"/>
      <x:c r="Y7" s="198"/>
      <x:c r="Z7" s="198"/>
      <x:c r="AA7" s="198"/>
      <x:c r="AB7" s="198"/>
      <x:c r="AC7" s="198"/>
      <x:c r="AD7" s="198"/>
      <x:c r="AE7" s="198"/>
      <x:c r="AF7" s="215"/>
    </x:row>
    <x:row r="8">
      <x:c r="A8" s="238"/>
      <x:c r="B8" s="215" t="str">
        <x:v>正常</x:v>
      </x:c>
      <x:c r="C8" s="199"/>
      <x:c r="D8" s="223" t="str">
        <x:f>IF(COUNTA(L8:AE8)=0,"",SUMPRODUCT(L8:AE8,'参数'!$C$6:$C$25,'参数'!$D$6:$D$25,INDEX('参数'!$E$6:$J$25,0,MATCH(B8,'参数'!$E$5:$J$5,0)),'参数'!$K$6:$K$25)/SUMPRODUCT('参数'!$C$6:$C$25,'参数'!$D$6:$D$25,INDEX('参数'!$E$6:$J$25,0,MATCH(B8,'参数'!$E$5:$J$5,0)),'参数'!$K$6:$K$25))</x:f>
      </x:c>
      <x:c r="E8" s="223" t="str">
        <x:f>IF(D8="","",SUMPRODUCT(ABS(L8:AE8),'参数'!$C$6:$C$25,'参数'!$D$6:$D$25,INDEX('参数'!$E$6:$J$25,0,MATCH(B8,'参数'!$E$5:$J$5,0)))/SUMPRODUCT('参数'!$C$6:$C$25,'参数'!$D$6:$D$25,INDEX('参数'!$E$6:$J$25,0,MATCH(B8,'参数'!$E$5:$J$5,0))))</x:f>
      </x:c>
      <x:c r="F8" s="194" t="str">
        <x:f>IF(D8="","",IF(D8&gt;='参数'!$B$30,1,IF(D8&lt;=-'参数'!$B$30,-1,0)))</x:f>
      </x:c>
      <x:c r="G8" s="194" t="str">
        <x:f>IF(C8="","",IF(C8&gt;='参数'!$B$37,1,IF(C8&lt;=-'参数'!$B$37,-1,0)))</x:f>
      </x:c>
      <x:c r="H8" s="194" t="str">
        <x:f>IF(OR(F8="",G8=""),"",--(F8=G8))</x:f>
      </x:c>
      <x:c r="I8" s="214" t="str">
        <x:f>IF(D8="","",D8*'参数'!$B$34)</x:f>
      </x:c>
      <x:c r="J8" s="214" t="str">
        <x:f>IF(OR(C8="",I8=""),"",ABS(C8-I8))</x:f>
      </x:c>
      <x:c r="K8" s="194" t="str">
        <x:f>IF(D8="","",IF(MAX(ABS(SUM(L8:M8)),ABS(SUM(N8:P8)),ABS(Q8),ABS(SUM(R8:T8)),ABS(SUM(U8:V8)),ABS(SUM(W8:Y8)),ABS(SUM(Z8:AB8)),ABS(SUM(AC8:AE8)))=ABS(SUM(L8:M8)),"订单流",IF(MAX(ABS(SUM(L8:M8)),ABS(SUM(N8:P8)),ABS(Q8),ABS(SUM(R8:T8)),ABS(SUM(U8:V8)),ABS(SUM(W8:Y8)),ABS(SUM(Z8:AB8)),ABS(SUM(AC8:AE8)))=ABS(SUM(N8:P8)),"流动性",IF(MAX(ABS(SUM(L8:M8)),ABS(SUM(N8:P8)),ABS(Q8),ABS(SUM(R8:T8)),ABS(SUM(U8:V8)),ABS(SUM(W8:Y8)),ABS(SUM(Z8:AB8)),ABS(SUM(AC8:AE8)))=ABS(Q8),"价格行为",IF(MAX(ABS(SUM(L8:M8)),ABS(SUM(N8:P8)),ABS(Q8),ABS(SUM(R8:T8)),ABS(SUM(U8:V8)),ABS(SUM(W8:Y8)),ABS(SUM(Z8:AB8)),ABS(SUM(AC8:AE8)))=ABS(SUM(R8:T8)),"杠杆/清算",IF(MAX(ABS(SUM(L8:M8)),ABS(SUM(N8:P8)),ABS(Q8),ABS(SUM(R8:T8)),ABS(SUM(U8:V8)),ABS(SUM(W8:Y8)),ABS(SUM(Z8:AB8)),ABS(SUM(AC8:AE8)))=ABS(SUM(U8:V8)),"衍生品",IF(MAX(ABS(SUM(L8:M8)),ABS(SUM(N8:P8)),ABS(Q8),ABS(SUM(R8:T8)),ABS(SUM(U8:V8)),ABS(SUM(W8:Y8)),ABS(SUM(Z8:AB8)),ABS(SUM(AC8:AE8)))=ABS(SUM(W8:Y8)),"跨市场",IF(MAX(ABS(SUM(L8:M8)),ABS(SUM(N8:P8)),ABS(Q8),ABS(SUM(R8:T8)),ABS(SUM(U8:V8)),ABS(SUM(W8:Y8)),ABS(SUM(Z8:AB8)),ABS(SUM(AC8:AE8)))=ABS(SUM(Z8:AB8)),"宏观代理","事件"))))))))</x:f>
      </x:c>
      <x:c r="L8" s="198"/>
      <x:c r="M8" s="198"/>
      <x:c r="N8" s="198"/>
      <x:c r="O8" s="198"/>
      <x:c r="P8" s="198"/>
      <x:c r="Q8" s="198"/>
      <x:c r="R8" s="198"/>
      <x:c r="S8" s="198"/>
      <x:c r="T8" s="198"/>
      <x:c r="U8" s="198"/>
      <x:c r="V8" s="198"/>
      <x:c r="W8" s="198"/>
      <x:c r="X8" s="198"/>
      <x:c r="Y8" s="198"/>
      <x:c r="Z8" s="198"/>
      <x:c r="AA8" s="198"/>
      <x:c r="AB8" s="198"/>
      <x:c r="AC8" s="198"/>
      <x:c r="AD8" s="198"/>
      <x:c r="AE8" s="198"/>
      <x:c r="AF8" s="215"/>
    </x:row>
    <x:row r="9">
      <x:c r="A9" s="238"/>
      <x:c r="B9" s="215" t="str">
        <x:v>正常</x:v>
      </x:c>
      <x:c r="C9" s="199"/>
      <x:c r="D9" s="223" t="str">
        <x:f>IF(COUNTA(L9:AE9)=0,"",SUMPRODUCT(L9:AE9,'参数'!$C$6:$C$25,'参数'!$D$6:$D$25,INDEX('参数'!$E$6:$J$25,0,MATCH(B9,'参数'!$E$5:$J$5,0)),'参数'!$K$6:$K$25)/SUMPRODUCT('参数'!$C$6:$C$25,'参数'!$D$6:$D$25,INDEX('参数'!$E$6:$J$25,0,MATCH(B9,'参数'!$E$5:$J$5,0)),'参数'!$K$6:$K$25))</x:f>
      </x:c>
      <x:c r="E9" s="223" t="str">
        <x:f>IF(D9="","",SUMPRODUCT(ABS(L9:AE9),'参数'!$C$6:$C$25,'参数'!$D$6:$D$25,INDEX('参数'!$E$6:$J$25,0,MATCH(B9,'参数'!$E$5:$J$5,0)))/SUMPRODUCT('参数'!$C$6:$C$25,'参数'!$D$6:$D$25,INDEX('参数'!$E$6:$J$25,0,MATCH(B9,'参数'!$E$5:$J$5,0))))</x:f>
      </x:c>
      <x:c r="F9" s="194" t="str">
        <x:f>IF(D9="","",IF(D9&gt;='参数'!$B$30,1,IF(D9&lt;=-'参数'!$B$30,-1,0)))</x:f>
      </x:c>
      <x:c r="G9" s="194" t="str">
        <x:f>IF(C9="","",IF(C9&gt;='参数'!$B$37,1,IF(C9&lt;=-'参数'!$B$37,-1,0)))</x:f>
      </x:c>
      <x:c r="H9" s="194" t="str">
        <x:f>IF(OR(F9="",G9=""),"",--(F9=G9))</x:f>
      </x:c>
      <x:c r="I9" s="214" t="str">
        <x:f>IF(D9="","",D9*'参数'!$B$34)</x:f>
      </x:c>
      <x:c r="J9" s="214" t="str">
        <x:f>IF(OR(C9="",I9=""),"",ABS(C9-I9))</x:f>
      </x:c>
      <x:c r="K9" s="194" t="str">
        <x:f>IF(D9="","",IF(MAX(ABS(SUM(L9:M9)),ABS(SUM(N9:P9)),ABS(Q9),ABS(SUM(R9:T9)),ABS(SUM(U9:V9)),ABS(SUM(W9:Y9)),ABS(SUM(Z9:AB9)),ABS(SUM(AC9:AE9)))=ABS(SUM(L9:M9)),"订单流",IF(MAX(ABS(SUM(L9:M9)),ABS(SUM(N9:P9)),ABS(Q9),ABS(SUM(R9:T9)),ABS(SUM(U9:V9)),ABS(SUM(W9:Y9)),ABS(SUM(Z9:AB9)),ABS(SUM(AC9:AE9)))=ABS(SUM(N9:P9)),"流动性",IF(MAX(ABS(SUM(L9:M9)),ABS(SUM(N9:P9)),ABS(Q9),ABS(SUM(R9:T9)),ABS(SUM(U9:V9)),ABS(SUM(W9:Y9)),ABS(SUM(Z9:AB9)),ABS(SUM(AC9:AE9)))=ABS(Q9),"价格行为",IF(MAX(ABS(SUM(L9:M9)),ABS(SUM(N9:P9)),ABS(Q9),ABS(SUM(R9:T9)),ABS(SUM(U9:V9)),ABS(SUM(W9:Y9)),ABS(SUM(Z9:AB9)),ABS(SUM(AC9:AE9)))=ABS(SUM(R9:T9)),"杠杆/清算",IF(MAX(ABS(SUM(L9:M9)),ABS(SUM(N9:P9)),ABS(Q9),ABS(SUM(R9:T9)),ABS(SUM(U9:V9)),ABS(SUM(W9:Y9)),ABS(SUM(Z9:AB9)),ABS(SUM(AC9:AE9)))=ABS(SUM(U9:V9)),"衍生品",IF(MAX(ABS(SUM(L9:M9)),ABS(SUM(N9:P9)),ABS(Q9),ABS(SUM(R9:T9)),ABS(SUM(U9:V9)),ABS(SUM(W9:Y9)),ABS(SUM(Z9:AB9)),ABS(SUM(AC9:AE9)))=ABS(SUM(W9:Y9)),"跨市场",IF(MAX(ABS(SUM(L9:M9)),ABS(SUM(N9:P9)),ABS(Q9),ABS(SUM(R9:T9)),ABS(SUM(U9:V9)),ABS(SUM(W9:Y9)),ABS(SUM(Z9:AB9)),ABS(SUM(AC9:AE9)))=ABS(SUM(Z9:AB9)),"宏观代理","事件"))))))))</x:f>
      </x:c>
      <x:c r="L9" s="198"/>
      <x:c r="M9" s="198"/>
      <x:c r="N9" s="198"/>
      <x:c r="O9" s="198"/>
      <x:c r="P9" s="198"/>
      <x:c r="Q9" s="198"/>
      <x:c r="R9" s="198"/>
      <x:c r="S9" s="198"/>
      <x:c r="T9" s="198"/>
      <x:c r="U9" s="198"/>
      <x:c r="V9" s="198"/>
      <x:c r="W9" s="198"/>
      <x:c r="X9" s="198"/>
      <x:c r="Y9" s="198"/>
      <x:c r="Z9" s="198"/>
      <x:c r="AA9" s="198"/>
      <x:c r="AB9" s="198"/>
      <x:c r="AC9" s="198"/>
      <x:c r="AD9" s="198"/>
      <x:c r="AE9" s="198"/>
      <x:c r="AF9" s="215"/>
    </x:row>
    <x:row r="10">
      <x:c r="A10" s="238"/>
      <x:c r="B10" s="215" t="str">
        <x:v>正常</x:v>
      </x:c>
      <x:c r="C10" s="199"/>
      <x:c r="D10" s="223" t="str">
        <x:f>IF(COUNTA(L10:AE10)=0,"",SUMPRODUCT(L10:AE10,'参数'!$C$6:$C$25,'参数'!$D$6:$D$25,INDEX('参数'!$E$6:$J$25,0,MATCH(B10,'参数'!$E$5:$J$5,0)),'参数'!$K$6:$K$25)/SUMPRODUCT('参数'!$C$6:$C$25,'参数'!$D$6:$D$25,INDEX('参数'!$E$6:$J$25,0,MATCH(B10,'参数'!$E$5:$J$5,0)),'参数'!$K$6:$K$25))</x:f>
      </x:c>
      <x:c r="E10" s="223" t="str">
        <x:f>IF(D10="","",SUMPRODUCT(ABS(L10:AE10),'参数'!$C$6:$C$25,'参数'!$D$6:$D$25,INDEX('参数'!$E$6:$J$25,0,MATCH(B10,'参数'!$E$5:$J$5,0)))/SUMPRODUCT('参数'!$C$6:$C$25,'参数'!$D$6:$D$25,INDEX('参数'!$E$6:$J$25,0,MATCH(B10,'参数'!$E$5:$J$5,0))))</x:f>
      </x:c>
      <x:c r="F10" s="194" t="str">
        <x:f>IF(D10="","",IF(D10&gt;='参数'!$B$30,1,IF(D10&lt;=-'参数'!$B$30,-1,0)))</x:f>
      </x:c>
      <x:c r="G10" s="194" t="str">
        <x:f>IF(C10="","",IF(C10&gt;='参数'!$B$37,1,IF(C10&lt;=-'参数'!$B$37,-1,0)))</x:f>
      </x:c>
      <x:c r="H10" s="194" t="str">
        <x:f>IF(OR(F10="",G10=""),"",--(F10=G10))</x:f>
      </x:c>
      <x:c r="I10" s="214" t="str">
        <x:f>IF(D10="","",D10*'参数'!$B$34)</x:f>
      </x:c>
      <x:c r="J10" s="214" t="str">
        <x:f>IF(OR(C10="",I10=""),"",ABS(C10-I10))</x:f>
      </x:c>
      <x:c r="K10" s="194" t="str">
        <x:f>IF(D10="","",IF(MAX(ABS(SUM(L10:M10)),ABS(SUM(N10:P10)),ABS(Q10),ABS(SUM(R10:T10)),ABS(SUM(U10:V10)),ABS(SUM(W10:Y10)),ABS(SUM(Z10:AB10)),ABS(SUM(AC10:AE10)))=ABS(SUM(L10:M10)),"订单流",IF(MAX(ABS(SUM(L10:M10)),ABS(SUM(N10:P10)),ABS(Q10),ABS(SUM(R10:T10)),ABS(SUM(U10:V10)),ABS(SUM(W10:Y10)),ABS(SUM(Z10:AB10)),ABS(SUM(AC10:AE10)))=ABS(SUM(N10:P10)),"流动性",IF(MAX(ABS(SUM(L10:M10)),ABS(SUM(N10:P10)),ABS(Q10),ABS(SUM(R10:T10)),ABS(SUM(U10:V10)),ABS(SUM(W10:Y10)),ABS(SUM(Z10:AB10)),ABS(SUM(AC10:AE10)))=ABS(Q10),"价格行为",IF(MAX(ABS(SUM(L10:M10)),ABS(SUM(N10:P10)),ABS(Q10),ABS(SUM(R10:T10)),ABS(SUM(U10:V10)),ABS(SUM(W10:Y10)),ABS(SUM(Z10:AB10)),ABS(SUM(AC10:AE10)))=ABS(SUM(R10:T10)),"杠杆/清算",IF(MAX(ABS(SUM(L10:M10)),ABS(SUM(N10:P10)),ABS(Q10),ABS(SUM(R10:T10)),ABS(SUM(U10:V10)),ABS(SUM(W10:Y10)),ABS(SUM(Z10:AB10)),ABS(SUM(AC10:AE10)))=ABS(SUM(U10:V10)),"衍生品",IF(MAX(ABS(SUM(L10:M10)),ABS(SUM(N10:P10)),ABS(Q10),ABS(SUM(R10:T10)),ABS(SUM(U10:V10)),ABS(SUM(W10:Y10)),ABS(SUM(Z10:AB10)),ABS(SUM(AC10:AE10)))=ABS(SUM(W10:Y10)),"跨市场",IF(MAX(ABS(SUM(L10:M10)),ABS(SUM(N10:P10)),ABS(Q10),ABS(SUM(R10:T10)),ABS(SUM(U10:V10)),ABS(SUM(W10:Y10)),ABS(SUM(Z10:AB10)),ABS(SUM(AC10:AE10)))=ABS(SUM(Z10:AB10)),"宏观代理","事件"))))))))</x:f>
      </x:c>
      <x:c r="L10" s="198"/>
      <x:c r="M10" s="198"/>
      <x:c r="N10" s="198"/>
      <x:c r="O10" s="198"/>
      <x:c r="P10" s="198"/>
      <x:c r="Q10" s="198"/>
      <x:c r="R10" s="198"/>
      <x:c r="S10" s="198"/>
      <x:c r="T10" s="198"/>
      <x:c r="U10" s="198"/>
      <x:c r="V10" s="198"/>
      <x:c r="W10" s="198"/>
      <x:c r="X10" s="198"/>
      <x:c r="Y10" s="198"/>
      <x:c r="Z10" s="198"/>
      <x:c r="AA10" s="198"/>
      <x:c r="AB10" s="198"/>
      <x:c r="AC10" s="198"/>
      <x:c r="AD10" s="198"/>
      <x:c r="AE10" s="198"/>
      <x:c r="AF10" s="215"/>
    </x:row>
    <x:row r="11">
      <x:c r="A11" s="238"/>
      <x:c r="B11" s="215" t="str">
        <x:v>正常</x:v>
      </x:c>
      <x:c r="C11" s="199"/>
      <x:c r="D11" s="223" t="str">
        <x:f>IF(COUNTA(L11:AE11)=0,"",SUMPRODUCT(L11:AE11,'参数'!$C$6:$C$25,'参数'!$D$6:$D$25,INDEX('参数'!$E$6:$J$25,0,MATCH(B11,'参数'!$E$5:$J$5,0)),'参数'!$K$6:$K$25)/SUMPRODUCT('参数'!$C$6:$C$25,'参数'!$D$6:$D$25,INDEX('参数'!$E$6:$J$25,0,MATCH(B11,'参数'!$E$5:$J$5,0)),'参数'!$K$6:$K$25))</x:f>
      </x:c>
      <x:c r="E11" s="223" t="str">
        <x:f>IF(D11="","",SUMPRODUCT(ABS(L11:AE11),'参数'!$C$6:$C$25,'参数'!$D$6:$D$25,INDEX('参数'!$E$6:$J$25,0,MATCH(B11,'参数'!$E$5:$J$5,0)))/SUMPRODUCT('参数'!$C$6:$C$25,'参数'!$D$6:$D$25,INDEX('参数'!$E$6:$J$25,0,MATCH(B11,'参数'!$E$5:$J$5,0))))</x:f>
      </x:c>
      <x:c r="F11" s="194" t="str">
        <x:f>IF(D11="","",IF(D11&gt;='参数'!$B$30,1,IF(D11&lt;=-'参数'!$B$30,-1,0)))</x:f>
      </x:c>
      <x:c r="G11" s="194" t="str">
        <x:f>IF(C11="","",IF(C11&gt;='参数'!$B$37,1,IF(C11&lt;=-'参数'!$B$37,-1,0)))</x:f>
      </x:c>
      <x:c r="H11" s="194" t="str">
        <x:f>IF(OR(F11="",G11=""),"",--(F11=G11))</x:f>
      </x:c>
      <x:c r="I11" s="214" t="str">
        <x:f>IF(D11="","",D11*'参数'!$B$34)</x:f>
      </x:c>
      <x:c r="J11" s="214" t="str">
        <x:f>IF(OR(C11="",I11=""),"",ABS(C11-I11))</x:f>
      </x:c>
      <x:c r="K11" s="194" t="str">
        <x:f>IF(D11="","",IF(MAX(ABS(SUM(L11:M11)),ABS(SUM(N11:P11)),ABS(Q11),ABS(SUM(R11:T11)),ABS(SUM(U11:V11)),ABS(SUM(W11:Y11)),ABS(SUM(Z11:AB11)),ABS(SUM(AC11:AE11)))=ABS(SUM(L11:M11)),"订单流",IF(MAX(ABS(SUM(L11:M11)),ABS(SUM(N11:P11)),ABS(Q11),ABS(SUM(R11:T11)),ABS(SUM(U11:V11)),ABS(SUM(W11:Y11)),ABS(SUM(Z11:AB11)),ABS(SUM(AC11:AE11)))=ABS(SUM(N11:P11)),"流动性",IF(MAX(ABS(SUM(L11:M11)),ABS(SUM(N11:P11)),ABS(Q11),ABS(SUM(R11:T11)),ABS(SUM(U11:V11)),ABS(SUM(W11:Y11)),ABS(SUM(Z11:AB11)),ABS(SUM(AC11:AE11)))=ABS(Q11),"价格行为",IF(MAX(ABS(SUM(L11:M11)),ABS(SUM(N11:P11)),ABS(Q11),ABS(SUM(R11:T11)),ABS(SUM(U11:V11)),ABS(SUM(W11:Y11)),ABS(SUM(Z11:AB11)),ABS(SUM(AC11:AE11)))=ABS(SUM(R11:T11)),"杠杆/清算",IF(MAX(ABS(SUM(L11:M11)),ABS(SUM(N11:P11)),ABS(Q11),ABS(SUM(R11:T11)),ABS(SUM(U11:V11)),ABS(SUM(W11:Y11)),ABS(SUM(Z11:AB11)),ABS(SUM(AC11:AE11)))=ABS(SUM(U11:V11)),"衍生品",IF(MAX(ABS(SUM(L11:M11)),ABS(SUM(N11:P11)),ABS(Q11),ABS(SUM(R11:T11)),ABS(SUM(U11:V11)),ABS(SUM(W11:Y11)),ABS(SUM(Z11:AB11)),ABS(SUM(AC11:AE11)))=ABS(SUM(W11:Y11)),"跨市场",IF(MAX(ABS(SUM(L11:M11)),ABS(SUM(N11:P11)),ABS(Q11),ABS(SUM(R11:T11)),ABS(SUM(U11:V11)),ABS(SUM(W11:Y11)),ABS(SUM(Z11:AB11)),ABS(SUM(AC11:AE11)))=ABS(SUM(Z11:AB11)),"宏观代理","事件"))))))))</x:f>
      </x:c>
      <x:c r="L11" s="198"/>
      <x:c r="M11" s="198"/>
      <x:c r="N11" s="198"/>
      <x:c r="O11" s="198"/>
      <x:c r="P11" s="198"/>
      <x:c r="Q11" s="198"/>
      <x:c r="R11" s="198"/>
      <x:c r="S11" s="198"/>
      <x:c r="T11" s="198"/>
      <x:c r="U11" s="198"/>
      <x:c r="V11" s="198"/>
      <x:c r="W11" s="198"/>
      <x:c r="X11" s="198"/>
      <x:c r="Y11" s="198"/>
      <x:c r="Z11" s="198"/>
      <x:c r="AA11" s="198"/>
      <x:c r="AB11" s="198"/>
      <x:c r="AC11" s="198"/>
      <x:c r="AD11" s="198"/>
      <x:c r="AE11" s="198"/>
      <x:c r="AF11" s="215"/>
    </x:row>
    <x:row r="12">
      <x:c r="A12" s="238"/>
      <x:c r="B12" s="215" t="str">
        <x:v>正常</x:v>
      </x:c>
      <x:c r="C12" s="199"/>
      <x:c r="D12" s="223" t="str">
        <x:f>IF(COUNTA(L12:AE12)=0,"",SUMPRODUCT(L12:AE12,'参数'!$C$6:$C$25,'参数'!$D$6:$D$25,INDEX('参数'!$E$6:$J$25,0,MATCH(B12,'参数'!$E$5:$J$5,0)),'参数'!$K$6:$K$25)/SUMPRODUCT('参数'!$C$6:$C$25,'参数'!$D$6:$D$25,INDEX('参数'!$E$6:$J$25,0,MATCH(B12,'参数'!$E$5:$J$5,0)),'参数'!$K$6:$K$25))</x:f>
      </x:c>
      <x:c r="E12" s="223" t="str">
        <x:f>IF(D12="","",SUMPRODUCT(ABS(L12:AE12),'参数'!$C$6:$C$25,'参数'!$D$6:$D$25,INDEX('参数'!$E$6:$J$25,0,MATCH(B12,'参数'!$E$5:$J$5,0)))/SUMPRODUCT('参数'!$C$6:$C$25,'参数'!$D$6:$D$25,INDEX('参数'!$E$6:$J$25,0,MATCH(B12,'参数'!$E$5:$J$5,0))))</x:f>
      </x:c>
      <x:c r="F12" s="194" t="str">
        <x:f>IF(D12="","",IF(D12&gt;='参数'!$B$30,1,IF(D12&lt;=-'参数'!$B$30,-1,0)))</x:f>
      </x:c>
      <x:c r="G12" s="194" t="str">
        <x:f>IF(C12="","",IF(C12&gt;='参数'!$B$37,1,IF(C12&lt;=-'参数'!$B$37,-1,0)))</x:f>
      </x:c>
      <x:c r="H12" s="194" t="str">
        <x:f>IF(OR(F12="",G12=""),"",--(F12=G12))</x:f>
      </x:c>
      <x:c r="I12" s="214" t="str">
        <x:f>IF(D12="","",D12*'参数'!$B$34)</x:f>
      </x:c>
      <x:c r="J12" s="214" t="str">
        <x:f>IF(OR(C12="",I12=""),"",ABS(C12-I12))</x:f>
      </x:c>
      <x:c r="K12" s="194" t="str">
        <x:f>IF(D12="","",IF(MAX(ABS(SUM(L12:M12)),ABS(SUM(N12:P12)),ABS(Q12),ABS(SUM(R12:T12)),ABS(SUM(U12:V12)),ABS(SUM(W12:Y12)),ABS(SUM(Z12:AB12)),ABS(SUM(AC12:AE12)))=ABS(SUM(L12:M12)),"订单流",IF(MAX(ABS(SUM(L12:M12)),ABS(SUM(N12:P12)),ABS(Q12),ABS(SUM(R12:T12)),ABS(SUM(U12:V12)),ABS(SUM(W12:Y12)),ABS(SUM(Z12:AB12)),ABS(SUM(AC12:AE12)))=ABS(SUM(N12:P12)),"流动性",IF(MAX(ABS(SUM(L12:M12)),ABS(SUM(N12:P12)),ABS(Q12),ABS(SUM(R12:T12)),ABS(SUM(U12:V12)),ABS(SUM(W12:Y12)),ABS(SUM(Z12:AB12)),ABS(SUM(AC12:AE12)))=ABS(Q12),"价格行为",IF(MAX(ABS(SUM(L12:M12)),ABS(SUM(N12:P12)),ABS(Q12),ABS(SUM(R12:T12)),ABS(SUM(U12:V12)),ABS(SUM(W12:Y12)),ABS(SUM(Z12:AB12)),ABS(SUM(AC12:AE12)))=ABS(SUM(R12:T12)),"杠杆/清算",IF(MAX(ABS(SUM(L12:M12)),ABS(SUM(N12:P12)),ABS(Q12),ABS(SUM(R12:T12)),ABS(SUM(U12:V12)),ABS(SUM(W12:Y12)),ABS(SUM(Z12:AB12)),ABS(SUM(AC12:AE12)))=ABS(SUM(U12:V12)),"衍生品",IF(MAX(ABS(SUM(L12:M12)),ABS(SUM(N12:P12)),ABS(Q12),ABS(SUM(R12:T12)),ABS(SUM(U12:V12)),ABS(SUM(W12:Y12)),ABS(SUM(Z12:AB12)),ABS(SUM(AC12:AE12)))=ABS(SUM(W12:Y12)),"跨市场",IF(MAX(ABS(SUM(L12:M12)),ABS(SUM(N12:P12)),ABS(Q12),ABS(SUM(R12:T12)),ABS(SUM(U12:V12)),ABS(SUM(W12:Y12)),ABS(SUM(Z12:AB12)),ABS(SUM(AC12:AE12)))=ABS(SUM(Z12:AB12)),"宏观代理","事件"))))))))</x:f>
      </x:c>
      <x:c r="L12" s="198"/>
      <x:c r="M12" s="198"/>
      <x:c r="N12" s="198"/>
      <x:c r="O12" s="198"/>
      <x:c r="P12" s="198"/>
      <x:c r="Q12" s="198"/>
      <x:c r="R12" s="198"/>
      <x:c r="S12" s="198"/>
      <x:c r="T12" s="198"/>
      <x:c r="U12" s="198"/>
      <x:c r="V12" s="198"/>
      <x:c r="W12" s="198"/>
      <x:c r="X12" s="198"/>
      <x:c r="Y12" s="198"/>
      <x:c r="Z12" s="198"/>
      <x:c r="AA12" s="198"/>
      <x:c r="AB12" s="198"/>
      <x:c r="AC12" s="198"/>
      <x:c r="AD12" s="198"/>
      <x:c r="AE12" s="198"/>
      <x:c r="AF12" s="215"/>
    </x:row>
    <x:row r="13">
      <x:c r="A13" s="238"/>
      <x:c r="B13" s="215" t="str">
        <x:v>正常</x:v>
      </x:c>
      <x:c r="C13" s="199"/>
      <x:c r="D13" s="223" t="str">
        <x:f>IF(COUNTA(L13:AE13)=0,"",SUMPRODUCT(L13:AE13,'参数'!$C$6:$C$25,'参数'!$D$6:$D$25,INDEX('参数'!$E$6:$J$25,0,MATCH(B13,'参数'!$E$5:$J$5,0)),'参数'!$K$6:$K$25)/SUMPRODUCT('参数'!$C$6:$C$25,'参数'!$D$6:$D$25,INDEX('参数'!$E$6:$J$25,0,MATCH(B13,'参数'!$E$5:$J$5,0)),'参数'!$K$6:$K$25))</x:f>
      </x:c>
      <x:c r="E13" s="223" t="str">
        <x:f>IF(D13="","",SUMPRODUCT(ABS(L13:AE13),'参数'!$C$6:$C$25,'参数'!$D$6:$D$25,INDEX('参数'!$E$6:$J$25,0,MATCH(B13,'参数'!$E$5:$J$5,0)))/SUMPRODUCT('参数'!$C$6:$C$25,'参数'!$D$6:$D$25,INDEX('参数'!$E$6:$J$25,0,MATCH(B13,'参数'!$E$5:$J$5,0))))</x:f>
      </x:c>
      <x:c r="F13" s="194" t="str">
        <x:f>IF(D13="","",IF(D13&gt;='参数'!$B$30,1,IF(D13&lt;=-'参数'!$B$30,-1,0)))</x:f>
      </x:c>
      <x:c r="G13" s="194" t="str">
        <x:f>IF(C13="","",IF(C13&gt;='参数'!$B$37,1,IF(C13&lt;=-'参数'!$B$37,-1,0)))</x:f>
      </x:c>
      <x:c r="H13" s="194" t="str">
        <x:f>IF(OR(F13="",G13=""),"",--(F13=G13))</x:f>
      </x:c>
      <x:c r="I13" s="214" t="str">
        <x:f>IF(D13="","",D13*'参数'!$B$34)</x:f>
      </x:c>
      <x:c r="J13" s="214" t="str">
        <x:f>IF(OR(C13="",I13=""),"",ABS(C13-I13))</x:f>
      </x:c>
      <x:c r="K13" s="194" t="str">
        <x:f>IF(D13="","",IF(MAX(ABS(SUM(L13:M13)),ABS(SUM(N13:P13)),ABS(Q13),ABS(SUM(R13:T13)),ABS(SUM(U13:V13)),ABS(SUM(W13:Y13)),ABS(SUM(Z13:AB13)),ABS(SUM(AC13:AE13)))=ABS(SUM(L13:M13)),"订单流",IF(MAX(ABS(SUM(L13:M13)),ABS(SUM(N13:P13)),ABS(Q13),ABS(SUM(R13:T13)),ABS(SUM(U13:V13)),ABS(SUM(W13:Y13)),ABS(SUM(Z13:AB13)),ABS(SUM(AC13:AE13)))=ABS(SUM(N13:P13)),"流动性",IF(MAX(ABS(SUM(L13:M13)),ABS(SUM(N13:P13)),ABS(Q13),ABS(SUM(R13:T13)),ABS(SUM(U13:V13)),ABS(SUM(W13:Y13)),ABS(SUM(Z13:AB13)),ABS(SUM(AC13:AE13)))=ABS(Q13),"价格行为",IF(MAX(ABS(SUM(L13:M13)),ABS(SUM(N13:P13)),ABS(Q13),ABS(SUM(R13:T13)),ABS(SUM(U13:V13)),ABS(SUM(W13:Y13)),ABS(SUM(Z13:AB13)),ABS(SUM(AC13:AE13)))=ABS(SUM(R13:T13)),"杠杆/清算",IF(MAX(ABS(SUM(L13:M13)),ABS(SUM(N13:P13)),ABS(Q13),ABS(SUM(R13:T13)),ABS(SUM(U13:V13)),ABS(SUM(W13:Y13)),ABS(SUM(Z13:AB13)),ABS(SUM(AC13:AE13)))=ABS(SUM(U13:V13)),"衍生品",IF(MAX(ABS(SUM(L13:M13)),ABS(SUM(N13:P13)),ABS(Q13),ABS(SUM(R13:T13)),ABS(SUM(U13:V13)),ABS(SUM(W13:Y13)),ABS(SUM(Z13:AB13)),ABS(SUM(AC13:AE13)))=ABS(SUM(W13:Y13)),"跨市场",IF(MAX(ABS(SUM(L13:M13)),ABS(SUM(N13:P13)),ABS(Q13),ABS(SUM(R13:T13)),ABS(SUM(U13:V13)),ABS(SUM(W13:Y13)),ABS(SUM(Z13:AB13)),ABS(SUM(AC13:AE13)))=ABS(SUM(Z13:AB13)),"宏观代理","事件"))))))))</x:f>
      </x:c>
      <x:c r="L13" s="198"/>
      <x:c r="M13" s="198"/>
      <x:c r="N13" s="198"/>
      <x:c r="O13" s="198"/>
      <x:c r="P13" s="198"/>
      <x:c r="Q13" s="198"/>
      <x:c r="R13" s="198"/>
      <x:c r="S13" s="198"/>
      <x:c r="T13" s="198"/>
      <x:c r="U13" s="198"/>
      <x:c r="V13" s="198"/>
      <x:c r="W13" s="198"/>
      <x:c r="X13" s="198"/>
      <x:c r="Y13" s="198"/>
      <x:c r="Z13" s="198"/>
      <x:c r="AA13" s="198"/>
      <x:c r="AB13" s="198"/>
      <x:c r="AC13" s="198"/>
      <x:c r="AD13" s="198"/>
      <x:c r="AE13" s="198"/>
      <x:c r="AF13" s="215"/>
    </x:row>
    <x:row r="14">
      <x:c r="A14" s="238"/>
      <x:c r="B14" s="215" t="str">
        <x:v>正常</x:v>
      </x:c>
      <x:c r="C14" s="199"/>
      <x:c r="D14" s="223" t="str">
        <x:f>IF(COUNTA(L14:AE14)=0,"",SUMPRODUCT(L14:AE14,'参数'!$C$6:$C$25,'参数'!$D$6:$D$25,INDEX('参数'!$E$6:$J$25,0,MATCH(B14,'参数'!$E$5:$J$5,0)),'参数'!$K$6:$K$25)/SUMPRODUCT('参数'!$C$6:$C$25,'参数'!$D$6:$D$25,INDEX('参数'!$E$6:$J$25,0,MATCH(B14,'参数'!$E$5:$J$5,0)),'参数'!$K$6:$K$25))</x:f>
      </x:c>
      <x:c r="E14" s="223" t="str">
        <x:f>IF(D14="","",SUMPRODUCT(ABS(L14:AE14),'参数'!$C$6:$C$25,'参数'!$D$6:$D$25,INDEX('参数'!$E$6:$J$25,0,MATCH(B14,'参数'!$E$5:$J$5,0)))/SUMPRODUCT('参数'!$C$6:$C$25,'参数'!$D$6:$D$25,INDEX('参数'!$E$6:$J$25,0,MATCH(B14,'参数'!$E$5:$J$5,0))))</x:f>
      </x:c>
      <x:c r="F14" s="194" t="str">
        <x:f>IF(D14="","",IF(D14&gt;='参数'!$B$30,1,IF(D14&lt;=-'参数'!$B$30,-1,0)))</x:f>
      </x:c>
      <x:c r="G14" s="194" t="str">
        <x:f>IF(C14="","",IF(C14&gt;='参数'!$B$37,1,IF(C14&lt;=-'参数'!$B$37,-1,0)))</x:f>
      </x:c>
      <x:c r="H14" s="194" t="str">
        <x:f>IF(OR(F14="",G14=""),"",--(F14=G14))</x:f>
      </x:c>
      <x:c r="I14" s="214" t="str">
        <x:f>IF(D14="","",D14*'参数'!$B$34)</x:f>
      </x:c>
      <x:c r="J14" s="214" t="str">
        <x:f>IF(OR(C14="",I14=""),"",ABS(C14-I14))</x:f>
      </x:c>
      <x:c r="K14" s="194" t="str">
        <x:f>IF(D14="","",IF(MAX(ABS(SUM(L14:M14)),ABS(SUM(N14:P14)),ABS(Q14),ABS(SUM(R14:T14)),ABS(SUM(U14:V14)),ABS(SUM(W14:Y14)),ABS(SUM(Z14:AB14)),ABS(SUM(AC14:AE14)))=ABS(SUM(L14:M14)),"订单流",IF(MAX(ABS(SUM(L14:M14)),ABS(SUM(N14:P14)),ABS(Q14),ABS(SUM(R14:T14)),ABS(SUM(U14:V14)),ABS(SUM(W14:Y14)),ABS(SUM(Z14:AB14)),ABS(SUM(AC14:AE14)))=ABS(SUM(N14:P14)),"流动性",IF(MAX(ABS(SUM(L14:M14)),ABS(SUM(N14:P14)),ABS(Q14),ABS(SUM(R14:T14)),ABS(SUM(U14:V14)),ABS(SUM(W14:Y14)),ABS(SUM(Z14:AB14)),ABS(SUM(AC14:AE14)))=ABS(Q14),"价格行为",IF(MAX(ABS(SUM(L14:M14)),ABS(SUM(N14:P14)),ABS(Q14),ABS(SUM(R14:T14)),ABS(SUM(U14:V14)),ABS(SUM(W14:Y14)),ABS(SUM(Z14:AB14)),ABS(SUM(AC14:AE14)))=ABS(SUM(R14:T14)),"杠杆/清算",IF(MAX(ABS(SUM(L14:M14)),ABS(SUM(N14:P14)),ABS(Q14),ABS(SUM(R14:T14)),ABS(SUM(U14:V14)),ABS(SUM(W14:Y14)),ABS(SUM(Z14:AB14)),ABS(SUM(AC14:AE14)))=ABS(SUM(U14:V14)),"衍生品",IF(MAX(ABS(SUM(L14:M14)),ABS(SUM(N14:P14)),ABS(Q14),ABS(SUM(R14:T14)),ABS(SUM(U14:V14)),ABS(SUM(W14:Y14)),ABS(SUM(Z14:AB14)),ABS(SUM(AC14:AE14)))=ABS(SUM(W14:Y14)),"跨市场",IF(MAX(ABS(SUM(L14:M14)),ABS(SUM(N14:P14)),ABS(Q14),ABS(SUM(R14:T14)),ABS(SUM(U14:V14)),ABS(SUM(W14:Y14)),ABS(SUM(Z14:AB14)),ABS(SUM(AC14:AE14)))=ABS(SUM(Z14:AB14)),"宏观代理","事件"))))))))</x:f>
      </x:c>
      <x:c r="L14" s="198"/>
      <x:c r="M14" s="198"/>
      <x:c r="N14" s="198"/>
      <x:c r="O14" s="198"/>
      <x:c r="P14" s="198"/>
      <x:c r="Q14" s="198"/>
      <x:c r="R14" s="198"/>
      <x:c r="S14" s="198"/>
      <x:c r="T14" s="198"/>
      <x:c r="U14" s="198"/>
      <x:c r="V14" s="198"/>
      <x:c r="W14" s="198"/>
      <x:c r="X14" s="198"/>
      <x:c r="Y14" s="198"/>
      <x:c r="Z14" s="198"/>
      <x:c r="AA14" s="198"/>
      <x:c r="AB14" s="198"/>
      <x:c r="AC14" s="198"/>
      <x:c r="AD14" s="198"/>
      <x:c r="AE14" s="198"/>
      <x:c r="AF14" s="215"/>
    </x:row>
    <x:row r="15">
      <x:c r="A15" s="238"/>
      <x:c r="B15" s="215" t="str">
        <x:v>正常</x:v>
      </x:c>
      <x:c r="C15" s="199"/>
      <x:c r="D15" s="223" t="str">
        <x:f>IF(COUNTA(L15:AE15)=0,"",SUMPRODUCT(L15:AE15,'参数'!$C$6:$C$25,'参数'!$D$6:$D$25,INDEX('参数'!$E$6:$J$25,0,MATCH(B15,'参数'!$E$5:$J$5,0)),'参数'!$K$6:$K$25)/SUMPRODUCT('参数'!$C$6:$C$25,'参数'!$D$6:$D$25,INDEX('参数'!$E$6:$J$25,0,MATCH(B15,'参数'!$E$5:$J$5,0)),'参数'!$K$6:$K$25))</x:f>
      </x:c>
      <x:c r="E15" s="223" t="str">
        <x:f>IF(D15="","",SUMPRODUCT(ABS(L15:AE15),'参数'!$C$6:$C$25,'参数'!$D$6:$D$25,INDEX('参数'!$E$6:$J$25,0,MATCH(B15,'参数'!$E$5:$J$5,0)))/SUMPRODUCT('参数'!$C$6:$C$25,'参数'!$D$6:$D$25,INDEX('参数'!$E$6:$J$25,0,MATCH(B15,'参数'!$E$5:$J$5,0))))</x:f>
      </x:c>
      <x:c r="F15" s="194" t="str">
        <x:f>IF(D15="","",IF(D15&gt;='参数'!$B$30,1,IF(D15&lt;=-'参数'!$B$30,-1,0)))</x:f>
      </x:c>
      <x:c r="G15" s="194" t="str">
        <x:f>IF(C15="","",IF(C15&gt;='参数'!$B$37,1,IF(C15&lt;=-'参数'!$B$37,-1,0)))</x:f>
      </x:c>
      <x:c r="H15" s="194" t="str">
        <x:f>IF(OR(F15="",G15=""),"",--(F15=G15))</x:f>
      </x:c>
      <x:c r="I15" s="214" t="str">
        <x:f>IF(D15="","",D15*'参数'!$B$34)</x:f>
      </x:c>
      <x:c r="J15" s="214" t="str">
        <x:f>IF(OR(C15="",I15=""),"",ABS(C15-I15))</x:f>
      </x:c>
      <x:c r="K15" s="194" t="str">
        <x:f>IF(D15="","",IF(MAX(ABS(SUM(L15:M15)),ABS(SUM(N15:P15)),ABS(Q15),ABS(SUM(R15:T15)),ABS(SUM(U15:V15)),ABS(SUM(W15:Y15)),ABS(SUM(Z15:AB15)),ABS(SUM(AC15:AE15)))=ABS(SUM(L15:M15)),"订单流",IF(MAX(ABS(SUM(L15:M15)),ABS(SUM(N15:P15)),ABS(Q15),ABS(SUM(R15:T15)),ABS(SUM(U15:V15)),ABS(SUM(W15:Y15)),ABS(SUM(Z15:AB15)),ABS(SUM(AC15:AE15)))=ABS(SUM(N15:P15)),"流动性",IF(MAX(ABS(SUM(L15:M15)),ABS(SUM(N15:P15)),ABS(Q15),ABS(SUM(R15:T15)),ABS(SUM(U15:V15)),ABS(SUM(W15:Y15)),ABS(SUM(Z15:AB15)),ABS(SUM(AC15:AE15)))=ABS(Q15),"价格行为",IF(MAX(ABS(SUM(L15:M15)),ABS(SUM(N15:P15)),ABS(Q15),ABS(SUM(R15:T15)),ABS(SUM(U15:V15)),ABS(SUM(W15:Y15)),ABS(SUM(Z15:AB15)),ABS(SUM(AC15:AE15)))=ABS(SUM(R15:T15)),"杠杆/清算",IF(MAX(ABS(SUM(L15:M15)),ABS(SUM(N15:P15)),ABS(Q15),ABS(SUM(R15:T15)),ABS(SUM(U15:V15)),ABS(SUM(W15:Y15)),ABS(SUM(Z15:AB15)),ABS(SUM(AC15:AE15)))=ABS(SUM(U15:V15)),"衍生品",IF(MAX(ABS(SUM(L15:M15)),ABS(SUM(N15:P15)),ABS(Q15),ABS(SUM(R15:T15)),ABS(SUM(U15:V15)),ABS(SUM(W15:Y15)),ABS(SUM(Z15:AB15)),ABS(SUM(AC15:AE15)))=ABS(SUM(W15:Y15)),"跨市场",IF(MAX(ABS(SUM(L15:M15)),ABS(SUM(N15:P15)),ABS(Q15),ABS(SUM(R15:T15)),ABS(SUM(U15:V15)),ABS(SUM(W15:Y15)),ABS(SUM(Z15:AB15)),ABS(SUM(AC15:AE15)))=ABS(SUM(Z15:AB15)),"宏观代理","事件"))))))))</x:f>
      </x:c>
      <x:c r="L15" s="198"/>
      <x:c r="M15" s="198"/>
      <x:c r="N15" s="198"/>
      <x:c r="O15" s="198"/>
      <x:c r="P15" s="198"/>
      <x:c r="Q15" s="198"/>
      <x:c r="R15" s="198"/>
      <x:c r="S15" s="198"/>
      <x:c r="T15" s="198"/>
      <x:c r="U15" s="198"/>
      <x:c r="V15" s="198"/>
      <x:c r="W15" s="198"/>
      <x:c r="X15" s="198"/>
      <x:c r="Y15" s="198"/>
      <x:c r="Z15" s="198"/>
      <x:c r="AA15" s="198"/>
      <x:c r="AB15" s="198"/>
      <x:c r="AC15" s="198"/>
      <x:c r="AD15" s="198"/>
      <x:c r="AE15" s="198"/>
      <x:c r="AF15" s="215"/>
    </x:row>
    <x:row r="16">
      <x:c r="A16" s="238"/>
      <x:c r="B16" s="215" t="str">
        <x:v>正常</x:v>
      </x:c>
      <x:c r="C16" s="199"/>
      <x:c r="D16" s="223" t="str">
        <x:f>IF(COUNTA(L16:AE16)=0,"",SUMPRODUCT(L16:AE16,'参数'!$C$6:$C$25,'参数'!$D$6:$D$25,INDEX('参数'!$E$6:$J$25,0,MATCH(B16,'参数'!$E$5:$J$5,0)),'参数'!$K$6:$K$25)/SUMPRODUCT('参数'!$C$6:$C$25,'参数'!$D$6:$D$25,INDEX('参数'!$E$6:$J$25,0,MATCH(B16,'参数'!$E$5:$J$5,0)),'参数'!$K$6:$K$25))</x:f>
      </x:c>
      <x:c r="E16" s="223" t="str">
        <x:f>IF(D16="","",SUMPRODUCT(ABS(L16:AE16),'参数'!$C$6:$C$25,'参数'!$D$6:$D$25,INDEX('参数'!$E$6:$J$25,0,MATCH(B16,'参数'!$E$5:$J$5,0)))/SUMPRODUCT('参数'!$C$6:$C$25,'参数'!$D$6:$D$25,INDEX('参数'!$E$6:$J$25,0,MATCH(B16,'参数'!$E$5:$J$5,0))))</x:f>
      </x:c>
      <x:c r="F16" s="194" t="str">
        <x:f>IF(D16="","",IF(D16&gt;='参数'!$B$30,1,IF(D16&lt;=-'参数'!$B$30,-1,0)))</x:f>
      </x:c>
      <x:c r="G16" s="194" t="str">
        <x:f>IF(C16="","",IF(C16&gt;='参数'!$B$37,1,IF(C16&lt;=-'参数'!$B$37,-1,0)))</x:f>
      </x:c>
      <x:c r="H16" s="194" t="str">
        <x:f>IF(OR(F16="",G16=""),"",--(F16=G16))</x:f>
      </x:c>
      <x:c r="I16" s="214" t="str">
        <x:f>IF(D16="","",D16*'参数'!$B$34)</x:f>
      </x:c>
      <x:c r="J16" s="214" t="str">
        <x:f>IF(OR(C16="",I16=""),"",ABS(C16-I16))</x:f>
      </x:c>
      <x:c r="K16" s="194" t="str">
        <x:f>IF(D16="","",IF(MAX(ABS(SUM(L16:M16)),ABS(SUM(N16:P16)),ABS(Q16),ABS(SUM(R16:T16)),ABS(SUM(U16:V16)),ABS(SUM(W16:Y16)),ABS(SUM(Z16:AB16)),ABS(SUM(AC16:AE16)))=ABS(SUM(L16:M16)),"订单流",IF(MAX(ABS(SUM(L16:M16)),ABS(SUM(N16:P16)),ABS(Q16),ABS(SUM(R16:T16)),ABS(SUM(U16:V16)),ABS(SUM(W16:Y16)),ABS(SUM(Z16:AB16)),ABS(SUM(AC16:AE16)))=ABS(SUM(N16:P16)),"流动性",IF(MAX(ABS(SUM(L16:M16)),ABS(SUM(N16:P16)),ABS(Q16),ABS(SUM(R16:T16)),ABS(SUM(U16:V16)),ABS(SUM(W16:Y16)),ABS(SUM(Z16:AB16)),ABS(SUM(AC16:AE16)))=ABS(Q16),"价格行为",IF(MAX(ABS(SUM(L16:M16)),ABS(SUM(N16:P16)),ABS(Q16),ABS(SUM(R16:T16)),ABS(SUM(U16:V16)),ABS(SUM(W16:Y16)),ABS(SUM(Z16:AB16)),ABS(SUM(AC16:AE16)))=ABS(SUM(R16:T16)),"杠杆/清算",IF(MAX(ABS(SUM(L16:M16)),ABS(SUM(N16:P16)),ABS(Q16),ABS(SUM(R16:T16)),ABS(SUM(U16:V16)),ABS(SUM(W16:Y16)),ABS(SUM(Z16:AB16)),ABS(SUM(AC16:AE16)))=ABS(SUM(U16:V16)),"衍生品",IF(MAX(ABS(SUM(L16:M16)),ABS(SUM(N16:P16)),ABS(Q16),ABS(SUM(R16:T16)),ABS(SUM(U16:V16)),ABS(SUM(W16:Y16)),ABS(SUM(Z16:AB16)),ABS(SUM(AC16:AE16)))=ABS(SUM(W16:Y16)),"跨市场",IF(MAX(ABS(SUM(L16:M16)),ABS(SUM(N16:P16)),ABS(Q16),ABS(SUM(R16:T16)),ABS(SUM(U16:V16)),ABS(SUM(W16:Y16)),ABS(SUM(Z16:AB16)),ABS(SUM(AC16:AE16)))=ABS(SUM(Z16:AB16)),"宏观代理","事件"))))))))</x:f>
      </x:c>
      <x:c r="L16" s="198"/>
      <x:c r="M16" s="198"/>
      <x:c r="N16" s="198"/>
      <x:c r="O16" s="198"/>
      <x:c r="P16" s="198"/>
      <x:c r="Q16" s="198"/>
      <x:c r="R16" s="198"/>
      <x:c r="S16" s="198"/>
      <x:c r="T16" s="198"/>
      <x:c r="U16" s="198"/>
      <x:c r="V16" s="198"/>
      <x:c r="W16" s="198"/>
      <x:c r="X16" s="198"/>
      <x:c r="Y16" s="198"/>
      <x:c r="Z16" s="198"/>
      <x:c r="AA16" s="198"/>
      <x:c r="AB16" s="198"/>
      <x:c r="AC16" s="198"/>
      <x:c r="AD16" s="198"/>
      <x:c r="AE16" s="198"/>
      <x:c r="AF16" s="215"/>
    </x:row>
    <x:row r="17">
      <x:c r="A17" s="238"/>
      <x:c r="B17" s="215" t="str">
        <x:v>正常</x:v>
      </x:c>
      <x:c r="C17" s="199"/>
      <x:c r="D17" s="223" t="str">
        <x:f>IF(COUNTA(L17:AE17)=0,"",SUMPRODUCT(L17:AE17,'参数'!$C$6:$C$25,'参数'!$D$6:$D$25,INDEX('参数'!$E$6:$J$25,0,MATCH(B17,'参数'!$E$5:$J$5,0)),'参数'!$K$6:$K$25)/SUMPRODUCT('参数'!$C$6:$C$25,'参数'!$D$6:$D$25,INDEX('参数'!$E$6:$J$25,0,MATCH(B17,'参数'!$E$5:$J$5,0)),'参数'!$K$6:$K$25))</x:f>
      </x:c>
      <x:c r="E17" s="223" t="str">
        <x:f>IF(D17="","",SUMPRODUCT(ABS(L17:AE17),'参数'!$C$6:$C$25,'参数'!$D$6:$D$25,INDEX('参数'!$E$6:$J$25,0,MATCH(B17,'参数'!$E$5:$J$5,0)))/SUMPRODUCT('参数'!$C$6:$C$25,'参数'!$D$6:$D$25,INDEX('参数'!$E$6:$J$25,0,MATCH(B17,'参数'!$E$5:$J$5,0))))</x:f>
      </x:c>
      <x:c r="F17" s="194" t="str">
        <x:f>IF(D17="","",IF(D17&gt;='参数'!$B$30,1,IF(D17&lt;=-'参数'!$B$30,-1,0)))</x:f>
      </x:c>
      <x:c r="G17" s="194" t="str">
        <x:f>IF(C17="","",IF(C17&gt;='参数'!$B$37,1,IF(C17&lt;=-'参数'!$B$37,-1,0)))</x:f>
      </x:c>
      <x:c r="H17" s="194" t="str">
        <x:f>IF(OR(F17="",G17=""),"",--(F17=G17))</x:f>
      </x:c>
      <x:c r="I17" s="214" t="str">
        <x:f>IF(D17="","",D17*'参数'!$B$34)</x:f>
      </x:c>
      <x:c r="J17" s="214" t="str">
        <x:f>IF(OR(C17="",I17=""),"",ABS(C17-I17))</x:f>
      </x:c>
      <x:c r="K17" s="194" t="str">
        <x:f>IF(D17="","",IF(MAX(ABS(SUM(L17:M17)),ABS(SUM(N17:P17)),ABS(Q17),ABS(SUM(R17:T17)),ABS(SUM(U17:V17)),ABS(SUM(W17:Y17)),ABS(SUM(Z17:AB17)),ABS(SUM(AC17:AE17)))=ABS(SUM(L17:M17)),"订单流",IF(MAX(ABS(SUM(L17:M17)),ABS(SUM(N17:P17)),ABS(Q17),ABS(SUM(R17:T17)),ABS(SUM(U17:V17)),ABS(SUM(W17:Y17)),ABS(SUM(Z17:AB17)),ABS(SUM(AC17:AE17)))=ABS(SUM(N17:P17)),"流动性",IF(MAX(ABS(SUM(L17:M17)),ABS(SUM(N17:P17)),ABS(Q17),ABS(SUM(R17:T17)),ABS(SUM(U17:V17)),ABS(SUM(W17:Y17)),ABS(SUM(Z17:AB17)),ABS(SUM(AC17:AE17)))=ABS(Q17),"价格行为",IF(MAX(ABS(SUM(L17:M17)),ABS(SUM(N17:P17)),ABS(Q17),ABS(SUM(R17:T17)),ABS(SUM(U17:V17)),ABS(SUM(W17:Y17)),ABS(SUM(Z17:AB17)),ABS(SUM(AC17:AE17)))=ABS(SUM(R17:T17)),"杠杆/清算",IF(MAX(ABS(SUM(L17:M17)),ABS(SUM(N17:P17)),ABS(Q17),ABS(SUM(R17:T17)),ABS(SUM(U17:V17)),ABS(SUM(W17:Y17)),ABS(SUM(Z17:AB17)),ABS(SUM(AC17:AE17)))=ABS(SUM(U17:V17)),"衍生品",IF(MAX(ABS(SUM(L17:M17)),ABS(SUM(N17:P17)),ABS(Q17),ABS(SUM(R17:T17)),ABS(SUM(U17:V17)),ABS(SUM(W17:Y17)),ABS(SUM(Z17:AB17)),ABS(SUM(AC17:AE17)))=ABS(SUM(W17:Y17)),"跨市场",IF(MAX(ABS(SUM(L17:M17)),ABS(SUM(N17:P17)),ABS(Q17),ABS(SUM(R17:T17)),ABS(SUM(U17:V17)),ABS(SUM(W17:Y17)),ABS(SUM(Z17:AB17)),ABS(SUM(AC17:AE17)))=ABS(SUM(Z17:AB17)),"宏观代理","事件"))))))))</x:f>
      </x:c>
      <x:c r="L17" s="198"/>
      <x:c r="M17" s="198"/>
      <x:c r="N17" s="198"/>
      <x:c r="O17" s="198"/>
      <x:c r="P17" s="198"/>
      <x:c r="Q17" s="198"/>
      <x:c r="R17" s="198"/>
      <x:c r="S17" s="198"/>
      <x:c r="T17" s="198"/>
      <x:c r="U17" s="198"/>
      <x:c r="V17" s="198"/>
      <x:c r="W17" s="198"/>
      <x:c r="X17" s="198"/>
      <x:c r="Y17" s="198"/>
      <x:c r="Z17" s="198"/>
      <x:c r="AA17" s="198"/>
      <x:c r="AB17" s="198"/>
      <x:c r="AC17" s="198"/>
      <x:c r="AD17" s="198"/>
      <x:c r="AE17" s="198"/>
      <x:c r="AF17" s="215"/>
    </x:row>
    <x:row r="18">
      <x:c r="A18" s="238"/>
      <x:c r="B18" s="215" t="str">
        <x:v>正常</x:v>
      </x:c>
      <x:c r="C18" s="199"/>
      <x:c r="D18" s="223" t="str">
        <x:f>IF(COUNTA(L18:AE18)=0,"",SUMPRODUCT(L18:AE18,'参数'!$C$6:$C$25,'参数'!$D$6:$D$25,INDEX('参数'!$E$6:$J$25,0,MATCH(B18,'参数'!$E$5:$J$5,0)),'参数'!$K$6:$K$25)/SUMPRODUCT('参数'!$C$6:$C$25,'参数'!$D$6:$D$25,INDEX('参数'!$E$6:$J$25,0,MATCH(B18,'参数'!$E$5:$J$5,0)),'参数'!$K$6:$K$25))</x:f>
      </x:c>
      <x:c r="E18" s="223" t="str">
        <x:f>IF(D18="","",SUMPRODUCT(ABS(L18:AE18),'参数'!$C$6:$C$25,'参数'!$D$6:$D$25,INDEX('参数'!$E$6:$J$25,0,MATCH(B18,'参数'!$E$5:$J$5,0)))/SUMPRODUCT('参数'!$C$6:$C$25,'参数'!$D$6:$D$25,INDEX('参数'!$E$6:$J$25,0,MATCH(B18,'参数'!$E$5:$J$5,0))))</x:f>
      </x:c>
      <x:c r="F18" s="194" t="str">
        <x:f>IF(D18="","",IF(D18&gt;='参数'!$B$30,1,IF(D18&lt;=-'参数'!$B$30,-1,0)))</x:f>
      </x:c>
      <x:c r="G18" s="194" t="str">
        <x:f>IF(C18="","",IF(C18&gt;='参数'!$B$37,1,IF(C18&lt;=-'参数'!$B$37,-1,0)))</x:f>
      </x:c>
      <x:c r="H18" s="194" t="str">
        <x:f>IF(OR(F18="",G18=""),"",--(F18=G18))</x:f>
      </x:c>
      <x:c r="I18" s="214" t="str">
        <x:f>IF(D18="","",D18*'参数'!$B$34)</x:f>
      </x:c>
      <x:c r="J18" s="214" t="str">
        <x:f>IF(OR(C18="",I18=""),"",ABS(C18-I18))</x:f>
      </x:c>
      <x:c r="K18" s="194" t="str">
        <x:f>IF(D18="","",IF(MAX(ABS(SUM(L18:M18)),ABS(SUM(N18:P18)),ABS(Q18),ABS(SUM(R18:T18)),ABS(SUM(U18:V18)),ABS(SUM(W18:Y18)),ABS(SUM(Z18:AB18)),ABS(SUM(AC18:AE18)))=ABS(SUM(L18:M18)),"订单流",IF(MAX(ABS(SUM(L18:M18)),ABS(SUM(N18:P18)),ABS(Q18),ABS(SUM(R18:T18)),ABS(SUM(U18:V18)),ABS(SUM(W18:Y18)),ABS(SUM(Z18:AB18)),ABS(SUM(AC18:AE18)))=ABS(SUM(N18:P18)),"流动性",IF(MAX(ABS(SUM(L18:M18)),ABS(SUM(N18:P18)),ABS(Q18),ABS(SUM(R18:T18)),ABS(SUM(U18:V18)),ABS(SUM(W18:Y18)),ABS(SUM(Z18:AB18)),ABS(SUM(AC18:AE18)))=ABS(Q18),"价格行为",IF(MAX(ABS(SUM(L18:M18)),ABS(SUM(N18:P18)),ABS(Q18),ABS(SUM(R18:T18)),ABS(SUM(U18:V18)),ABS(SUM(W18:Y18)),ABS(SUM(Z18:AB18)),ABS(SUM(AC18:AE18)))=ABS(SUM(R18:T18)),"杠杆/清算",IF(MAX(ABS(SUM(L18:M18)),ABS(SUM(N18:P18)),ABS(Q18),ABS(SUM(R18:T18)),ABS(SUM(U18:V18)),ABS(SUM(W18:Y18)),ABS(SUM(Z18:AB18)),ABS(SUM(AC18:AE18)))=ABS(SUM(U18:V18)),"衍生品",IF(MAX(ABS(SUM(L18:M18)),ABS(SUM(N18:P18)),ABS(Q18),ABS(SUM(R18:T18)),ABS(SUM(U18:V18)),ABS(SUM(W18:Y18)),ABS(SUM(Z18:AB18)),ABS(SUM(AC18:AE18)))=ABS(SUM(W18:Y18)),"跨市场",IF(MAX(ABS(SUM(L18:M18)),ABS(SUM(N18:P18)),ABS(Q18),ABS(SUM(R18:T18)),ABS(SUM(U18:V18)),ABS(SUM(W18:Y18)),ABS(SUM(Z18:AB18)),ABS(SUM(AC18:AE18)))=ABS(SUM(Z18:AB18)),"宏观代理","事件"))))))))</x:f>
      </x:c>
      <x:c r="L18" s="198"/>
      <x:c r="M18" s="198"/>
      <x:c r="N18" s="198"/>
      <x:c r="O18" s="198"/>
      <x:c r="P18" s="198"/>
      <x:c r="Q18" s="198"/>
      <x:c r="R18" s="198"/>
      <x:c r="S18" s="198"/>
      <x:c r="T18" s="198"/>
      <x:c r="U18" s="198"/>
      <x:c r="V18" s="198"/>
      <x:c r="W18" s="198"/>
      <x:c r="X18" s="198"/>
      <x:c r="Y18" s="198"/>
      <x:c r="Z18" s="198"/>
      <x:c r="AA18" s="198"/>
      <x:c r="AB18" s="198"/>
      <x:c r="AC18" s="198"/>
      <x:c r="AD18" s="198"/>
      <x:c r="AE18" s="198"/>
      <x:c r="AF18" s="215"/>
    </x:row>
    <x:row r="19">
      <x:c r="A19" s="238"/>
      <x:c r="B19" s="215" t="str">
        <x:v>正常</x:v>
      </x:c>
      <x:c r="C19" s="199"/>
      <x:c r="D19" s="223" t="str">
        <x:f>IF(COUNTA(L19:AE19)=0,"",SUMPRODUCT(L19:AE19,'参数'!$C$6:$C$25,'参数'!$D$6:$D$25,INDEX('参数'!$E$6:$J$25,0,MATCH(B19,'参数'!$E$5:$J$5,0)),'参数'!$K$6:$K$25)/SUMPRODUCT('参数'!$C$6:$C$25,'参数'!$D$6:$D$25,INDEX('参数'!$E$6:$J$25,0,MATCH(B19,'参数'!$E$5:$J$5,0)),'参数'!$K$6:$K$25))</x:f>
      </x:c>
      <x:c r="E19" s="223" t="str">
        <x:f>IF(D19="","",SUMPRODUCT(ABS(L19:AE19),'参数'!$C$6:$C$25,'参数'!$D$6:$D$25,INDEX('参数'!$E$6:$J$25,0,MATCH(B19,'参数'!$E$5:$J$5,0)))/SUMPRODUCT('参数'!$C$6:$C$25,'参数'!$D$6:$D$25,INDEX('参数'!$E$6:$J$25,0,MATCH(B19,'参数'!$E$5:$J$5,0))))</x:f>
      </x:c>
      <x:c r="F19" s="194" t="str">
        <x:f>IF(D19="","",IF(D19&gt;='参数'!$B$30,1,IF(D19&lt;=-'参数'!$B$30,-1,0)))</x:f>
      </x:c>
      <x:c r="G19" s="194" t="str">
        <x:f>IF(C19="","",IF(C19&gt;='参数'!$B$37,1,IF(C19&lt;=-'参数'!$B$37,-1,0)))</x:f>
      </x:c>
      <x:c r="H19" s="194" t="str">
        <x:f>IF(OR(F19="",G19=""),"",--(F19=G19))</x:f>
      </x:c>
      <x:c r="I19" s="214" t="str">
        <x:f>IF(D19="","",D19*'参数'!$B$34)</x:f>
      </x:c>
      <x:c r="J19" s="214" t="str">
        <x:f>IF(OR(C19="",I19=""),"",ABS(C19-I19))</x:f>
      </x:c>
      <x:c r="K19" s="194" t="str">
        <x:f>IF(D19="","",IF(MAX(ABS(SUM(L19:M19)),ABS(SUM(N19:P19)),ABS(Q19),ABS(SUM(R19:T19)),ABS(SUM(U19:V19)),ABS(SUM(W19:Y19)),ABS(SUM(Z19:AB19)),ABS(SUM(AC19:AE19)))=ABS(SUM(L19:M19)),"订单流",IF(MAX(ABS(SUM(L19:M19)),ABS(SUM(N19:P19)),ABS(Q19),ABS(SUM(R19:T19)),ABS(SUM(U19:V19)),ABS(SUM(W19:Y19)),ABS(SUM(Z19:AB19)),ABS(SUM(AC19:AE19)))=ABS(SUM(N19:P19)),"流动性",IF(MAX(ABS(SUM(L19:M19)),ABS(SUM(N19:P19)),ABS(Q19),ABS(SUM(R19:T19)),ABS(SUM(U19:V19)),ABS(SUM(W19:Y19)),ABS(SUM(Z19:AB19)),ABS(SUM(AC19:AE19)))=ABS(Q19),"价格行为",IF(MAX(ABS(SUM(L19:M19)),ABS(SUM(N19:P19)),ABS(Q19),ABS(SUM(R19:T19)),ABS(SUM(U19:V19)),ABS(SUM(W19:Y19)),ABS(SUM(Z19:AB19)),ABS(SUM(AC19:AE19)))=ABS(SUM(R19:T19)),"杠杆/清算",IF(MAX(ABS(SUM(L19:M19)),ABS(SUM(N19:P19)),ABS(Q19),ABS(SUM(R19:T19)),ABS(SUM(U19:V19)),ABS(SUM(W19:Y19)),ABS(SUM(Z19:AB19)),ABS(SUM(AC19:AE19)))=ABS(SUM(U19:V19)),"衍生品",IF(MAX(ABS(SUM(L19:M19)),ABS(SUM(N19:P19)),ABS(Q19),ABS(SUM(R19:T19)),ABS(SUM(U19:V19)),ABS(SUM(W19:Y19)),ABS(SUM(Z19:AB19)),ABS(SUM(AC19:AE19)))=ABS(SUM(W19:Y19)),"跨市场",IF(MAX(ABS(SUM(L19:M19)),ABS(SUM(N19:P19)),ABS(Q19),ABS(SUM(R19:T19)),ABS(SUM(U19:V19)),ABS(SUM(W19:Y19)),ABS(SUM(Z19:AB19)),ABS(SUM(AC19:AE19)))=ABS(SUM(Z19:AB19)),"宏观代理","事件"))))))))</x:f>
      </x:c>
      <x:c r="L19" s="198"/>
      <x:c r="M19" s="198"/>
      <x:c r="N19" s="198"/>
      <x:c r="O19" s="198"/>
      <x:c r="P19" s="198"/>
      <x:c r="Q19" s="198"/>
      <x:c r="R19" s="198"/>
      <x:c r="S19" s="198"/>
      <x:c r="T19" s="198"/>
      <x:c r="U19" s="198"/>
      <x:c r="V19" s="198"/>
      <x:c r="W19" s="198"/>
      <x:c r="X19" s="198"/>
      <x:c r="Y19" s="198"/>
      <x:c r="Z19" s="198"/>
      <x:c r="AA19" s="198"/>
      <x:c r="AB19" s="198"/>
      <x:c r="AC19" s="198"/>
      <x:c r="AD19" s="198"/>
      <x:c r="AE19" s="198"/>
      <x:c r="AF19" s="215"/>
    </x:row>
    <x:row r="20">
      <x:c r="A20" s="238"/>
      <x:c r="B20" s="215" t="str">
        <x:v>正常</x:v>
      </x:c>
      <x:c r="C20" s="199"/>
      <x:c r="D20" s="223" t="str">
        <x:f>IF(COUNTA(L20:AE20)=0,"",SUMPRODUCT(L20:AE20,'参数'!$C$6:$C$25,'参数'!$D$6:$D$25,INDEX('参数'!$E$6:$J$25,0,MATCH(B20,'参数'!$E$5:$J$5,0)),'参数'!$K$6:$K$25)/SUMPRODUCT('参数'!$C$6:$C$25,'参数'!$D$6:$D$25,INDEX('参数'!$E$6:$J$25,0,MATCH(B20,'参数'!$E$5:$J$5,0)),'参数'!$K$6:$K$25))</x:f>
      </x:c>
      <x:c r="E20" s="223" t="str">
        <x:f>IF(D20="","",SUMPRODUCT(ABS(L20:AE20),'参数'!$C$6:$C$25,'参数'!$D$6:$D$25,INDEX('参数'!$E$6:$J$25,0,MATCH(B20,'参数'!$E$5:$J$5,0)))/SUMPRODUCT('参数'!$C$6:$C$25,'参数'!$D$6:$D$25,INDEX('参数'!$E$6:$J$25,0,MATCH(B20,'参数'!$E$5:$J$5,0))))</x:f>
      </x:c>
      <x:c r="F20" s="194" t="str">
        <x:f>IF(D20="","",IF(D20&gt;='参数'!$B$30,1,IF(D20&lt;=-'参数'!$B$30,-1,0)))</x:f>
      </x:c>
      <x:c r="G20" s="194" t="str">
        <x:f>IF(C20="","",IF(C20&gt;='参数'!$B$37,1,IF(C20&lt;=-'参数'!$B$37,-1,0)))</x:f>
      </x:c>
      <x:c r="H20" s="194" t="str">
        <x:f>IF(OR(F20="",G20=""),"",--(F20=G20))</x:f>
      </x:c>
      <x:c r="I20" s="214" t="str">
        <x:f>IF(D20="","",D20*'参数'!$B$34)</x:f>
      </x:c>
      <x:c r="J20" s="214" t="str">
        <x:f>IF(OR(C20="",I20=""),"",ABS(C20-I20))</x:f>
      </x:c>
      <x:c r="K20" s="194" t="str">
        <x:f>IF(D20="","",IF(MAX(ABS(SUM(L20:M20)),ABS(SUM(N20:P20)),ABS(Q20),ABS(SUM(R20:T20)),ABS(SUM(U20:V20)),ABS(SUM(W20:Y20)),ABS(SUM(Z20:AB20)),ABS(SUM(AC20:AE20)))=ABS(SUM(L20:M20)),"订单流",IF(MAX(ABS(SUM(L20:M20)),ABS(SUM(N20:P20)),ABS(Q20),ABS(SUM(R20:T20)),ABS(SUM(U20:V20)),ABS(SUM(W20:Y20)),ABS(SUM(Z20:AB20)),ABS(SUM(AC20:AE20)))=ABS(SUM(N20:P20)),"流动性",IF(MAX(ABS(SUM(L20:M20)),ABS(SUM(N20:P20)),ABS(Q20),ABS(SUM(R20:T20)),ABS(SUM(U20:V20)),ABS(SUM(W20:Y20)),ABS(SUM(Z20:AB20)),ABS(SUM(AC20:AE20)))=ABS(Q20),"价格行为",IF(MAX(ABS(SUM(L20:M20)),ABS(SUM(N20:P20)),ABS(Q20),ABS(SUM(R20:T20)),ABS(SUM(U20:V20)),ABS(SUM(W20:Y20)),ABS(SUM(Z20:AB20)),ABS(SUM(AC20:AE20)))=ABS(SUM(R20:T20)),"杠杆/清算",IF(MAX(ABS(SUM(L20:M20)),ABS(SUM(N20:P20)),ABS(Q20),ABS(SUM(R20:T20)),ABS(SUM(U20:V20)),ABS(SUM(W20:Y20)),ABS(SUM(Z20:AB20)),ABS(SUM(AC20:AE20)))=ABS(SUM(U20:V20)),"衍生品",IF(MAX(ABS(SUM(L20:M20)),ABS(SUM(N20:P20)),ABS(Q20),ABS(SUM(R20:T20)),ABS(SUM(U20:V20)),ABS(SUM(W20:Y20)),ABS(SUM(Z20:AB20)),ABS(SUM(AC20:AE20)))=ABS(SUM(W20:Y20)),"跨市场",IF(MAX(ABS(SUM(L20:M20)),ABS(SUM(N20:P20)),ABS(Q20),ABS(SUM(R20:T20)),ABS(SUM(U20:V20)),ABS(SUM(W20:Y20)),ABS(SUM(Z20:AB20)),ABS(SUM(AC20:AE20)))=ABS(SUM(Z20:AB20)),"宏观代理","事件"))))))))</x:f>
      </x:c>
      <x:c r="L20" s="198"/>
      <x:c r="M20" s="198"/>
      <x:c r="N20" s="198"/>
      <x:c r="O20" s="198"/>
      <x:c r="P20" s="198"/>
      <x:c r="Q20" s="198"/>
      <x:c r="R20" s="198"/>
      <x:c r="S20" s="198"/>
      <x:c r="T20" s="198"/>
      <x:c r="U20" s="198"/>
      <x:c r="V20" s="198"/>
      <x:c r="W20" s="198"/>
      <x:c r="X20" s="198"/>
      <x:c r="Y20" s="198"/>
      <x:c r="Z20" s="198"/>
      <x:c r="AA20" s="198"/>
      <x:c r="AB20" s="198"/>
      <x:c r="AC20" s="198"/>
      <x:c r="AD20" s="198"/>
      <x:c r="AE20" s="198"/>
      <x:c r="AF20" s="215"/>
    </x:row>
    <x:row r="21">
      <x:c r="A21" s="238"/>
      <x:c r="B21" s="215" t="str">
        <x:v>正常</x:v>
      </x:c>
      <x:c r="C21" s="199"/>
      <x:c r="D21" s="223" t="str">
        <x:f>IF(COUNTA(L21:AE21)=0,"",SUMPRODUCT(L21:AE21,'参数'!$C$6:$C$25,'参数'!$D$6:$D$25,INDEX('参数'!$E$6:$J$25,0,MATCH(B21,'参数'!$E$5:$J$5,0)),'参数'!$K$6:$K$25)/SUMPRODUCT('参数'!$C$6:$C$25,'参数'!$D$6:$D$25,INDEX('参数'!$E$6:$J$25,0,MATCH(B21,'参数'!$E$5:$J$5,0)),'参数'!$K$6:$K$25))</x:f>
      </x:c>
      <x:c r="E21" s="223" t="str">
        <x:f>IF(D21="","",SUMPRODUCT(ABS(L21:AE21),'参数'!$C$6:$C$25,'参数'!$D$6:$D$25,INDEX('参数'!$E$6:$J$25,0,MATCH(B21,'参数'!$E$5:$J$5,0)))/SUMPRODUCT('参数'!$C$6:$C$25,'参数'!$D$6:$D$25,INDEX('参数'!$E$6:$J$25,0,MATCH(B21,'参数'!$E$5:$J$5,0))))</x:f>
      </x:c>
      <x:c r="F21" s="194" t="str">
        <x:f>IF(D21="","",IF(D21&gt;='参数'!$B$30,1,IF(D21&lt;=-'参数'!$B$30,-1,0)))</x:f>
      </x:c>
      <x:c r="G21" s="194" t="str">
        <x:f>IF(C21="","",IF(C21&gt;='参数'!$B$37,1,IF(C21&lt;=-'参数'!$B$37,-1,0)))</x:f>
      </x:c>
      <x:c r="H21" s="194" t="str">
        <x:f>IF(OR(F21="",G21=""),"",--(F21=G21))</x:f>
      </x:c>
      <x:c r="I21" s="214" t="str">
        <x:f>IF(D21="","",D21*'参数'!$B$34)</x:f>
      </x:c>
      <x:c r="J21" s="214" t="str">
        <x:f>IF(OR(C21="",I21=""),"",ABS(C21-I21))</x:f>
      </x:c>
      <x:c r="K21" s="194" t="str">
        <x:f>IF(D21="","",IF(MAX(ABS(SUM(L21:M21)),ABS(SUM(N21:P21)),ABS(Q21),ABS(SUM(R21:T21)),ABS(SUM(U21:V21)),ABS(SUM(W21:Y21)),ABS(SUM(Z21:AB21)),ABS(SUM(AC21:AE21)))=ABS(SUM(L21:M21)),"订单流",IF(MAX(ABS(SUM(L21:M21)),ABS(SUM(N21:P21)),ABS(Q21),ABS(SUM(R21:T21)),ABS(SUM(U21:V21)),ABS(SUM(W21:Y21)),ABS(SUM(Z21:AB21)),ABS(SUM(AC21:AE21)))=ABS(SUM(N21:P21)),"流动性",IF(MAX(ABS(SUM(L21:M21)),ABS(SUM(N21:P21)),ABS(Q21),ABS(SUM(R21:T21)),ABS(SUM(U21:V21)),ABS(SUM(W21:Y21)),ABS(SUM(Z21:AB21)),ABS(SUM(AC21:AE21)))=ABS(Q21),"价格行为",IF(MAX(ABS(SUM(L21:M21)),ABS(SUM(N21:P21)),ABS(Q21),ABS(SUM(R21:T21)),ABS(SUM(U21:V21)),ABS(SUM(W21:Y21)),ABS(SUM(Z21:AB21)),ABS(SUM(AC21:AE21)))=ABS(SUM(R21:T21)),"杠杆/清算",IF(MAX(ABS(SUM(L21:M21)),ABS(SUM(N21:P21)),ABS(Q21),ABS(SUM(R21:T21)),ABS(SUM(U21:V21)),ABS(SUM(W21:Y21)),ABS(SUM(Z21:AB21)),ABS(SUM(AC21:AE21)))=ABS(SUM(U21:V21)),"衍生品",IF(MAX(ABS(SUM(L21:M21)),ABS(SUM(N21:P21)),ABS(Q21),ABS(SUM(R21:T21)),ABS(SUM(U21:V21)),ABS(SUM(W21:Y21)),ABS(SUM(Z21:AB21)),ABS(SUM(AC21:AE21)))=ABS(SUM(W21:Y21)),"跨市场",IF(MAX(ABS(SUM(L21:M21)),ABS(SUM(N21:P21)),ABS(Q21),ABS(SUM(R21:T21)),ABS(SUM(U21:V21)),ABS(SUM(W21:Y21)),ABS(SUM(Z21:AB21)),ABS(SUM(AC21:AE21)))=ABS(SUM(Z21:AB21)),"宏观代理","事件"))))))))</x:f>
      </x:c>
      <x:c r="L21" s="198"/>
      <x:c r="M21" s="198"/>
      <x:c r="N21" s="198"/>
      <x:c r="O21" s="198"/>
      <x:c r="P21" s="198"/>
      <x:c r="Q21" s="198"/>
      <x:c r="R21" s="198"/>
      <x:c r="S21" s="198"/>
      <x:c r="T21" s="198"/>
      <x:c r="U21" s="198"/>
      <x:c r="V21" s="198"/>
      <x:c r="W21" s="198"/>
      <x:c r="X21" s="198"/>
      <x:c r="Y21" s="198"/>
      <x:c r="Z21" s="198"/>
      <x:c r="AA21" s="198"/>
      <x:c r="AB21" s="198"/>
      <x:c r="AC21" s="198"/>
      <x:c r="AD21" s="198"/>
      <x:c r="AE21" s="198"/>
      <x:c r="AF21" s="215"/>
    </x:row>
    <x:row r="22">
      <x:c r="A22" s="238"/>
      <x:c r="B22" s="215" t="str">
        <x:v>正常</x:v>
      </x:c>
      <x:c r="C22" s="199"/>
      <x:c r="D22" s="223" t="str">
        <x:f>IF(COUNTA(L22:AE22)=0,"",SUMPRODUCT(L22:AE22,'参数'!$C$6:$C$25,'参数'!$D$6:$D$25,INDEX('参数'!$E$6:$J$25,0,MATCH(B22,'参数'!$E$5:$J$5,0)),'参数'!$K$6:$K$25)/SUMPRODUCT('参数'!$C$6:$C$25,'参数'!$D$6:$D$25,INDEX('参数'!$E$6:$J$25,0,MATCH(B22,'参数'!$E$5:$J$5,0)),'参数'!$K$6:$K$25))</x:f>
      </x:c>
      <x:c r="E22" s="223" t="str">
        <x:f>IF(D22="","",SUMPRODUCT(ABS(L22:AE22),'参数'!$C$6:$C$25,'参数'!$D$6:$D$25,INDEX('参数'!$E$6:$J$25,0,MATCH(B22,'参数'!$E$5:$J$5,0)))/SUMPRODUCT('参数'!$C$6:$C$25,'参数'!$D$6:$D$25,INDEX('参数'!$E$6:$J$25,0,MATCH(B22,'参数'!$E$5:$J$5,0))))</x:f>
      </x:c>
      <x:c r="F22" s="194" t="str">
        <x:f>IF(D22="","",IF(D22&gt;='参数'!$B$30,1,IF(D22&lt;=-'参数'!$B$30,-1,0)))</x:f>
      </x:c>
      <x:c r="G22" s="194" t="str">
        <x:f>IF(C22="","",IF(C22&gt;='参数'!$B$37,1,IF(C22&lt;=-'参数'!$B$37,-1,0)))</x:f>
      </x:c>
      <x:c r="H22" s="194" t="str">
        <x:f>IF(OR(F22="",G22=""),"",--(F22=G22))</x:f>
      </x:c>
      <x:c r="I22" s="214" t="str">
        <x:f>IF(D22="","",D22*'参数'!$B$34)</x:f>
      </x:c>
      <x:c r="J22" s="214" t="str">
        <x:f>IF(OR(C22="",I22=""),"",ABS(C22-I22))</x:f>
      </x:c>
      <x:c r="K22" s="194" t="str">
        <x:f>IF(D22="","",IF(MAX(ABS(SUM(L22:M22)),ABS(SUM(N22:P22)),ABS(Q22),ABS(SUM(R22:T22)),ABS(SUM(U22:V22)),ABS(SUM(W22:Y22)),ABS(SUM(Z22:AB22)),ABS(SUM(AC22:AE22)))=ABS(SUM(L22:M22)),"订单流",IF(MAX(ABS(SUM(L22:M22)),ABS(SUM(N22:P22)),ABS(Q22),ABS(SUM(R22:T22)),ABS(SUM(U22:V22)),ABS(SUM(W22:Y22)),ABS(SUM(Z22:AB22)),ABS(SUM(AC22:AE22)))=ABS(SUM(N22:P22)),"流动性",IF(MAX(ABS(SUM(L22:M22)),ABS(SUM(N22:P22)),ABS(Q22),ABS(SUM(R22:T22)),ABS(SUM(U22:V22)),ABS(SUM(W22:Y22)),ABS(SUM(Z22:AB22)),ABS(SUM(AC22:AE22)))=ABS(Q22),"价格行为",IF(MAX(ABS(SUM(L22:M22)),ABS(SUM(N22:P22)),ABS(Q22),ABS(SUM(R22:T22)),ABS(SUM(U22:V22)),ABS(SUM(W22:Y22)),ABS(SUM(Z22:AB22)),ABS(SUM(AC22:AE22)))=ABS(SUM(R22:T22)),"杠杆/清算",IF(MAX(ABS(SUM(L22:M22)),ABS(SUM(N22:P22)),ABS(Q22),ABS(SUM(R22:T22)),ABS(SUM(U22:V22)),ABS(SUM(W22:Y22)),ABS(SUM(Z22:AB22)),ABS(SUM(AC22:AE22)))=ABS(SUM(U22:V22)),"衍生品",IF(MAX(ABS(SUM(L22:M22)),ABS(SUM(N22:P22)),ABS(Q22),ABS(SUM(R22:T22)),ABS(SUM(U22:V22)),ABS(SUM(W22:Y22)),ABS(SUM(Z22:AB22)),ABS(SUM(AC22:AE22)))=ABS(SUM(W22:Y22)),"跨市场",IF(MAX(ABS(SUM(L22:M22)),ABS(SUM(N22:P22)),ABS(Q22),ABS(SUM(R22:T22)),ABS(SUM(U22:V22)),ABS(SUM(W22:Y22)),ABS(SUM(Z22:AB22)),ABS(SUM(AC22:AE22)))=ABS(SUM(Z22:AB22)),"宏观代理","事件"))))))))</x:f>
      </x:c>
      <x:c r="L22" s="198"/>
      <x:c r="M22" s="198"/>
      <x:c r="N22" s="198"/>
      <x:c r="O22" s="198"/>
      <x:c r="P22" s="198"/>
      <x:c r="Q22" s="198"/>
      <x:c r="R22" s="198"/>
      <x:c r="S22" s="198"/>
      <x:c r="T22" s="198"/>
      <x:c r="U22" s="198"/>
      <x:c r="V22" s="198"/>
      <x:c r="W22" s="198"/>
      <x:c r="X22" s="198"/>
      <x:c r="Y22" s="198"/>
      <x:c r="Z22" s="198"/>
      <x:c r="AA22" s="198"/>
      <x:c r="AB22" s="198"/>
      <x:c r="AC22" s="198"/>
      <x:c r="AD22" s="198"/>
      <x:c r="AE22" s="198"/>
      <x:c r="AF22" s="215"/>
    </x:row>
    <x:row r="23">
      <x:c r="A23" s="238"/>
      <x:c r="B23" s="215" t="str">
        <x:v>正常</x:v>
      </x:c>
      <x:c r="C23" s="199"/>
      <x:c r="D23" s="223" t="str">
        <x:f>IF(COUNTA(L23:AE23)=0,"",SUMPRODUCT(L23:AE23,'参数'!$C$6:$C$25,'参数'!$D$6:$D$25,INDEX('参数'!$E$6:$J$25,0,MATCH(B23,'参数'!$E$5:$J$5,0)),'参数'!$K$6:$K$25)/SUMPRODUCT('参数'!$C$6:$C$25,'参数'!$D$6:$D$25,INDEX('参数'!$E$6:$J$25,0,MATCH(B23,'参数'!$E$5:$J$5,0)),'参数'!$K$6:$K$25))</x:f>
      </x:c>
      <x:c r="E23" s="223" t="str">
        <x:f>IF(D23="","",SUMPRODUCT(ABS(L23:AE23),'参数'!$C$6:$C$25,'参数'!$D$6:$D$25,INDEX('参数'!$E$6:$J$25,0,MATCH(B23,'参数'!$E$5:$J$5,0)))/SUMPRODUCT('参数'!$C$6:$C$25,'参数'!$D$6:$D$25,INDEX('参数'!$E$6:$J$25,0,MATCH(B23,'参数'!$E$5:$J$5,0))))</x:f>
      </x:c>
      <x:c r="F23" s="194" t="str">
        <x:f>IF(D23="","",IF(D23&gt;='参数'!$B$30,1,IF(D23&lt;=-'参数'!$B$30,-1,0)))</x:f>
      </x:c>
      <x:c r="G23" s="194" t="str">
        <x:f>IF(C23="","",IF(C23&gt;='参数'!$B$37,1,IF(C23&lt;=-'参数'!$B$37,-1,0)))</x:f>
      </x:c>
      <x:c r="H23" s="194" t="str">
        <x:f>IF(OR(F23="",G23=""),"",--(F23=G23))</x:f>
      </x:c>
      <x:c r="I23" s="214" t="str">
        <x:f>IF(D23="","",D23*'参数'!$B$34)</x:f>
      </x:c>
      <x:c r="J23" s="214" t="str">
        <x:f>IF(OR(C23="",I23=""),"",ABS(C23-I23))</x:f>
      </x:c>
      <x:c r="K23" s="194" t="str">
        <x:f>IF(D23="","",IF(MAX(ABS(SUM(L23:M23)),ABS(SUM(N23:P23)),ABS(Q23),ABS(SUM(R23:T23)),ABS(SUM(U23:V23)),ABS(SUM(W23:Y23)),ABS(SUM(Z23:AB23)),ABS(SUM(AC23:AE23)))=ABS(SUM(L23:M23)),"订单流",IF(MAX(ABS(SUM(L23:M23)),ABS(SUM(N23:P23)),ABS(Q23),ABS(SUM(R23:T23)),ABS(SUM(U23:V23)),ABS(SUM(W23:Y23)),ABS(SUM(Z23:AB23)),ABS(SUM(AC23:AE23)))=ABS(SUM(N23:P23)),"流动性",IF(MAX(ABS(SUM(L23:M23)),ABS(SUM(N23:P23)),ABS(Q23),ABS(SUM(R23:T23)),ABS(SUM(U23:V23)),ABS(SUM(W23:Y23)),ABS(SUM(Z23:AB23)),ABS(SUM(AC23:AE23)))=ABS(Q23),"价格行为",IF(MAX(ABS(SUM(L23:M23)),ABS(SUM(N23:P23)),ABS(Q23),ABS(SUM(R23:T23)),ABS(SUM(U23:V23)),ABS(SUM(W23:Y23)),ABS(SUM(Z23:AB23)),ABS(SUM(AC23:AE23)))=ABS(SUM(R23:T23)),"杠杆/清算",IF(MAX(ABS(SUM(L23:M23)),ABS(SUM(N23:P23)),ABS(Q23),ABS(SUM(R23:T23)),ABS(SUM(U23:V23)),ABS(SUM(W23:Y23)),ABS(SUM(Z23:AB23)),ABS(SUM(AC23:AE23)))=ABS(SUM(U23:V23)),"衍生品",IF(MAX(ABS(SUM(L23:M23)),ABS(SUM(N23:P23)),ABS(Q23),ABS(SUM(R23:T23)),ABS(SUM(U23:V23)),ABS(SUM(W23:Y23)),ABS(SUM(Z23:AB23)),ABS(SUM(AC23:AE23)))=ABS(SUM(W23:Y23)),"跨市场",IF(MAX(ABS(SUM(L23:M23)),ABS(SUM(N23:P23)),ABS(Q23),ABS(SUM(R23:T23)),ABS(SUM(U23:V23)),ABS(SUM(W23:Y23)),ABS(SUM(Z23:AB23)),ABS(SUM(AC23:AE23)))=ABS(SUM(Z23:AB23)),"宏观代理","事件"))))))))</x:f>
      </x:c>
      <x:c r="L23" s="198"/>
      <x:c r="M23" s="198"/>
      <x:c r="N23" s="198"/>
      <x:c r="O23" s="198"/>
      <x:c r="P23" s="198"/>
      <x:c r="Q23" s="198"/>
      <x:c r="R23" s="198"/>
      <x:c r="S23" s="198"/>
      <x:c r="T23" s="198"/>
      <x:c r="U23" s="198"/>
      <x:c r="V23" s="198"/>
      <x:c r="W23" s="198"/>
      <x:c r="X23" s="198"/>
      <x:c r="Y23" s="198"/>
      <x:c r="Z23" s="198"/>
      <x:c r="AA23" s="198"/>
      <x:c r="AB23" s="198"/>
      <x:c r="AC23" s="198"/>
      <x:c r="AD23" s="198"/>
      <x:c r="AE23" s="198"/>
      <x:c r="AF23" s="215"/>
    </x:row>
    <x:row r="24">
      <x:c r="A24" s="238"/>
      <x:c r="B24" s="215" t="str">
        <x:v>正常</x:v>
      </x:c>
      <x:c r="C24" s="199"/>
      <x:c r="D24" s="223" t="str">
        <x:f>IF(COUNTA(L24:AE24)=0,"",SUMPRODUCT(L24:AE24,'参数'!$C$6:$C$25,'参数'!$D$6:$D$25,INDEX('参数'!$E$6:$J$25,0,MATCH(B24,'参数'!$E$5:$J$5,0)),'参数'!$K$6:$K$25)/SUMPRODUCT('参数'!$C$6:$C$25,'参数'!$D$6:$D$25,INDEX('参数'!$E$6:$J$25,0,MATCH(B24,'参数'!$E$5:$J$5,0)),'参数'!$K$6:$K$25))</x:f>
      </x:c>
      <x:c r="E24" s="223" t="str">
        <x:f>IF(D24="","",SUMPRODUCT(ABS(L24:AE24),'参数'!$C$6:$C$25,'参数'!$D$6:$D$25,INDEX('参数'!$E$6:$J$25,0,MATCH(B24,'参数'!$E$5:$J$5,0)))/SUMPRODUCT('参数'!$C$6:$C$25,'参数'!$D$6:$D$25,INDEX('参数'!$E$6:$J$25,0,MATCH(B24,'参数'!$E$5:$J$5,0))))</x:f>
      </x:c>
      <x:c r="F24" s="194" t="str">
        <x:f>IF(D24="","",IF(D24&gt;='参数'!$B$30,1,IF(D24&lt;=-'参数'!$B$30,-1,0)))</x:f>
      </x:c>
      <x:c r="G24" s="194" t="str">
        <x:f>IF(C24="","",IF(C24&gt;='参数'!$B$37,1,IF(C24&lt;=-'参数'!$B$37,-1,0)))</x:f>
      </x:c>
      <x:c r="H24" s="194" t="str">
        <x:f>IF(OR(F24="",G24=""),"",--(F24=G24))</x:f>
      </x:c>
      <x:c r="I24" s="214" t="str">
        <x:f>IF(D24="","",D24*'参数'!$B$34)</x:f>
      </x:c>
      <x:c r="J24" s="214" t="str">
        <x:f>IF(OR(C24="",I24=""),"",ABS(C24-I24))</x:f>
      </x:c>
      <x:c r="K24" s="194" t="str">
        <x:f>IF(D24="","",IF(MAX(ABS(SUM(L24:M24)),ABS(SUM(N24:P24)),ABS(Q24),ABS(SUM(R24:T24)),ABS(SUM(U24:V24)),ABS(SUM(W24:Y24)),ABS(SUM(Z24:AB24)),ABS(SUM(AC24:AE24)))=ABS(SUM(L24:M24)),"订单流",IF(MAX(ABS(SUM(L24:M24)),ABS(SUM(N24:P24)),ABS(Q24),ABS(SUM(R24:T24)),ABS(SUM(U24:V24)),ABS(SUM(W24:Y24)),ABS(SUM(Z24:AB24)),ABS(SUM(AC24:AE24)))=ABS(SUM(N24:P24)),"流动性",IF(MAX(ABS(SUM(L24:M24)),ABS(SUM(N24:P24)),ABS(Q24),ABS(SUM(R24:T24)),ABS(SUM(U24:V24)),ABS(SUM(W24:Y24)),ABS(SUM(Z24:AB24)),ABS(SUM(AC24:AE24)))=ABS(Q24),"价格行为",IF(MAX(ABS(SUM(L24:M24)),ABS(SUM(N24:P24)),ABS(Q24),ABS(SUM(R24:T24)),ABS(SUM(U24:V24)),ABS(SUM(W24:Y24)),ABS(SUM(Z24:AB24)),ABS(SUM(AC24:AE24)))=ABS(SUM(R24:T24)),"杠杆/清算",IF(MAX(ABS(SUM(L24:M24)),ABS(SUM(N24:P24)),ABS(Q24),ABS(SUM(R24:T24)),ABS(SUM(U24:V24)),ABS(SUM(W24:Y24)),ABS(SUM(Z24:AB24)),ABS(SUM(AC24:AE24)))=ABS(SUM(U24:V24)),"衍生品",IF(MAX(ABS(SUM(L24:M24)),ABS(SUM(N24:P24)),ABS(Q24),ABS(SUM(R24:T24)),ABS(SUM(U24:V24)),ABS(SUM(W24:Y24)),ABS(SUM(Z24:AB24)),ABS(SUM(AC24:AE24)))=ABS(SUM(W24:Y24)),"跨市场",IF(MAX(ABS(SUM(L24:M24)),ABS(SUM(N24:P24)),ABS(Q24),ABS(SUM(R24:T24)),ABS(SUM(U24:V24)),ABS(SUM(W24:Y24)),ABS(SUM(Z24:AB24)),ABS(SUM(AC24:AE24)))=ABS(SUM(Z24:AB24)),"宏观代理","事件"))))))))</x:f>
      </x:c>
      <x:c r="L24" s="198"/>
      <x:c r="M24" s="198"/>
      <x:c r="N24" s="198"/>
      <x:c r="O24" s="198"/>
      <x:c r="P24" s="198"/>
      <x:c r="Q24" s="198"/>
      <x:c r="R24" s="198"/>
      <x:c r="S24" s="198"/>
      <x:c r="T24" s="198"/>
      <x:c r="U24" s="198"/>
      <x:c r="V24" s="198"/>
      <x:c r="W24" s="198"/>
      <x:c r="X24" s="198"/>
      <x:c r="Y24" s="198"/>
      <x:c r="Z24" s="198"/>
      <x:c r="AA24" s="198"/>
      <x:c r="AB24" s="198"/>
      <x:c r="AC24" s="198"/>
      <x:c r="AD24" s="198"/>
      <x:c r="AE24" s="198"/>
      <x:c r="AF24" s="215"/>
    </x:row>
    <x:row r="25">
      <x:c r="A25" s="238"/>
      <x:c r="B25" s="215" t="str">
        <x:v>正常</x:v>
      </x:c>
      <x:c r="C25" s="199"/>
      <x:c r="D25" s="223" t="str">
        <x:f>IF(COUNTA(L25:AE25)=0,"",SUMPRODUCT(L25:AE25,'参数'!$C$6:$C$25,'参数'!$D$6:$D$25,INDEX('参数'!$E$6:$J$25,0,MATCH(B25,'参数'!$E$5:$J$5,0)),'参数'!$K$6:$K$25)/SUMPRODUCT('参数'!$C$6:$C$25,'参数'!$D$6:$D$25,INDEX('参数'!$E$6:$J$25,0,MATCH(B25,'参数'!$E$5:$J$5,0)),'参数'!$K$6:$K$25))</x:f>
      </x:c>
      <x:c r="E25" s="223" t="str">
        <x:f>IF(D25="","",SUMPRODUCT(ABS(L25:AE25),'参数'!$C$6:$C$25,'参数'!$D$6:$D$25,INDEX('参数'!$E$6:$J$25,0,MATCH(B25,'参数'!$E$5:$J$5,0)))/SUMPRODUCT('参数'!$C$6:$C$25,'参数'!$D$6:$D$25,INDEX('参数'!$E$6:$J$25,0,MATCH(B25,'参数'!$E$5:$J$5,0))))</x:f>
      </x:c>
      <x:c r="F25" s="194" t="str">
        <x:f>IF(D25="","",IF(D25&gt;='参数'!$B$30,1,IF(D25&lt;=-'参数'!$B$30,-1,0)))</x:f>
      </x:c>
      <x:c r="G25" s="194" t="str">
        <x:f>IF(C25="","",IF(C25&gt;='参数'!$B$37,1,IF(C25&lt;=-'参数'!$B$37,-1,0)))</x:f>
      </x:c>
      <x:c r="H25" s="194" t="str">
        <x:f>IF(OR(F25="",G25=""),"",--(F25=G25))</x:f>
      </x:c>
      <x:c r="I25" s="214" t="str">
        <x:f>IF(D25="","",D25*'参数'!$B$34)</x:f>
      </x:c>
      <x:c r="J25" s="214" t="str">
        <x:f>IF(OR(C25="",I25=""),"",ABS(C25-I25))</x:f>
      </x:c>
      <x:c r="K25" s="194" t="str">
        <x:f>IF(D25="","",IF(MAX(ABS(SUM(L25:M25)),ABS(SUM(N25:P25)),ABS(Q25),ABS(SUM(R25:T25)),ABS(SUM(U25:V25)),ABS(SUM(W25:Y25)),ABS(SUM(Z25:AB25)),ABS(SUM(AC25:AE25)))=ABS(SUM(L25:M25)),"订单流",IF(MAX(ABS(SUM(L25:M25)),ABS(SUM(N25:P25)),ABS(Q25),ABS(SUM(R25:T25)),ABS(SUM(U25:V25)),ABS(SUM(W25:Y25)),ABS(SUM(Z25:AB25)),ABS(SUM(AC25:AE25)))=ABS(SUM(N25:P25)),"流动性",IF(MAX(ABS(SUM(L25:M25)),ABS(SUM(N25:P25)),ABS(Q25),ABS(SUM(R25:T25)),ABS(SUM(U25:V25)),ABS(SUM(W25:Y25)),ABS(SUM(Z25:AB25)),ABS(SUM(AC25:AE25)))=ABS(Q25),"价格行为",IF(MAX(ABS(SUM(L25:M25)),ABS(SUM(N25:P25)),ABS(Q25),ABS(SUM(R25:T25)),ABS(SUM(U25:V25)),ABS(SUM(W25:Y25)),ABS(SUM(Z25:AB25)),ABS(SUM(AC25:AE25)))=ABS(SUM(R25:T25)),"杠杆/清算",IF(MAX(ABS(SUM(L25:M25)),ABS(SUM(N25:P25)),ABS(Q25),ABS(SUM(R25:T25)),ABS(SUM(U25:V25)),ABS(SUM(W25:Y25)),ABS(SUM(Z25:AB25)),ABS(SUM(AC25:AE25)))=ABS(SUM(U25:V25)),"衍生品",IF(MAX(ABS(SUM(L25:M25)),ABS(SUM(N25:P25)),ABS(Q25),ABS(SUM(R25:T25)),ABS(SUM(U25:V25)),ABS(SUM(W25:Y25)),ABS(SUM(Z25:AB25)),ABS(SUM(AC25:AE25)))=ABS(SUM(W25:Y25)),"跨市场",IF(MAX(ABS(SUM(L25:M25)),ABS(SUM(N25:P25)),ABS(Q25),ABS(SUM(R25:T25)),ABS(SUM(U25:V25)),ABS(SUM(W25:Y25)),ABS(SUM(Z25:AB25)),ABS(SUM(AC25:AE25)))=ABS(SUM(Z25:AB25)),"宏观代理","事件"))))))))</x:f>
      </x:c>
      <x:c r="L25" s="198"/>
      <x:c r="M25" s="198"/>
      <x:c r="N25" s="198"/>
      <x:c r="O25" s="198"/>
      <x:c r="P25" s="198"/>
      <x:c r="Q25" s="198"/>
      <x:c r="R25" s="198"/>
      <x:c r="S25" s="198"/>
      <x:c r="T25" s="198"/>
      <x:c r="U25" s="198"/>
      <x:c r="V25" s="198"/>
      <x:c r="W25" s="198"/>
      <x:c r="X25" s="198"/>
      <x:c r="Y25" s="198"/>
      <x:c r="Z25" s="198"/>
      <x:c r="AA25" s="198"/>
      <x:c r="AB25" s="198"/>
      <x:c r="AC25" s="198"/>
      <x:c r="AD25" s="198"/>
      <x:c r="AE25" s="198"/>
      <x:c r="AF25" s="215"/>
    </x:row>
    <x:row r="26">
      <x:c r="A26" s="238"/>
      <x:c r="B26" s="215" t="str">
        <x:v>正常</x:v>
      </x:c>
      <x:c r="C26" s="199"/>
      <x:c r="D26" s="223" t="str">
        <x:f>IF(COUNTA(L26:AE26)=0,"",SUMPRODUCT(L26:AE26,'参数'!$C$6:$C$25,'参数'!$D$6:$D$25,INDEX('参数'!$E$6:$J$25,0,MATCH(B26,'参数'!$E$5:$J$5,0)),'参数'!$K$6:$K$25)/SUMPRODUCT('参数'!$C$6:$C$25,'参数'!$D$6:$D$25,INDEX('参数'!$E$6:$J$25,0,MATCH(B26,'参数'!$E$5:$J$5,0)),'参数'!$K$6:$K$25))</x:f>
      </x:c>
      <x:c r="E26" s="223" t="str">
        <x:f>IF(D26="","",SUMPRODUCT(ABS(L26:AE26),'参数'!$C$6:$C$25,'参数'!$D$6:$D$25,INDEX('参数'!$E$6:$J$25,0,MATCH(B26,'参数'!$E$5:$J$5,0)))/SUMPRODUCT('参数'!$C$6:$C$25,'参数'!$D$6:$D$25,INDEX('参数'!$E$6:$J$25,0,MATCH(B26,'参数'!$E$5:$J$5,0))))</x:f>
      </x:c>
      <x:c r="F26" s="194" t="str">
        <x:f>IF(D26="","",IF(D26&gt;='参数'!$B$30,1,IF(D26&lt;=-'参数'!$B$30,-1,0)))</x:f>
      </x:c>
      <x:c r="G26" s="194" t="str">
        <x:f>IF(C26="","",IF(C26&gt;='参数'!$B$37,1,IF(C26&lt;=-'参数'!$B$37,-1,0)))</x:f>
      </x:c>
      <x:c r="H26" s="194" t="str">
        <x:f>IF(OR(F26="",G26=""),"",--(F26=G26))</x:f>
      </x:c>
      <x:c r="I26" s="214" t="str">
        <x:f>IF(D26="","",D26*'参数'!$B$34)</x:f>
      </x:c>
      <x:c r="J26" s="214" t="str">
        <x:f>IF(OR(C26="",I26=""),"",ABS(C26-I26))</x:f>
      </x:c>
      <x:c r="K26" s="194" t="str">
        <x:f>IF(D26="","",IF(MAX(ABS(SUM(L26:M26)),ABS(SUM(N26:P26)),ABS(Q26),ABS(SUM(R26:T26)),ABS(SUM(U26:V26)),ABS(SUM(W26:Y26)),ABS(SUM(Z26:AB26)),ABS(SUM(AC26:AE26)))=ABS(SUM(L26:M26)),"订单流",IF(MAX(ABS(SUM(L26:M26)),ABS(SUM(N26:P26)),ABS(Q26),ABS(SUM(R26:T26)),ABS(SUM(U26:V26)),ABS(SUM(W26:Y26)),ABS(SUM(Z26:AB26)),ABS(SUM(AC26:AE26)))=ABS(SUM(N26:P26)),"流动性",IF(MAX(ABS(SUM(L26:M26)),ABS(SUM(N26:P26)),ABS(Q26),ABS(SUM(R26:T26)),ABS(SUM(U26:V26)),ABS(SUM(W26:Y26)),ABS(SUM(Z26:AB26)),ABS(SUM(AC26:AE26)))=ABS(Q26),"价格行为",IF(MAX(ABS(SUM(L26:M26)),ABS(SUM(N26:P26)),ABS(Q26),ABS(SUM(R26:T26)),ABS(SUM(U26:V26)),ABS(SUM(W26:Y26)),ABS(SUM(Z26:AB26)),ABS(SUM(AC26:AE26)))=ABS(SUM(R26:T26)),"杠杆/清算",IF(MAX(ABS(SUM(L26:M26)),ABS(SUM(N26:P26)),ABS(Q26),ABS(SUM(R26:T26)),ABS(SUM(U26:V26)),ABS(SUM(W26:Y26)),ABS(SUM(Z26:AB26)),ABS(SUM(AC26:AE26)))=ABS(SUM(U26:V26)),"衍生品",IF(MAX(ABS(SUM(L26:M26)),ABS(SUM(N26:P26)),ABS(Q26),ABS(SUM(R26:T26)),ABS(SUM(U26:V26)),ABS(SUM(W26:Y26)),ABS(SUM(Z26:AB26)),ABS(SUM(AC26:AE26)))=ABS(SUM(W26:Y26)),"跨市场",IF(MAX(ABS(SUM(L26:M26)),ABS(SUM(N26:P26)),ABS(Q26),ABS(SUM(R26:T26)),ABS(SUM(U26:V26)),ABS(SUM(W26:Y26)),ABS(SUM(Z26:AB26)),ABS(SUM(AC26:AE26)))=ABS(SUM(Z26:AB26)),"宏观代理","事件"))))))))</x:f>
      </x:c>
      <x:c r="L26" s="198"/>
      <x:c r="M26" s="198"/>
      <x:c r="N26" s="198"/>
      <x:c r="O26" s="198"/>
      <x:c r="P26" s="198"/>
      <x:c r="Q26" s="198"/>
      <x:c r="R26" s="198"/>
      <x:c r="S26" s="198"/>
      <x:c r="T26" s="198"/>
      <x:c r="U26" s="198"/>
      <x:c r="V26" s="198"/>
      <x:c r="W26" s="198"/>
      <x:c r="X26" s="198"/>
      <x:c r="Y26" s="198"/>
      <x:c r="Z26" s="198"/>
      <x:c r="AA26" s="198"/>
      <x:c r="AB26" s="198"/>
      <x:c r="AC26" s="198"/>
      <x:c r="AD26" s="198"/>
      <x:c r="AE26" s="198"/>
      <x:c r="AF26" s="215"/>
    </x:row>
    <x:row r="27">
      <x:c r="A27" s="238"/>
      <x:c r="B27" s="215" t="str">
        <x:v>正常</x:v>
      </x:c>
      <x:c r="C27" s="199"/>
      <x:c r="D27" s="223" t="str">
        <x:f>IF(COUNTA(L27:AE27)=0,"",SUMPRODUCT(L27:AE27,'参数'!$C$6:$C$25,'参数'!$D$6:$D$25,INDEX('参数'!$E$6:$J$25,0,MATCH(B27,'参数'!$E$5:$J$5,0)),'参数'!$K$6:$K$25)/SUMPRODUCT('参数'!$C$6:$C$25,'参数'!$D$6:$D$25,INDEX('参数'!$E$6:$J$25,0,MATCH(B27,'参数'!$E$5:$J$5,0)),'参数'!$K$6:$K$25))</x:f>
      </x:c>
      <x:c r="E27" s="223" t="str">
        <x:f>IF(D27="","",SUMPRODUCT(ABS(L27:AE27),'参数'!$C$6:$C$25,'参数'!$D$6:$D$25,INDEX('参数'!$E$6:$J$25,0,MATCH(B27,'参数'!$E$5:$J$5,0)))/SUMPRODUCT('参数'!$C$6:$C$25,'参数'!$D$6:$D$25,INDEX('参数'!$E$6:$J$25,0,MATCH(B27,'参数'!$E$5:$J$5,0))))</x:f>
      </x:c>
      <x:c r="F27" s="194" t="str">
        <x:f>IF(D27="","",IF(D27&gt;='参数'!$B$30,1,IF(D27&lt;=-'参数'!$B$30,-1,0)))</x:f>
      </x:c>
      <x:c r="G27" s="194" t="str">
        <x:f>IF(C27="","",IF(C27&gt;='参数'!$B$37,1,IF(C27&lt;=-'参数'!$B$37,-1,0)))</x:f>
      </x:c>
      <x:c r="H27" s="194" t="str">
        <x:f>IF(OR(F27="",G27=""),"",--(F27=G27))</x:f>
      </x:c>
      <x:c r="I27" s="214" t="str">
        <x:f>IF(D27="","",D27*'参数'!$B$34)</x:f>
      </x:c>
      <x:c r="J27" s="214" t="str">
        <x:f>IF(OR(C27="",I27=""),"",ABS(C27-I27))</x:f>
      </x:c>
      <x:c r="K27" s="194" t="str">
        <x:f>IF(D27="","",IF(MAX(ABS(SUM(L27:M27)),ABS(SUM(N27:P27)),ABS(Q27),ABS(SUM(R27:T27)),ABS(SUM(U27:V27)),ABS(SUM(W27:Y27)),ABS(SUM(Z27:AB27)),ABS(SUM(AC27:AE27)))=ABS(SUM(L27:M27)),"订单流",IF(MAX(ABS(SUM(L27:M27)),ABS(SUM(N27:P27)),ABS(Q27),ABS(SUM(R27:T27)),ABS(SUM(U27:V27)),ABS(SUM(W27:Y27)),ABS(SUM(Z27:AB27)),ABS(SUM(AC27:AE27)))=ABS(SUM(N27:P27)),"流动性",IF(MAX(ABS(SUM(L27:M27)),ABS(SUM(N27:P27)),ABS(Q27),ABS(SUM(R27:T27)),ABS(SUM(U27:V27)),ABS(SUM(W27:Y27)),ABS(SUM(Z27:AB27)),ABS(SUM(AC27:AE27)))=ABS(Q27),"价格行为",IF(MAX(ABS(SUM(L27:M27)),ABS(SUM(N27:P27)),ABS(Q27),ABS(SUM(R27:T27)),ABS(SUM(U27:V27)),ABS(SUM(W27:Y27)),ABS(SUM(Z27:AB27)),ABS(SUM(AC27:AE27)))=ABS(SUM(R27:T27)),"杠杆/清算",IF(MAX(ABS(SUM(L27:M27)),ABS(SUM(N27:P27)),ABS(Q27),ABS(SUM(R27:T27)),ABS(SUM(U27:V27)),ABS(SUM(W27:Y27)),ABS(SUM(Z27:AB27)),ABS(SUM(AC27:AE27)))=ABS(SUM(U27:V27)),"衍生品",IF(MAX(ABS(SUM(L27:M27)),ABS(SUM(N27:P27)),ABS(Q27),ABS(SUM(R27:T27)),ABS(SUM(U27:V27)),ABS(SUM(W27:Y27)),ABS(SUM(Z27:AB27)),ABS(SUM(AC27:AE27)))=ABS(SUM(W27:Y27)),"跨市场",IF(MAX(ABS(SUM(L27:M27)),ABS(SUM(N27:P27)),ABS(Q27),ABS(SUM(R27:T27)),ABS(SUM(U27:V27)),ABS(SUM(W27:Y27)),ABS(SUM(Z27:AB27)),ABS(SUM(AC27:AE27)))=ABS(SUM(Z27:AB27)),"宏观代理","事件"))))))))</x:f>
      </x:c>
      <x:c r="L27" s="198"/>
      <x:c r="M27" s="198"/>
      <x:c r="N27" s="198"/>
      <x:c r="O27" s="198"/>
      <x:c r="P27" s="198"/>
      <x:c r="Q27" s="198"/>
      <x:c r="R27" s="198"/>
      <x:c r="S27" s="198"/>
      <x:c r="T27" s="198"/>
      <x:c r="U27" s="198"/>
      <x:c r="V27" s="198"/>
      <x:c r="W27" s="198"/>
      <x:c r="X27" s="198"/>
      <x:c r="Y27" s="198"/>
      <x:c r="Z27" s="198"/>
      <x:c r="AA27" s="198"/>
      <x:c r="AB27" s="198"/>
      <x:c r="AC27" s="198"/>
      <x:c r="AD27" s="198"/>
      <x:c r="AE27" s="198"/>
      <x:c r="AF27" s="215"/>
    </x:row>
    <x:row r="28">
      <x:c r="A28" s="238"/>
      <x:c r="B28" s="215" t="str">
        <x:v>正常</x:v>
      </x:c>
      <x:c r="C28" s="199"/>
      <x:c r="D28" s="223" t="str">
        <x:f>IF(COUNTA(L28:AE28)=0,"",SUMPRODUCT(L28:AE28,'参数'!$C$6:$C$25,'参数'!$D$6:$D$25,INDEX('参数'!$E$6:$J$25,0,MATCH(B28,'参数'!$E$5:$J$5,0)),'参数'!$K$6:$K$25)/SUMPRODUCT('参数'!$C$6:$C$25,'参数'!$D$6:$D$25,INDEX('参数'!$E$6:$J$25,0,MATCH(B28,'参数'!$E$5:$J$5,0)),'参数'!$K$6:$K$25))</x:f>
      </x:c>
      <x:c r="E28" s="223" t="str">
        <x:f>IF(D28="","",SUMPRODUCT(ABS(L28:AE28),'参数'!$C$6:$C$25,'参数'!$D$6:$D$25,INDEX('参数'!$E$6:$J$25,0,MATCH(B28,'参数'!$E$5:$J$5,0)))/SUMPRODUCT('参数'!$C$6:$C$25,'参数'!$D$6:$D$25,INDEX('参数'!$E$6:$J$25,0,MATCH(B28,'参数'!$E$5:$J$5,0))))</x:f>
      </x:c>
      <x:c r="F28" s="194" t="str">
        <x:f>IF(D28="","",IF(D28&gt;='参数'!$B$30,1,IF(D28&lt;=-'参数'!$B$30,-1,0)))</x:f>
      </x:c>
      <x:c r="G28" s="194" t="str">
        <x:f>IF(C28="","",IF(C28&gt;='参数'!$B$37,1,IF(C28&lt;=-'参数'!$B$37,-1,0)))</x:f>
      </x:c>
      <x:c r="H28" s="194" t="str">
        <x:f>IF(OR(F28="",G28=""),"",--(F28=G28))</x:f>
      </x:c>
      <x:c r="I28" s="214" t="str">
        <x:f>IF(D28="","",D28*'参数'!$B$34)</x:f>
      </x:c>
      <x:c r="J28" s="214" t="str">
        <x:f>IF(OR(C28="",I28=""),"",ABS(C28-I28))</x:f>
      </x:c>
      <x:c r="K28" s="194" t="str">
        <x:f>IF(D28="","",IF(MAX(ABS(SUM(L28:M28)),ABS(SUM(N28:P28)),ABS(Q28),ABS(SUM(R28:T28)),ABS(SUM(U28:V28)),ABS(SUM(W28:Y28)),ABS(SUM(Z28:AB28)),ABS(SUM(AC28:AE28)))=ABS(SUM(L28:M28)),"订单流",IF(MAX(ABS(SUM(L28:M28)),ABS(SUM(N28:P28)),ABS(Q28),ABS(SUM(R28:T28)),ABS(SUM(U28:V28)),ABS(SUM(W28:Y28)),ABS(SUM(Z28:AB28)),ABS(SUM(AC28:AE28)))=ABS(SUM(N28:P28)),"流动性",IF(MAX(ABS(SUM(L28:M28)),ABS(SUM(N28:P28)),ABS(Q28),ABS(SUM(R28:T28)),ABS(SUM(U28:V28)),ABS(SUM(W28:Y28)),ABS(SUM(Z28:AB28)),ABS(SUM(AC28:AE28)))=ABS(Q28),"价格行为",IF(MAX(ABS(SUM(L28:M28)),ABS(SUM(N28:P28)),ABS(Q28),ABS(SUM(R28:T28)),ABS(SUM(U28:V28)),ABS(SUM(W28:Y28)),ABS(SUM(Z28:AB28)),ABS(SUM(AC28:AE28)))=ABS(SUM(R28:T28)),"杠杆/清算",IF(MAX(ABS(SUM(L28:M28)),ABS(SUM(N28:P28)),ABS(Q28),ABS(SUM(R28:T28)),ABS(SUM(U28:V28)),ABS(SUM(W28:Y28)),ABS(SUM(Z28:AB28)),ABS(SUM(AC28:AE28)))=ABS(SUM(U28:V28)),"衍生品",IF(MAX(ABS(SUM(L28:M28)),ABS(SUM(N28:P28)),ABS(Q28),ABS(SUM(R28:T28)),ABS(SUM(U28:V28)),ABS(SUM(W28:Y28)),ABS(SUM(Z28:AB28)),ABS(SUM(AC28:AE28)))=ABS(SUM(W28:Y28)),"跨市场",IF(MAX(ABS(SUM(L28:M28)),ABS(SUM(N28:P28)),ABS(Q28),ABS(SUM(R28:T28)),ABS(SUM(U28:V28)),ABS(SUM(W28:Y28)),ABS(SUM(Z28:AB28)),ABS(SUM(AC28:AE28)))=ABS(SUM(Z28:AB28)),"宏观代理","事件"))))))))</x:f>
      </x:c>
      <x:c r="L28" s="198"/>
      <x:c r="M28" s="198"/>
      <x:c r="N28" s="198"/>
      <x:c r="O28" s="198"/>
      <x:c r="P28" s="198"/>
      <x:c r="Q28" s="198"/>
      <x:c r="R28" s="198"/>
      <x:c r="S28" s="198"/>
      <x:c r="T28" s="198"/>
      <x:c r="U28" s="198"/>
      <x:c r="V28" s="198"/>
      <x:c r="W28" s="198"/>
      <x:c r="X28" s="198"/>
      <x:c r="Y28" s="198"/>
      <x:c r="Z28" s="198"/>
      <x:c r="AA28" s="198"/>
      <x:c r="AB28" s="198"/>
      <x:c r="AC28" s="198"/>
      <x:c r="AD28" s="198"/>
      <x:c r="AE28" s="198"/>
      <x:c r="AF28" s="215"/>
    </x:row>
    <x:row r="29">
      <x:c r="A29" s="238"/>
      <x:c r="B29" s="215" t="str">
        <x:v>正常</x:v>
      </x:c>
      <x:c r="C29" s="199"/>
      <x:c r="D29" s="223" t="str">
        <x:f>IF(COUNTA(L29:AE29)=0,"",SUMPRODUCT(L29:AE29,'参数'!$C$6:$C$25,'参数'!$D$6:$D$25,INDEX('参数'!$E$6:$J$25,0,MATCH(B29,'参数'!$E$5:$J$5,0)),'参数'!$K$6:$K$25)/SUMPRODUCT('参数'!$C$6:$C$25,'参数'!$D$6:$D$25,INDEX('参数'!$E$6:$J$25,0,MATCH(B29,'参数'!$E$5:$J$5,0)),'参数'!$K$6:$K$25))</x:f>
      </x:c>
      <x:c r="E29" s="223" t="str">
        <x:f>IF(D29="","",SUMPRODUCT(ABS(L29:AE29),'参数'!$C$6:$C$25,'参数'!$D$6:$D$25,INDEX('参数'!$E$6:$J$25,0,MATCH(B29,'参数'!$E$5:$J$5,0)))/SUMPRODUCT('参数'!$C$6:$C$25,'参数'!$D$6:$D$25,INDEX('参数'!$E$6:$J$25,0,MATCH(B29,'参数'!$E$5:$J$5,0))))</x:f>
      </x:c>
      <x:c r="F29" s="194" t="str">
        <x:f>IF(D29="","",IF(D29&gt;='参数'!$B$30,1,IF(D29&lt;=-'参数'!$B$30,-1,0)))</x:f>
      </x:c>
      <x:c r="G29" s="194" t="str">
        <x:f>IF(C29="","",IF(C29&gt;='参数'!$B$37,1,IF(C29&lt;=-'参数'!$B$37,-1,0)))</x:f>
      </x:c>
      <x:c r="H29" s="194" t="str">
        <x:f>IF(OR(F29="",G29=""),"",--(F29=G29))</x:f>
      </x:c>
      <x:c r="I29" s="214" t="str">
        <x:f>IF(D29="","",D29*'参数'!$B$34)</x:f>
      </x:c>
      <x:c r="J29" s="214" t="str">
        <x:f>IF(OR(C29="",I29=""),"",ABS(C29-I29))</x:f>
      </x:c>
      <x:c r="K29" s="194" t="str">
        <x:f>IF(D29="","",IF(MAX(ABS(SUM(L29:M29)),ABS(SUM(N29:P29)),ABS(Q29),ABS(SUM(R29:T29)),ABS(SUM(U29:V29)),ABS(SUM(W29:Y29)),ABS(SUM(Z29:AB29)),ABS(SUM(AC29:AE29)))=ABS(SUM(L29:M29)),"订单流",IF(MAX(ABS(SUM(L29:M29)),ABS(SUM(N29:P29)),ABS(Q29),ABS(SUM(R29:T29)),ABS(SUM(U29:V29)),ABS(SUM(W29:Y29)),ABS(SUM(Z29:AB29)),ABS(SUM(AC29:AE29)))=ABS(SUM(N29:P29)),"流动性",IF(MAX(ABS(SUM(L29:M29)),ABS(SUM(N29:P29)),ABS(Q29),ABS(SUM(R29:T29)),ABS(SUM(U29:V29)),ABS(SUM(W29:Y29)),ABS(SUM(Z29:AB29)),ABS(SUM(AC29:AE29)))=ABS(Q29),"价格行为",IF(MAX(ABS(SUM(L29:M29)),ABS(SUM(N29:P29)),ABS(Q29),ABS(SUM(R29:T29)),ABS(SUM(U29:V29)),ABS(SUM(W29:Y29)),ABS(SUM(Z29:AB29)),ABS(SUM(AC29:AE29)))=ABS(SUM(R29:T29)),"杠杆/清算",IF(MAX(ABS(SUM(L29:M29)),ABS(SUM(N29:P29)),ABS(Q29),ABS(SUM(R29:T29)),ABS(SUM(U29:V29)),ABS(SUM(W29:Y29)),ABS(SUM(Z29:AB29)),ABS(SUM(AC29:AE29)))=ABS(SUM(U29:V29)),"衍生品",IF(MAX(ABS(SUM(L29:M29)),ABS(SUM(N29:P29)),ABS(Q29),ABS(SUM(R29:T29)),ABS(SUM(U29:V29)),ABS(SUM(W29:Y29)),ABS(SUM(Z29:AB29)),ABS(SUM(AC29:AE29)))=ABS(SUM(W29:Y29)),"跨市场",IF(MAX(ABS(SUM(L29:M29)),ABS(SUM(N29:P29)),ABS(Q29),ABS(SUM(R29:T29)),ABS(SUM(U29:V29)),ABS(SUM(W29:Y29)),ABS(SUM(Z29:AB29)),ABS(SUM(AC29:AE29)))=ABS(SUM(Z29:AB29)),"宏观代理","事件"))))))))</x:f>
      </x:c>
      <x:c r="L29" s="198"/>
      <x:c r="M29" s="198"/>
      <x:c r="N29" s="198"/>
      <x:c r="O29" s="198"/>
      <x:c r="P29" s="198"/>
      <x:c r="Q29" s="198"/>
      <x:c r="R29" s="198"/>
      <x:c r="S29" s="198"/>
      <x:c r="T29" s="198"/>
      <x:c r="U29" s="198"/>
      <x:c r="V29" s="198"/>
      <x:c r="W29" s="198"/>
      <x:c r="X29" s="198"/>
      <x:c r="Y29" s="198"/>
      <x:c r="Z29" s="198"/>
      <x:c r="AA29" s="198"/>
      <x:c r="AB29" s="198"/>
      <x:c r="AC29" s="198"/>
      <x:c r="AD29" s="198"/>
      <x:c r="AE29" s="198"/>
      <x:c r="AF29" s="215"/>
    </x:row>
    <x:row r="30">
      <x:c r="A30" s="238"/>
      <x:c r="B30" s="215" t="str">
        <x:v>正常</x:v>
      </x:c>
      <x:c r="C30" s="199"/>
      <x:c r="D30" s="223" t="str">
        <x:f>IF(COUNTA(L30:AE30)=0,"",SUMPRODUCT(L30:AE30,'参数'!$C$6:$C$25,'参数'!$D$6:$D$25,INDEX('参数'!$E$6:$J$25,0,MATCH(B30,'参数'!$E$5:$J$5,0)),'参数'!$K$6:$K$25)/SUMPRODUCT('参数'!$C$6:$C$25,'参数'!$D$6:$D$25,INDEX('参数'!$E$6:$J$25,0,MATCH(B30,'参数'!$E$5:$J$5,0)),'参数'!$K$6:$K$25))</x:f>
      </x:c>
      <x:c r="E30" s="223" t="str">
        <x:f>IF(D30="","",SUMPRODUCT(ABS(L30:AE30),'参数'!$C$6:$C$25,'参数'!$D$6:$D$25,INDEX('参数'!$E$6:$J$25,0,MATCH(B30,'参数'!$E$5:$J$5,0)))/SUMPRODUCT('参数'!$C$6:$C$25,'参数'!$D$6:$D$25,INDEX('参数'!$E$6:$J$25,0,MATCH(B30,'参数'!$E$5:$J$5,0))))</x:f>
      </x:c>
      <x:c r="F30" s="194" t="str">
        <x:f>IF(D30="","",IF(D30&gt;='参数'!$B$30,1,IF(D30&lt;=-'参数'!$B$30,-1,0)))</x:f>
      </x:c>
      <x:c r="G30" s="194" t="str">
        <x:f>IF(C30="","",IF(C30&gt;='参数'!$B$37,1,IF(C30&lt;=-'参数'!$B$37,-1,0)))</x:f>
      </x:c>
      <x:c r="H30" s="194" t="str">
        <x:f>IF(OR(F30="",G30=""),"",--(F30=G30))</x:f>
      </x:c>
      <x:c r="I30" s="214" t="str">
        <x:f>IF(D30="","",D30*'参数'!$B$34)</x:f>
      </x:c>
      <x:c r="J30" s="214" t="str">
        <x:f>IF(OR(C30="",I30=""),"",ABS(C30-I30))</x:f>
      </x:c>
      <x:c r="K30" s="194" t="str">
        <x:f>IF(D30="","",IF(MAX(ABS(SUM(L30:M30)),ABS(SUM(N30:P30)),ABS(Q30),ABS(SUM(R30:T30)),ABS(SUM(U30:V30)),ABS(SUM(W30:Y30)),ABS(SUM(Z30:AB30)),ABS(SUM(AC30:AE30)))=ABS(SUM(L30:M30)),"订单流",IF(MAX(ABS(SUM(L30:M30)),ABS(SUM(N30:P30)),ABS(Q30),ABS(SUM(R30:T30)),ABS(SUM(U30:V30)),ABS(SUM(W30:Y30)),ABS(SUM(Z30:AB30)),ABS(SUM(AC30:AE30)))=ABS(SUM(N30:P30)),"流动性",IF(MAX(ABS(SUM(L30:M30)),ABS(SUM(N30:P30)),ABS(Q30),ABS(SUM(R30:T30)),ABS(SUM(U30:V30)),ABS(SUM(W30:Y30)),ABS(SUM(Z30:AB30)),ABS(SUM(AC30:AE30)))=ABS(Q30),"价格行为",IF(MAX(ABS(SUM(L30:M30)),ABS(SUM(N30:P30)),ABS(Q30),ABS(SUM(R30:T30)),ABS(SUM(U30:V30)),ABS(SUM(W30:Y30)),ABS(SUM(Z30:AB30)),ABS(SUM(AC30:AE30)))=ABS(SUM(R30:T30)),"杠杆/清算",IF(MAX(ABS(SUM(L30:M30)),ABS(SUM(N30:P30)),ABS(Q30),ABS(SUM(R30:T30)),ABS(SUM(U30:V30)),ABS(SUM(W30:Y30)),ABS(SUM(Z30:AB30)),ABS(SUM(AC30:AE30)))=ABS(SUM(U30:V30)),"衍生品",IF(MAX(ABS(SUM(L30:M30)),ABS(SUM(N30:P30)),ABS(Q30),ABS(SUM(R30:T30)),ABS(SUM(U30:V30)),ABS(SUM(W30:Y30)),ABS(SUM(Z30:AB30)),ABS(SUM(AC30:AE30)))=ABS(SUM(W30:Y30)),"跨市场",IF(MAX(ABS(SUM(L30:M30)),ABS(SUM(N30:P30)),ABS(Q30),ABS(SUM(R30:T30)),ABS(SUM(U30:V30)),ABS(SUM(W30:Y30)),ABS(SUM(Z30:AB30)),ABS(SUM(AC30:AE30)))=ABS(SUM(Z30:AB30)),"宏观代理","事件"))))))))</x:f>
      </x:c>
      <x:c r="L30" s="198"/>
      <x:c r="M30" s="198"/>
      <x:c r="N30" s="198"/>
      <x:c r="O30" s="198"/>
      <x:c r="P30" s="198"/>
      <x:c r="Q30" s="198"/>
      <x:c r="R30" s="198"/>
      <x:c r="S30" s="198"/>
      <x:c r="T30" s="198"/>
      <x:c r="U30" s="198"/>
      <x:c r="V30" s="198"/>
      <x:c r="W30" s="198"/>
      <x:c r="X30" s="198"/>
      <x:c r="Y30" s="198"/>
      <x:c r="Z30" s="198"/>
      <x:c r="AA30" s="198"/>
      <x:c r="AB30" s="198"/>
      <x:c r="AC30" s="198"/>
      <x:c r="AD30" s="198"/>
      <x:c r="AE30" s="198"/>
      <x:c r="AF30" s="215"/>
    </x:row>
    <x:row r="31">
      <x:c r="A31" s="238"/>
      <x:c r="B31" s="215" t="str">
        <x:v>正常</x:v>
      </x:c>
      <x:c r="C31" s="199"/>
      <x:c r="D31" s="223" t="str">
        <x:f>IF(COUNTA(L31:AE31)=0,"",SUMPRODUCT(L31:AE31,'参数'!$C$6:$C$25,'参数'!$D$6:$D$25,INDEX('参数'!$E$6:$J$25,0,MATCH(B31,'参数'!$E$5:$J$5,0)),'参数'!$K$6:$K$25)/SUMPRODUCT('参数'!$C$6:$C$25,'参数'!$D$6:$D$25,INDEX('参数'!$E$6:$J$25,0,MATCH(B31,'参数'!$E$5:$J$5,0)),'参数'!$K$6:$K$25))</x:f>
      </x:c>
      <x:c r="E31" s="223" t="str">
        <x:f>IF(D31="","",SUMPRODUCT(ABS(L31:AE31),'参数'!$C$6:$C$25,'参数'!$D$6:$D$25,INDEX('参数'!$E$6:$J$25,0,MATCH(B31,'参数'!$E$5:$J$5,0)))/SUMPRODUCT('参数'!$C$6:$C$25,'参数'!$D$6:$D$25,INDEX('参数'!$E$6:$J$25,0,MATCH(B31,'参数'!$E$5:$J$5,0))))</x:f>
      </x:c>
      <x:c r="F31" s="194" t="str">
        <x:f>IF(D31="","",IF(D31&gt;='参数'!$B$30,1,IF(D31&lt;=-'参数'!$B$30,-1,0)))</x:f>
      </x:c>
      <x:c r="G31" s="194" t="str">
        <x:f>IF(C31="","",IF(C31&gt;='参数'!$B$37,1,IF(C31&lt;=-'参数'!$B$37,-1,0)))</x:f>
      </x:c>
      <x:c r="H31" s="194" t="str">
        <x:f>IF(OR(F31="",G31=""),"",--(F31=G31))</x:f>
      </x:c>
      <x:c r="I31" s="214" t="str">
        <x:f>IF(D31="","",D31*'参数'!$B$34)</x:f>
      </x:c>
      <x:c r="J31" s="214" t="str">
        <x:f>IF(OR(C31="",I31=""),"",ABS(C31-I31))</x:f>
      </x:c>
      <x:c r="K31" s="194" t="str">
        <x:f>IF(D31="","",IF(MAX(ABS(SUM(L31:M31)),ABS(SUM(N31:P31)),ABS(Q31),ABS(SUM(R31:T31)),ABS(SUM(U31:V31)),ABS(SUM(W31:Y31)),ABS(SUM(Z31:AB31)),ABS(SUM(AC31:AE31)))=ABS(SUM(L31:M31)),"订单流",IF(MAX(ABS(SUM(L31:M31)),ABS(SUM(N31:P31)),ABS(Q31),ABS(SUM(R31:T31)),ABS(SUM(U31:V31)),ABS(SUM(W31:Y31)),ABS(SUM(Z31:AB31)),ABS(SUM(AC31:AE31)))=ABS(SUM(N31:P31)),"流动性",IF(MAX(ABS(SUM(L31:M31)),ABS(SUM(N31:P31)),ABS(Q31),ABS(SUM(R31:T31)),ABS(SUM(U31:V31)),ABS(SUM(W31:Y31)),ABS(SUM(Z31:AB31)),ABS(SUM(AC31:AE31)))=ABS(Q31),"价格行为",IF(MAX(ABS(SUM(L31:M31)),ABS(SUM(N31:P31)),ABS(Q31),ABS(SUM(R31:T31)),ABS(SUM(U31:V31)),ABS(SUM(W31:Y31)),ABS(SUM(Z31:AB31)),ABS(SUM(AC31:AE31)))=ABS(SUM(R31:T31)),"杠杆/清算",IF(MAX(ABS(SUM(L31:M31)),ABS(SUM(N31:P31)),ABS(Q31),ABS(SUM(R31:T31)),ABS(SUM(U31:V31)),ABS(SUM(W31:Y31)),ABS(SUM(Z31:AB31)),ABS(SUM(AC31:AE31)))=ABS(SUM(U31:V31)),"衍生品",IF(MAX(ABS(SUM(L31:M31)),ABS(SUM(N31:P31)),ABS(Q31),ABS(SUM(R31:T31)),ABS(SUM(U31:V31)),ABS(SUM(W31:Y31)),ABS(SUM(Z31:AB31)),ABS(SUM(AC31:AE31)))=ABS(SUM(W31:Y31)),"跨市场",IF(MAX(ABS(SUM(L31:M31)),ABS(SUM(N31:P31)),ABS(Q31),ABS(SUM(R31:T31)),ABS(SUM(U31:V31)),ABS(SUM(W31:Y31)),ABS(SUM(Z31:AB31)),ABS(SUM(AC31:AE31)))=ABS(SUM(Z31:AB31)),"宏观代理","事件"))))))))</x:f>
      </x:c>
      <x:c r="L31" s="198"/>
      <x:c r="M31" s="198"/>
      <x:c r="N31" s="198"/>
      <x:c r="O31" s="198"/>
      <x:c r="P31" s="198"/>
      <x:c r="Q31" s="198"/>
      <x:c r="R31" s="198"/>
      <x:c r="S31" s="198"/>
      <x:c r="T31" s="198"/>
      <x:c r="U31" s="198"/>
      <x:c r="V31" s="198"/>
      <x:c r="W31" s="198"/>
      <x:c r="X31" s="198"/>
      <x:c r="Y31" s="198"/>
      <x:c r="Z31" s="198"/>
      <x:c r="AA31" s="198"/>
      <x:c r="AB31" s="198"/>
      <x:c r="AC31" s="198"/>
      <x:c r="AD31" s="198"/>
      <x:c r="AE31" s="198"/>
      <x:c r="AF31" s="215"/>
    </x:row>
    <x:row r="32">
      <x:c r="A32" s="238"/>
      <x:c r="B32" s="215" t="str">
        <x:v>正常</x:v>
      </x:c>
      <x:c r="C32" s="199"/>
      <x:c r="D32" s="223" t="str">
        <x:f>IF(COUNTA(L32:AE32)=0,"",SUMPRODUCT(L32:AE32,'参数'!$C$6:$C$25,'参数'!$D$6:$D$25,INDEX('参数'!$E$6:$J$25,0,MATCH(B32,'参数'!$E$5:$J$5,0)),'参数'!$K$6:$K$25)/SUMPRODUCT('参数'!$C$6:$C$25,'参数'!$D$6:$D$25,INDEX('参数'!$E$6:$J$25,0,MATCH(B32,'参数'!$E$5:$J$5,0)),'参数'!$K$6:$K$25))</x:f>
      </x:c>
      <x:c r="E32" s="223" t="str">
        <x:f>IF(D32="","",SUMPRODUCT(ABS(L32:AE32),'参数'!$C$6:$C$25,'参数'!$D$6:$D$25,INDEX('参数'!$E$6:$J$25,0,MATCH(B32,'参数'!$E$5:$J$5,0)))/SUMPRODUCT('参数'!$C$6:$C$25,'参数'!$D$6:$D$25,INDEX('参数'!$E$6:$J$25,0,MATCH(B32,'参数'!$E$5:$J$5,0))))</x:f>
      </x:c>
      <x:c r="F32" s="194" t="str">
        <x:f>IF(D32="","",IF(D32&gt;='参数'!$B$30,1,IF(D32&lt;=-'参数'!$B$30,-1,0)))</x:f>
      </x:c>
      <x:c r="G32" s="194" t="str">
        <x:f>IF(C32="","",IF(C32&gt;='参数'!$B$37,1,IF(C32&lt;=-'参数'!$B$37,-1,0)))</x:f>
      </x:c>
      <x:c r="H32" s="194" t="str">
        <x:f>IF(OR(F32="",G32=""),"",--(F32=G32))</x:f>
      </x:c>
      <x:c r="I32" s="214" t="str">
        <x:f>IF(D32="","",D32*'参数'!$B$34)</x:f>
      </x:c>
      <x:c r="J32" s="214" t="str">
        <x:f>IF(OR(C32="",I32=""),"",ABS(C32-I32))</x:f>
      </x:c>
      <x:c r="K32" s="194" t="str">
        <x:f>IF(D32="","",IF(MAX(ABS(SUM(L32:M32)),ABS(SUM(N32:P32)),ABS(Q32),ABS(SUM(R32:T32)),ABS(SUM(U32:V32)),ABS(SUM(W32:Y32)),ABS(SUM(Z32:AB32)),ABS(SUM(AC32:AE32)))=ABS(SUM(L32:M32)),"订单流",IF(MAX(ABS(SUM(L32:M32)),ABS(SUM(N32:P32)),ABS(Q32),ABS(SUM(R32:T32)),ABS(SUM(U32:V32)),ABS(SUM(W32:Y32)),ABS(SUM(Z32:AB32)),ABS(SUM(AC32:AE32)))=ABS(SUM(N32:P32)),"流动性",IF(MAX(ABS(SUM(L32:M32)),ABS(SUM(N32:P32)),ABS(Q32),ABS(SUM(R32:T32)),ABS(SUM(U32:V32)),ABS(SUM(W32:Y32)),ABS(SUM(Z32:AB32)),ABS(SUM(AC32:AE32)))=ABS(Q32),"价格行为",IF(MAX(ABS(SUM(L32:M32)),ABS(SUM(N32:P32)),ABS(Q32),ABS(SUM(R32:T32)),ABS(SUM(U32:V32)),ABS(SUM(W32:Y32)),ABS(SUM(Z32:AB32)),ABS(SUM(AC32:AE32)))=ABS(SUM(R32:T32)),"杠杆/清算",IF(MAX(ABS(SUM(L32:M32)),ABS(SUM(N32:P32)),ABS(Q32),ABS(SUM(R32:T32)),ABS(SUM(U32:V32)),ABS(SUM(W32:Y32)),ABS(SUM(Z32:AB32)),ABS(SUM(AC32:AE32)))=ABS(SUM(U32:V32)),"衍生品",IF(MAX(ABS(SUM(L32:M32)),ABS(SUM(N32:P32)),ABS(Q32),ABS(SUM(R32:T32)),ABS(SUM(U32:V32)),ABS(SUM(W32:Y32)),ABS(SUM(Z32:AB32)),ABS(SUM(AC32:AE32)))=ABS(SUM(W32:Y32)),"跨市场",IF(MAX(ABS(SUM(L32:M32)),ABS(SUM(N32:P32)),ABS(Q32),ABS(SUM(R32:T32)),ABS(SUM(U32:V32)),ABS(SUM(W32:Y32)),ABS(SUM(Z32:AB32)),ABS(SUM(AC32:AE32)))=ABS(SUM(Z32:AB32)),"宏观代理","事件"))))))))</x:f>
      </x:c>
      <x:c r="L32" s="198"/>
      <x:c r="M32" s="198"/>
      <x:c r="N32" s="198"/>
      <x:c r="O32" s="198"/>
      <x:c r="P32" s="198"/>
      <x:c r="Q32" s="198"/>
      <x:c r="R32" s="198"/>
      <x:c r="S32" s="198"/>
      <x:c r="T32" s="198"/>
      <x:c r="U32" s="198"/>
      <x:c r="V32" s="198"/>
      <x:c r="W32" s="198"/>
      <x:c r="X32" s="198"/>
      <x:c r="Y32" s="198"/>
      <x:c r="Z32" s="198"/>
      <x:c r="AA32" s="198"/>
      <x:c r="AB32" s="198"/>
      <x:c r="AC32" s="198"/>
      <x:c r="AD32" s="198"/>
      <x:c r="AE32" s="198"/>
      <x:c r="AF32" s="215"/>
    </x:row>
    <x:row r="33">
      <x:c r="A33" s="238"/>
      <x:c r="B33" s="215" t="str">
        <x:v>正常</x:v>
      </x:c>
      <x:c r="C33" s="199"/>
      <x:c r="D33" s="223" t="str">
        <x:f>IF(COUNTA(L33:AE33)=0,"",SUMPRODUCT(L33:AE33,'参数'!$C$6:$C$25,'参数'!$D$6:$D$25,INDEX('参数'!$E$6:$J$25,0,MATCH(B33,'参数'!$E$5:$J$5,0)),'参数'!$K$6:$K$25)/SUMPRODUCT('参数'!$C$6:$C$25,'参数'!$D$6:$D$25,INDEX('参数'!$E$6:$J$25,0,MATCH(B33,'参数'!$E$5:$J$5,0)),'参数'!$K$6:$K$25))</x:f>
      </x:c>
      <x:c r="E33" s="223" t="str">
        <x:f>IF(D33="","",SUMPRODUCT(ABS(L33:AE33),'参数'!$C$6:$C$25,'参数'!$D$6:$D$25,INDEX('参数'!$E$6:$J$25,0,MATCH(B33,'参数'!$E$5:$J$5,0)))/SUMPRODUCT('参数'!$C$6:$C$25,'参数'!$D$6:$D$25,INDEX('参数'!$E$6:$J$25,0,MATCH(B33,'参数'!$E$5:$J$5,0))))</x:f>
      </x:c>
      <x:c r="F33" s="194" t="str">
        <x:f>IF(D33="","",IF(D33&gt;='参数'!$B$30,1,IF(D33&lt;=-'参数'!$B$30,-1,0)))</x:f>
      </x:c>
      <x:c r="G33" s="194" t="str">
        <x:f>IF(C33="","",IF(C33&gt;='参数'!$B$37,1,IF(C33&lt;=-'参数'!$B$37,-1,0)))</x:f>
      </x:c>
      <x:c r="H33" s="194" t="str">
        <x:f>IF(OR(F33="",G33=""),"",--(F33=G33))</x:f>
      </x:c>
      <x:c r="I33" s="214" t="str">
        <x:f>IF(D33="","",D33*'参数'!$B$34)</x:f>
      </x:c>
      <x:c r="J33" s="214" t="str">
        <x:f>IF(OR(C33="",I33=""),"",ABS(C33-I33))</x:f>
      </x:c>
      <x:c r="K33" s="194" t="str">
        <x:f>IF(D33="","",IF(MAX(ABS(SUM(L33:M33)),ABS(SUM(N33:P33)),ABS(Q33),ABS(SUM(R33:T33)),ABS(SUM(U33:V33)),ABS(SUM(W33:Y33)),ABS(SUM(Z33:AB33)),ABS(SUM(AC33:AE33)))=ABS(SUM(L33:M33)),"订单流",IF(MAX(ABS(SUM(L33:M33)),ABS(SUM(N33:P33)),ABS(Q33),ABS(SUM(R33:T33)),ABS(SUM(U33:V33)),ABS(SUM(W33:Y33)),ABS(SUM(Z33:AB33)),ABS(SUM(AC33:AE33)))=ABS(SUM(N33:P33)),"流动性",IF(MAX(ABS(SUM(L33:M33)),ABS(SUM(N33:P33)),ABS(Q33),ABS(SUM(R33:T33)),ABS(SUM(U33:V33)),ABS(SUM(W33:Y33)),ABS(SUM(Z33:AB33)),ABS(SUM(AC33:AE33)))=ABS(Q33),"价格行为",IF(MAX(ABS(SUM(L33:M33)),ABS(SUM(N33:P33)),ABS(Q33),ABS(SUM(R33:T33)),ABS(SUM(U33:V33)),ABS(SUM(W33:Y33)),ABS(SUM(Z33:AB33)),ABS(SUM(AC33:AE33)))=ABS(SUM(R33:T33)),"杠杆/清算",IF(MAX(ABS(SUM(L33:M33)),ABS(SUM(N33:P33)),ABS(Q33),ABS(SUM(R33:T33)),ABS(SUM(U33:V33)),ABS(SUM(W33:Y33)),ABS(SUM(Z33:AB33)),ABS(SUM(AC33:AE33)))=ABS(SUM(U33:V33)),"衍生品",IF(MAX(ABS(SUM(L33:M33)),ABS(SUM(N33:P33)),ABS(Q33),ABS(SUM(R33:T33)),ABS(SUM(U33:V33)),ABS(SUM(W33:Y33)),ABS(SUM(Z33:AB33)),ABS(SUM(AC33:AE33)))=ABS(SUM(W33:Y33)),"跨市场",IF(MAX(ABS(SUM(L33:M33)),ABS(SUM(N33:P33)),ABS(Q33),ABS(SUM(R33:T33)),ABS(SUM(U33:V33)),ABS(SUM(W33:Y33)),ABS(SUM(Z33:AB33)),ABS(SUM(AC33:AE33)))=ABS(SUM(Z33:AB33)),"宏观代理","事件"))))))))</x:f>
      </x:c>
      <x:c r="L33" s="198"/>
      <x:c r="M33" s="198"/>
      <x:c r="N33" s="198"/>
      <x:c r="O33" s="198"/>
      <x:c r="P33" s="198"/>
      <x:c r="Q33" s="198"/>
      <x:c r="R33" s="198"/>
      <x:c r="S33" s="198"/>
      <x:c r="T33" s="198"/>
      <x:c r="U33" s="198"/>
      <x:c r="V33" s="198"/>
      <x:c r="W33" s="198"/>
      <x:c r="X33" s="198"/>
      <x:c r="Y33" s="198"/>
      <x:c r="Z33" s="198"/>
      <x:c r="AA33" s="198"/>
      <x:c r="AB33" s="198"/>
      <x:c r="AC33" s="198"/>
      <x:c r="AD33" s="198"/>
      <x:c r="AE33" s="198"/>
      <x:c r="AF33" s="215"/>
    </x:row>
    <x:row r="34">
      <x:c r="A34" s="238"/>
      <x:c r="B34" s="215" t="str">
        <x:v>正常</x:v>
      </x:c>
      <x:c r="C34" s="199"/>
      <x:c r="D34" s="223" t="str">
        <x:f>IF(COUNTA(L34:AE34)=0,"",SUMPRODUCT(L34:AE34,'参数'!$C$6:$C$25,'参数'!$D$6:$D$25,INDEX('参数'!$E$6:$J$25,0,MATCH(B34,'参数'!$E$5:$J$5,0)),'参数'!$K$6:$K$25)/SUMPRODUCT('参数'!$C$6:$C$25,'参数'!$D$6:$D$25,INDEX('参数'!$E$6:$J$25,0,MATCH(B34,'参数'!$E$5:$J$5,0)),'参数'!$K$6:$K$25))</x:f>
      </x:c>
      <x:c r="E34" s="223" t="str">
        <x:f>IF(D34="","",SUMPRODUCT(ABS(L34:AE34),'参数'!$C$6:$C$25,'参数'!$D$6:$D$25,INDEX('参数'!$E$6:$J$25,0,MATCH(B34,'参数'!$E$5:$J$5,0)))/SUMPRODUCT('参数'!$C$6:$C$25,'参数'!$D$6:$D$25,INDEX('参数'!$E$6:$J$25,0,MATCH(B34,'参数'!$E$5:$J$5,0))))</x:f>
      </x:c>
      <x:c r="F34" s="194" t="str">
        <x:f>IF(D34="","",IF(D34&gt;='参数'!$B$30,1,IF(D34&lt;=-'参数'!$B$30,-1,0)))</x:f>
      </x:c>
      <x:c r="G34" s="194" t="str">
        <x:f>IF(C34="","",IF(C34&gt;='参数'!$B$37,1,IF(C34&lt;=-'参数'!$B$37,-1,0)))</x:f>
      </x:c>
      <x:c r="H34" s="194" t="str">
        <x:f>IF(OR(F34="",G34=""),"",--(F34=G34))</x:f>
      </x:c>
      <x:c r="I34" s="214" t="str">
        <x:f>IF(D34="","",D34*'参数'!$B$34)</x:f>
      </x:c>
      <x:c r="J34" s="214" t="str">
        <x:f>IF(OR(C34="",I34=""),"",ABS(C34-I34))</x:f>
      </x:c>
      <x:c r="K34" s="194" t="str">
        <x:f>IF(D34="","",IF(MAX(ABS(SUM(L34:M34)),ABS(SUM(N34:P34)),ABS(Q34),ABS(SUM(R34:T34)),ABS(SUM(U34:V34)),ABS(SUM(W34:Y34)),ABS(SUM(Z34:AB34)),ABS(SUM(AC34:AE34)))=ABS(SUM(L34:M34)),"订单流",IF(MAX(ABS(SUM(L34:M34)),ABS(SUM(N34:P34)),ABS(Q34),ABS(SUM(R34:T34)),ABS(SUM(U34:V34)),ABS(SUM(W34:Y34)),ABS(SUM(Z34:AB34)),ABS(SUM(AC34:AE34)))=ABS(SUM(N34:P34)),"流动性",IF(MAX(ABS(SUM(L34:M34)),ABS(SUM(N34:P34)),ABS(Q34),ABS(SUM(R34:T34)),ABS(SUM(U34:V34)),ABS(SUM(W34:Y34)),ABS(SUM(Z34:AB34)),ABS(SUM(AC34:AE34)))=ABS(Q34),"价格行为",IF(MAX(ABS(SUM(L34:M34)),ABS(SUM(N34:P34)),ABS(Q34),ABS(SUM(R34:T34)),ABS(SUM(U34:V34)),ABS(SUM(W34:Y34)),ABS(SUM(Z34:AB34)),ABS(SUM(AC34:AE34)))=ABS(SUM(R34:T34)),"杠杆/清算",IF(MAX(ABS(SUM(L34:M34)),ABS(SUM(N34:P34)),ABS(Q34),ABS(SUM(R34:T34)),ABS(SUM(U34:V34)),ABS(SUM(W34:Y34)),ABS(SUM(Z34:AB34)),ABS(SUM(AC34:AE34)))=ABS(SUM(U34:V34)),"衍生品",IF(MAX(ABS(SUM(L34:M34)),ABS(SUM(N34:P34)),ABS(Q34),ABS(SUM(R34:T34)),ABS(SUM(U34:V34)),ABS(SUM(W34:Y34)),ABS(SUM(Z34:AB34)),ABS(SUM(AC34:AE34)))=ABS(SUM(W34:Y34)),"跨市场",IF(MAX(ABS(SUM(L34:M34)),ABS(SUM(N34:P34)),ABS(Q34),ABS(SUM(R34:T34)),ABS(SUM(U34:V34)),ABS(SUM(W34:Y34)),ABS(SUM(Z34:AB34)),ABS(SUM(AC34:AE34)))=ABS(SUM(Z34:AB34)),"宏观代理","事件"))))))))</x:f>
      </x:c>
      <x:c r="L34" s="198"/>
      <x:c r="M34" s="198"/>
      <x:c r="N34" s="198"/>
      <x:c r="O34" s="198"/>
      <x:c r="P34" s="198"/>
      <x:c r="Q34" s="198"/>
      <x:c r="R34" s="198"/>
      <x:c r="S34" s="198"/>
      <x:c r="T34" s="198"/>
      <x:c r="U34" s="198"/>
      <x:c r="V34" s="198"/>
      <x:c r="W34" s="198"/>
      <x:c r="X34" s="198"/>
      <x:c r="Y34" s="198"/>
      <x:c r="Z34" s="198"/>
      <x:c r="AA34" s="198"/>
      <x:c r="AB34" s="198"/>
      <x:c r="AC34" s="198"/>
      <x:c r="AD34" s="198"/>
      <x:c r="AE34" s="198"/>
      <x:c r="AF34" s="215"/>
    </x:row>
    <x:row r="35">
      <x:c r="A35" s="238"/>
      <x:c r="B35" s="215" t="str">
        <x:v>正常</x:v>
      </x:c>
      <x:c r="C35" s="199"/>
      <x:c r="D35" s="223" t="str">
        <x:f>IF(COUNTA(L35:AE35)=0,"",SUMPRODUCT(L35:AE35,'参数'!$C$6:$C$25,'参数'!$D$6:$D$25,INDEX('参数'!$E$6:$J$25,0,MATCH(B35,'参数'!$E$5:$J$5,0)),'参数'!$K$6:$K$25)/SUMPRODUCT('参数'!$C$6:$C$25,'参数'!$D$6:$D$25,INDEX('参数'!$E$6:$J$25,0,MATCH(B35,'参数'!$E$5:$J$5,0)),'参数'!$K$6:$K$25))</x:f>
      </x:c>
      <x:c r="E35" s="223" t="str">
        <x:f>IF(D35="","",SUMPRODUCT(ABS(L35:AE35),'参数'!$C$6:$C$25,'参数'!$D$6:$D$25,INDEX('参数'!$E$6:$J$25,0,MATCH(B35,'参数'!$E$5:$J$5,0)))/SUMPRODUCT('参数'!$C$6:$C$25,'参数'!$D$6:$D$25,INDEX('参数'!$E$6:$J$25,0,MATCH(B35,'参数'!$E$5:$J$5,0))))</x:f>
      </x:c>
      <x:c r="F35" s="194" t="str">
        <x:f>IF(D35="","",IF(D35&gt;='参数'!$B$30,1,IF(D35&lt;=-'参数'!$B$30,-1,0)))</x:f>
      </x:c>
      <x:c r="G35" s="194" t="str">
        <x:f>IF(C35="","",IF(C35&gt;='参数'!$B$37,1,IF(C35&lt;=-'参数'!$B$37,-1,0)))</x:f>
      </x:c>
      <x:c r="H35" s="194" t="str">
        <x:f>IF(OR(F35="",G35=""),"",--(F35=G35))</x:f>
      </x:c>
      <x:c r="I35" s="214" t="str">
        <x:f>IF(D35="","",D35*'参数'!$B$34)</x:f>
      </x:c>
      <x:c r="J35" s="214" t="str">
        <x:f>IF(OR(C35="",I35=""),"",ABS(C35-I35))</x:f>
      </x:c>
      <x:c r="K35" s="194" t="str">
        <x:f>IF(D35="","",IF(MAX(ABS(SUM(L35:M35)),ABS(SUM(N35:P35)),ABS(Q35),ABS(SUM(R35:T35)),ABS(SUM(U35:V35)),ABS(SUM(W35:Y35)),ABS(SUM(Z35:AB35)),ABS(SUM(AC35:AE35)))=ABS(SUM(L35:M35)),"订单流",IF(MAX(ABS(SUM(L35:M35)),ABS(SUM(N35:P35)),ABS(Q35),ABS(SUM(R35:T35)),ABS(SUM(U35:V35)),ABS(SUM(W35:Y35)),ABS(SUM(Z35:AB35)),ABS(SUM(AC35:AE35)))=ABS(SUM(N35:P35)),"流动性",IF(MAX(ABS(SUM(L35:M35)),ABS(SUM(N35:P35)),ABS(Q35),ABS(SUM(R35:T35)),ABS(SUM(U35:V35)),ABS(SUM(W35:Y35)),ABS(SUM(Z35:AB35)),ABS(SUM(AC35:AE35)))=ABS(Q35),"价格行为",IF(MAX(ABS(SUM(L35:M35)),ABS(SUM(N35:P35)),ABS(Q35),ABS(SUM(R35:T35)),ABS(SUM(U35:V35)),ABS(SUM(W35:Y35)),ABS(SUM(Z35:AB35)),ABS(SUM(AC35:AE35)))=ABS(SUM(R35:T35)),"杠杆/清算",IF(MAX(ABS(SUM(L35:M35)),ABS(SUM(N35:P35)),ABS(Q35),ABS(SUM(R35:T35)),ABS(SUM(U35:V35)),ABS(SUM(W35:Y35)),ABS(SUM(Z35:AB35)),ABS(SUM(AC35:AE35)))=ABS(SUM(U35:V35)),"衍生品",IF(MAX(ABS(SUM(L35:M35)),ABS(SUM(N35:P35)),ABS(Q35),ABS(SUM(R35:T35)),ABS(SUM(U35:V35)),ABS(SUM(W35:Y35)),ABS(SUM(Z35:AB35)),ABS(SUM(AC35:AE35)))=ABS(SUM(W35:Y35)),"跨市场",IF(MAX(ABS(SUM(L35:M35)),ABS(SUM(N35:P35)),ABS(Q35),ABS(SUM(R35:T35)),ABS(SUM(U35:V35)),ABS(SUM(W35:Y35)),ABS(SUM(Z35:AB35)),ABS(SUM(AC35:AE35)))=ABS(SUM(Z35:AB35)),"宏观代理","事件"))))))))</x:f>
      </x:c>
      <x:c r="L35" s="198"/>
      <x:c r="M35" s="198"/>
      <x:c r="N35" s="198"/>
      <x:c r="O35" s="198"/>
      <x:c r="P35" s="198"/>
      <x:c r="Q35" s="198"/>
      <x:c r="R35" s="198"/>
      <x:c r="S35" s="198"/>
      <x:c r="T35" s="198"/>
      <x:c r="U35" s="198"/>
      <x:c r="V35" s="198"/>
      <x:c r="W35" s="198"/>
      <x:c r="X35" s="198"/>
      <x:c r="Y35" s="198"/>
      <x:c r="Z35" s="198"/>
      <x:c r="AA35" s="198"/>
      <x:c r="AB35" s="198"/>
      <x:c r="AC35" s="198"/>
      <x:c r="AD35" s="198"/>
      <x:c r="AE35" s="198"/>
      <x:c r="AF35" s="215"/>
    </x:row>
    <x:row r="36">
      <x:c r="A36" s="238"/>
      <x:c r="B36" s="215" t="str">
        <x:v>正常</x:v>
      </x:c>
      <x:c r="C36" s="199"/>
      <x:c r="D36" s="223" t="str">
        <x:f>IF(COUNTA(L36:AE36)=0,"",SUMPRODUCT(L36:AE36,'参数'!$C$6:$C$25,'参数'!$D$6:$D$25,INDEX('参数'!$E$6:$J$25,0,MATCH(B36,'参数'!$E$5:$J$5,0)),'参数'!$K$6:$K$25)/SUMPRODUCT('参数'!$C$6:$C$25,'参数'!$D$6:$D$25,INDEX('参数'!$E$6:$J$25,0,MATCH(B36,'参数'!$E$5:$J$5,0)),'参数'!$K$6:$K$25))</x:f>
      </x:c>
      <x:c r="E36" s="223" t="str">
        <x:f>IF(D36="","",SUMPRODUCT(ABS(L36:AE36),'参数'!$C$6:$C$25,'参数'!$D$6:$D$25,INDEX('参数'!$E$6:$J$25,0,MATCH(B36,'参数'!$E$5:$J$5,0)))/SUMPRODUCT('参数'!$C$6:$C$25,'参数'!$D$6:$D$25,INDEX('参数'!$E$6:$J$25,0,MATCH(B36,'参数'!$E$5:$J$5,0))))</x:f>
      </x:c>
      <x:c r="F36" s="194" t="str">
        <x:f>IF(D36="","",IF(D36&gt;='参数'!$B$30,1,IF(D36&lt;=-'参数'!$B$30,-1,0)))</x:f>
      </x:c>
      <x:c r="G36" s="194" t="str">
        <x:f>IF(C36="","",IF(C36&gt;='参数'!$B$37,1,IF(C36&lt;=-'参数'!$B$37,-1,0)))</x:f>
      </x:c>
      <x:c r="H36" s="194" t="str">
        <x:f>IF(OR(F36="",G36=""),"",--(F36=G36))</x:f>
      </x:c>
      <x:c r="I36" s="214" t="str">
        <x:f>IF(D36="","",D36*'参数'!$B$34)</x:f>
      </x:c>
      <x:c r="J36" s="214" t="str">
        <x:f>IF(OR(C36="",I36=""),"",ABS(C36-I36))</x:f>
      </x:c>
      <x:c r="K36" s="194" t="str">
        <x:f>IF(D36="","",IF(MAX(ABS(SUM(L36:M36)),ABS(SUM(N36:P36)),ABS(Q36),ABS(SUM(R36:T36)),ABS(SUM(U36:V36)),ABS(SUM(W36:Y36)),ABS(SUM(Z36:AB36)),ABS(SUM(AC36:AE36)))=ABS(SUM(L36:M36)),"订单流",IF(MAX(ABS(SUM(L36:M36)),ABS(SUM(N36:P36)),ABS(Q36),ABS(SUM(R36:T36)),ABS(SUM(U36:V36)),ABS(SUM(W36:Y36)),ABS(SUM(Z36:AB36)),ABS(SUM(AC36:AE36)))=ABS(SUM(N36:P36)),"流动性",IF(MAX(ABS(SUM(L36:M36)),ABS(SUM(N36:P36)),ABS(Q36),ABS(SUM(R36:T36)),ABS(SUM(U36:V36)),ABS(SUM(W36:Y36)),ABS(SUM(Z36:AB36)),ABS(SUM(AC36:AE36)))=ABS(Q36),"价格行为",IF(MAX(ABS(SUM(L36:M36)),ABS(SUM(N36:P36)),ABS(Q36),ABS(SUM(R36:T36)),ABS(SUM(U36:V36)),ABS(SUM(W36:Y36)),ABS(SUM(Z36:AB36)),ABS(SUM(AC36:AE36)))=ABS(SUM(R36:T36)),"杠杆/清算",IF(MAX(ABS(SUM(L36:M36)),ABS(SUM(N36:P36)),ABS(Q36),ABS(SUM(R36:T36)),ABS(SUM(U36:V36)),ABS(SUM(W36:Y36)),ABS(SUM(Z36:AB36)),ABS(SUM(AC36:AE36)))=ABS(SUM(U36:V36)),"衍生品",IF(MAX(ABS(SUM(L36:M36)),ABS(SUM(N36:P36)),ABS(Q36),ABS(SUM(R36:T36)),ABS(SUM(U36:V36)),ABS(SUM(W36:Y36)),ABS(SUM(Z36:AB36)),ABS(SUM(AC36:AE36)))=ABS(SUM(W36:Y36)),"跨市场",IF(MAX(ABS(SUM(L36:M36)),ABS(SUM(N36:P36)),ABS(Q36),ABS(SUM(R36:T36)),ABS(SUM(U36:V36)),ABS(SUM(W36:Y36)),ABS(SUM(Z36:AB36)),ABS(SUM(AC36:AE36)))=ABS(SUM(Z36:AB36)),"宏观代理","事件"))))))))</x:f>
      </x:c>
      <x:c r="L36" s="198"/>
      <x:c r="M36" s="198"/>
      <x:c r="N36" s="198"/>
      <x:c r="O36" s="198"/>
      <x:c r="P36" s="198"/>
      <x:c r="Q36" s="198"/>
      <x:c r="R36" s="198"/>
      <x:c r="S36" s="198"/>
      <x:c r="T36" s="198"/>
      <x:c r="U36" s="198"/>
      <x:c r="V36" s="198"/>
      <x:c r="W36" s="198"/>
      <x:c r="X36" s="198"/>
      <x:c r="Y36" s="198"/>
      <x:c r="Z36" s="198"/>
      <x:c r="AA36" s="198"/>
      <x:c r="AB36" s="198"/>
      <x:c r="AC36" s="198"/>
      <x:c r="AD36" s="198"/>
      <x:c r="AE36" s="198"/>
      <x:c r="AF36" s="215"/>
    </x:row>
    <x:row r="37">
      <x:c r="A37" s="238"/>
      <x:c r="B37" s="215" t="str">
        <x:v>正常</x:v>
      </x:c>
      <x:c r="C37" s="199"/>
      <x:c r="D37" s="223" t="str">
        <x:f>IF(COUNTA(L37:AE37)=0,"",SUMPRODUCT(L37:AE37,'参数'!$C$6:$C$25,'参数'!$D$6:$D$25,INDEX('参数'!$E$6:$J$25,0,MATCH(B37,'参数'!$E$5:$J$5,0)),'参数'!$K$6:$K$25)/SUMPRODUCT('参数'!$C$6:$C$25,'参数'!$D$6:$D$25,INDEX('参数'!$E$6:$J$25,0,MATCH(B37,'参数'!$E$5:$J$5,0)),'参数'!$K$6:$K$25))</x:f>
      </x:c>
      <x:c r="E37" s="223" t="str">
        <x:f>IF(D37="","",SUMPRODUCT(ABS(L37:AE37),'参数'!$C$6:$C$25,'参数'!$D$6:$D$25,INDEX('参数'!$E$6:$J$25,0,MATCH(B37,'参数'!$E$5:$J$5,0)))/SUMPRODUCT('参数'!$C$6:$C$25,'参数'!$D$6:$D$25,INDEX('参数'!$E$6:$J$25,0,MATCH(B37,'参数'!$E$5:$J$5,0))))</x:f>
      </x:c>
      <x:c r="F37" s="194" t="str">
        <x:f>IF(D37="","",IF(D37&gt;='参数'!$B$30,1,IF(D37&lt;=-'参数'!$B$30,-1,0)))</x:f>
      </x:c>
      <x:c r="G37" s="194" t="str">
        <x:f>IF(C37="","",IF(C37&gt;='参数'!$B$37,1,IF(C37&lt;=-'参数'!$B$37,-1,0)))</x:f>
      </x:c>
      <x:c r="H37" s="194" t="str">
        <x:f>IF(OR(F37="",G37=""),"",--(F37=G37))</x:f>
      </x:c>
      <x:c r="I37" s="214" t="str">
        <x:f>IF(D37="","",D37*'参数'!$B$34)</x:f>
      </x:c>
      <x:c r="J37" s="214" t="str">
        <x:f>IF(OR(C37="",I37=""),"",ABS(C37-I37))</x:f>
      </x:c>
      <x:c r="K37" s="194" t="str">
        <x:f>IF(D37="","",IF(MAX(ABS(SUM(L37:M37)),ABS(SUM(N37:P37)),ABS(Q37),ABS(SUM(R37:T37)),ABS(SUM(U37:V37)),ABS(SUM(W37:Y37)),ABS(SUM(Z37:AB37)),ABS(SUM(AC37:AE37)))=ABS(SUM(L37:M37)),"订单流",IF(MAX(ABS(SUM(L37:M37)),ABS(SUM(N37:P37)),ABS(Q37),ABS(SUM(R37:T37)),ABS(SUM(U37:V37)),ABS(SUM(W37:Y37)),ABS(SUM(Z37:AB37)),ABS(SUM(AC37:AE37)))=ABS(SUM(N37:P37)),"流动性",IF(MAX(ABS(SUM(L37:M37)),ABS(SUM(N37:P37)),ABS(Q37),ABS(SUM(R37:T37)),ABS(SUM(U37:V37)),ABS(SUM(W37:Y37)),ABS(SUM(Z37:AB37)),ABS(SUM(AC37:AE37)))=ABS(Q37),"价格行为",IF(MAX(ABS(SUM(L37:M37)),ABS(SUM(N37:P37)),ABS(Q37),ABS(SUM(R37:T37)),ABS(SUM(U37:V37)),ABS(SUM(W37:Y37)),ABS(SUM(Z37:AB37)),ABS(SUM(AC37:AE37)))=ABS(SUM(R37:T37)),"杠杆/清算",IF(MAX(ABS(SUM(L37:M37)),ABS(SUM(N37:P37)),ABS(Q37),ABS(SUM(R37:T37)),ABS(SUM(U37:V37)),ABS(SUM(W37:Y37)),ABS(SUM(Z37:AB37)),ABS(SUM(AC37:AE37)))=ABS(SUM(U37:V37)),"衍生品",IF(MAX(ABS(SUM(L37:M37)),ABS(SUM(N37:P37)),ABS(Q37),ABS(SUM(R37:T37)),ABS(SUM(U37:V37)),ABS(SUM(W37:Y37)),ABS(SUM(Z37:AB37)),ABS(SUM(AC37:AE37)))=ABS(SUM(W37:Y37)),"跨市场",IF(MAX(ABS(SUM(L37:M37)),ABS(SUM(N37:P37)),ABS(Q37),ABS(SUM(R37:T37)),ABS(SUM(U37:V37)),ABS(SUM(W37:Y37)),ABS(SUM(Z37:AB37)),ABS(SUM(AC37:AE37)))=ABS(SUM(Z37:AB37)),"宏观代理","事件"))))))))</x:f>
      </x:c>
      <x:c r="L37" s="198"/>
      <x:c r="M37" s="198"/>
      <x:c r="N37" s="198"/>
      <x:c r="O37" s="198"/>
      <x:c r="P37" s="198"/>
      <x:c r="Q37" s="198"/>
      <x:c r="R37" s="198"/>
      <x:c r="S37" s="198"/>
      <x:c r="T37" s="198"/>
      <x:c r="U37" s="198"/>
      <x:c r="V37" s="198"/>
      <x:c r="W37" s="198"/>
      <x:c r="X37" s="198"/>
      <x:c r="Y37" s="198"/>
      <x:c r="Z37" s="198"/>
      <x:c r="AA37" s="198"/>
      <x:c r="AB37" s="198"/>
      <x:c r="AC37" s="198"/>
      <x:c r="AD37" s="198"/>
      <x:c r="AE37" s="198"/>
      <x:c r="AF37" s="215"/>
    </x:row>
    <x:row r="38">
      <x:c r="A38" s="238"/>
      <x:c r="B38" s="215" t="str">
        <x:v>正常</x:v>
      </x:c>
      <x:c r="C38" s="199"/>
      <x:c r="D38" s="223" t="str">
        <x:f>IF(COUNTA(L38:AE38)=0,"",SUMPRODUCT(L38:AE38,'参数'!$C$6:$C$25,'参数'!$D$6:$D$25,INDEX('参数'!$E$6:$J$25,0,MATCH(B38,'参数'!$E$5:$J$5,0)),'参数'!$K$6:$K$25)/SUMPRODUCT('参数'!$C$6:$C$25,'参数'!$D$6:$D$25,INDEX('参数'!$E$6:$J$25,0,MATCH(B38,'参数'!$E$5:$J$5,0)),'参数'!$K$6:$K$25))</x:f>
      </x:c>
      <x:c r="E38" s="223" t="str">
        <x:f>IF(D38="","",SUMPRODUCT(ABS(L38:AE38),'参数'!$C$6:$C$25,'参数'!$D$6:$D$25,INDEX('参数'!$E$6:$J$25,0,MATCH(B38,'参数'!$E$5:$J$5,0)))/SUMPRODUCT('参数'!$C$6:$C$25,'参数'!$D$6:$D$25,INDEX('参数'!$E$6:$J$25,0,MATCH(B38,'参数'!$E$5:$J$5,0))))</x:f>
      </x:c>
      <x:c r="F38" s="194" t="str">
        <x:f>IF(D38="","",IF(D38&gt;='参数'!$B$30,1,IF(D38&lt;=-'参数'!$B$30,-1,0)))</x:f>
      </x:c>
      <x:c r="G38" s="194" t="str">
        <x:f>IF(C38="","",IF(C38&gt;='参数'!$B$37,1,IF(C38&lt;=-'参数'!$B$37,-1,0)))</x:f>
      </x:c>
      <x:c r="H38" s="194" t="str">
        <x:f>IF(OR(F38="",G38=""),"",--(F38=G38))</x:f>
      </x:c>
      <x:c r="I38" s="214" t="str">
        <x:f>IF(D38="","",D38*'参数'!$B$34)</x:f>
      </x:c>
      <x:c r="J38" s="214" t="str">
        <x:f>IF(OR(C38="",I38=""),"",ABS(C38-I38))</x:f>
      </x:c>
      <x:c r="K38" s="194" t="str">
        <x:f>IF(D38="","",IF(MAX(ABS(SUM(L38:M38)),ABS(SUM(N38:P38)),ABS(Q38),ABS(SUM(R38:T38)),ABS(SUM(U38:V38)),ABS(SUM(W38:Y38)),ABS(SUM(Z38:AB38)),ABS(SUM(AC38:AE38)))=ABS(SUM(L38:M38)),"订单流",IF(MAX(ABS(SUM(L38:M38)),ABS(SUM(N38:P38)),ABS(Q38),ABS(SUM(R38:T38)),ABS(SUM(U38:V38)),ABS(SUM(W38:Y38)),ABS(SUM(Z38:AB38)),ABS(SUM(AC38:AE38)))=ABS(SUM(N38:P38)),"流动性",IF(MAX(ABS(SUM(L38:M38)),ABS(SUM(N38:P38)),ABS(Q38),ABS(SUM(R38:T38)),ABS(SUM(U38:V38)),ABS(SUM(W38:Y38)),ABS(SUM(Z38:AB38)),ABS(SUM(AC38:AE38)))=ABS(Q38),"价格行为",IF(MAX(ABS(SUM(L38:M38)),ABS(SUM(N38:P38)),ABS(Q38),ABS(SUM(R38:T38)),ABS(SUM(U38:V38)),ABS(SUM(W38:Y38)),ABS(SUM(Z38:AB38)),ABS(SUM(AC38:AE38)))=ABS(SUM(R38:T38)),"杠杆/清算",IF(MAX(ABS(SUM(L38:M38)),ABS(SUM(N38:P38)),ABS(Q38),ABS(SUM(R38:T38)),ABS(SUM(U38:V38)),ABS(SUM(W38:Y38)),ABS(SUM(Z38:AB38)),ABS(SUM(AC38:AE38)))=ABS(SUM(U38:V38)),"衍生品",IF(MAX(ABS(SUM(L38:M38)),ABS(SUM(N38:P38)),ABS(Q38),ABS(SUM(R38:T38)),ABS(SUM(U38:V38)),ABS(SUM(W38:Y38)),ABS(SUM(Z38:AB38)),ABS(SUM(AC38:AE38)))=ABS(SUM(W38:Y38)),"跨市场",IF(MAX(ABS(SUM(L38:M38)),ABS(SUM(N38:P38)),ABS(Q38),ABS(SUM(R38:T38)),ABS(SUM(U38:V38)),ABS(SUM(W38:Y38)),ABS(SUM(Z38:AB38)),ABS(SUM(AC38:AE38)))=ABS(SUM(Z38:AB38)),"宏观代理","事件"))))))))</x:f>
      </x:c>
      <x:c r="L38" s="198"/>
      <x:c r="M38" s="198"/>
      <x:c r="N38" s="198"/>
      <x:c r="O38" s="198"/>
      <x:c r="P38" s="198"/>
      <x:c r="Q38" s="198"/>
      <x:c r="R38" s="198"/>
      <x:c r="S38" s="198"/>
      <x:c r="T38" s="198"/>
      <x:c r="U38" s="198"/>
      <x:c r="V38" s="198"/>
      <x:c r="W38" s="198"/>
      <x:c r="X38" s="198"/>
      <x:c r="Y38" s="198"/>
      <x:c r="Z38" s="198"/>
      <x:c r="AA38" s="198"/>
      <x:c r="AB38" s="198"/>
      <x:c r="AC38" s="198"/>
      <x:c r="AD38" s="198"/>
      <x:c r="AE38" s="198"/>
      <x:c r="AF38" s="215"/>
    </x:row>
    <x:row r="39">
      <x:c r="A39" s="238"/>
      <x:c r="B39" s="215" t="str">
        <x:v>正常</x:v>
      </x:c>
      <x:c r="C39" s="199"/>
      <x:c r="D39" s="223" t="str">
        <x:f>IF(COUNTA(L39:AE39)=0,"",SUMPRODUCT(L39:AE39,'参数'!$C$6:$C$25,'参数'!$D$6:$D$25,INDEX('参数'!$E$6:$J$25,0,MATCH(B39,'参数'!$E$5:$J$5,0)),'参数'!$K$6:$K$25)/SUMPRODUCT('参数'!$C$6:$C$25,'参数'!$D$6:$D$25,INDEX('参数'!$E$6:$J$25,0,MATCH(B39,'参数'!$E$5:$J$5,0)),'参数'!$K$6:$K$25))</x:f>
      </x:c>
      <x:c r="E39" s="223" t="str">
        <x:f>IF(D39="","",SUMPRODUCT(ABS(L39:AE39),'参数'!$C$6:$C$25,'参数'!$D$6:$D$25,INDEX('参数'!$E$6:$J$25,0,MATCH(B39,'参数'!$E$5:$J$5,0)))/SUMPRODUCT('参数'!$C$6:$C$25,'参数'!$D$6:$D$25,INDEX('参数'!$E$6:$J$25,0,MATCH(B39,'参数'!$E$5:$J$5,0))))</x:f>
      </x:c>
      <x:c r="F39" s="194" t="str">
        <x:f>IF(D39="","",IF(D39&gt;='参数'!$B$30,1,IF(D39&lt;=-'参数'!$B$30,-1,0)))</x:f>
      </x:c>
      <x:c r="G39" s="194" t="str">
        <x:f>IF(C39="","",IF(C39&gt;='参数'!$B$37,1,IF(C39&lt;=-'参数'!$B$37,-1,0)))</x:f>
      </x:c>
      <x:c r="H39" s="194" t="str">
        <x:f>IF(OR(F39="",G39=""),"",--(F39=G39))</x:f>
      </x:c>
      <x:c r="I39" s="214" t="str">
        <x:f>IF(D39="","",D39*'参数'!$B$34)</x:f>
      </x:c>
      <x:c r="J39" s="214" t="str">
        <x:f>IF(OR(C39="",I39=""),"",ABS(C39-I39))</x:f>
      </x:c>
      <x:c r="K39" s="194" t="str">
        <x:f>IF(D39="","",IF(MAX(ABS(SUM(L39:M39)),ABS(SUM(N39:P39)),ABS(Q39),ABS(SUM(R39:T39)),ABS(SUM(U39:V39)),ABS(SUM(W39:Y39)),ABS(SUM(Z39:AB39)),ABS(SUM(AC39:AE39)))=ABS(SUM(L39:M39)),"订单流",IF(MAX(ABS(SUM(L39:M39)),ABS(SUM(N39:P39)),ABS(Q39),ABS(SUM(R39:T39)),ABS(SUM(U39:V39)),ABS(SUM(W39:Y39)),ABS(SUM(Z39:AB39)),ABS(SUM(AC39:AE39)))=ABS(SUM(N39:P39)),"流动性",IF(MAX(ABS(SUM(L39:M39)),ABS(SUM(N39:P39)),ABS(Q39),ABS(SUM(R39:T39)),ABS(SUM(U39:V39)),ABS(SUM(W39:Y39)),ABS(SUM(Z39:AB39)),ABS(SUM(AC39:AE39)))=ABS(Q39),"价格行为",IF(MAX(ABS(SUM(L39:M39)),ABS(SUM(N39:P39)),ABS(Q39),ABS(SUM(R39:T39)),ABS(SUM(U39:V39)),ABS(SUM(W39:Y39)),ABS(SUM(Z39:AB39)),ABS(SUM(AC39:AE39)))=ABS(SUM(R39:T39)),"杠杆/清算",IF(MAX(ABS(SUM(L39:M39)),ABS(SUM(N39:P39)),ABS(Q39),ABS(SUM(R39:T39)),ABS(SUM(U39:V39)),ABS(SUM(W39:Y39)),ABS(SUM(Z39:AB39)),ABS(SUM(AC39:AE39)))=ABS(SUM(U39:V39)),"衍生品",IF(MAX(ABS(SUM(L39:M39)),ABS(SUM(N39:P39)),ABS(Q39),ABS(SUM(R39:T39)),ABS(SUM(U39:V39)),ABS(SUM(W39:Y39)),ABS(SUM(Z39:AB39)),ABS(SUM(AC39:AE39)))=ABS(SUM(W39:Y39)),"跨市场",IF(MAX(ABS(SUM(L39:M39)),ABS(SUM(N39:P39)),ABS(Q39),ABS(SUM(R39:T39)),ABS(SUM(U39:V39)),ABS(SUM(W39:Y39)),ABS(SUM(Z39:AB39)),ABS(SUM(AC39:AE39)))=ABS(SUM(Z39:AB39)),"宏观代理","事件"))))))))</x:f>
      </x:c>
      <x:c r="L39" s="198"/>
      <x:c r="M39" s="198"/>
      <x:c r="N39" s="198"/>
      <x:c r="O39" s="198"/>
      <x:c r="P39" s="198"/>
      <x:c r="Q39" s="198"/>
      <x:c r="R39" s="198"/>
      <x:c r="S39" s="198"/>
      <x:c r="T39" s="198"/>
      <x:c r="U39" s="198"/>
      <x:c r="V39" s="198"/>
      <x:c r="W39" s="198"/>
      <x:c r="X39" s="198"/>
      <x:c r="Y39" s="198"/>
      <x:c r="Z39" s="198"/>
      <x:c r="AA39" s="198"/>
      <x:c r="AB39" s="198"/>
      <x:c r="AC39" s="198"/>
      <x:c r="AD39" s="198"/>
      <x:c r="AE39" s="198"/>
      <x:c r="AF39" s="215"/>
    </x:row>
    <x:row r="40">
      <x:c r="A40" s="238"/>
      <x:c r="B40" s="215" t="str">
        <x:v>正常</x:v>
      </x:c>
      <x:c r="C40" s="199"/>
      <x:c r="D40" s="223" t="str">
        <x:f>IF(COUNTA(L40:AE40)=0,"",SUMPRODUCT(L40:AE40,'参数'!$C$6:$C$25,'参数'!$D$6:$D$25,INDEX('参数'!$E$6:$J$25,0,MATCH(B40,'参数'!$E$5:$J$5,0)),'参数'!$K$6:$K$25)/SUMPRODUCT('参数'!$C$6:$C$25,'参数'!$D$6:$D$25,INDEX('参数'!$E$6:$J$25,0,MATCH(B40,'参数'!$E$5:$J$5,0)),'参数'!$K$6:$K$25))</x:f>
      </x:c>
      <x:c r="E40" s="223" t="str">
        <x:f>IF(D40="","",SUMPRODUCT(ABS(L40:AE40),'参数'!$C$6:$C$25,'参数'!$D$6:$D$25,INDEX('参数'!$E$6:$J$25,0,MATCH(B40,'参数'!$E$5:$J$5,0)))/SUMPRODUCT('参数'!$C$6:$C$25,'参数'!$D$6:$D$25,INDEX('参数'!$E$6:$J$25,0,MATCH(B40,'参数'!$E$5:$J$5,0))))</x:f>
      </x:c>
      <x:c r="F40" s="194" t="str">
        <x:f>IF(D40="","",IF(D40&gt;='参数'!$B$30,1,IF(D40&lt;=-'参数'!$B$30,-1,0)))</x:f>
      </x:c>
      <x:c r="G40" s="194" t="str">
        <x:f>IF(C40="","",IF(C40&gt;='参数'!$B$37,1,IF(C40&lt;=-'参数'!$B$37,-1,0)))</x:f>
      </x:c>
      <x:c r="H40" s="194" t="str">
        <x:f>IF(OR(F40="",G40=""),"",--(F40=G40))</x:f>
      </x:c>
      <x:c r="I40" s="214" t="str">
        <x:f>IF(D40="","",D40*'参数'!$B$34)</x:f>
      </x:c>
      <x:c r="J40" s="214" t="str">
        <x:f>IF(OR(C40="",I40=""),"",ABS(C40-I40))</x:f>
      </x:c>
      <x:c r="K40" s="194" t="str">
        <x:f>IF(D40="","",IF(MAX(ABS(SUM(L40:M40)),ABS(SUM(N40:P40)),ABS(Q40),ABS(SUM(R40:T40)),ABS(SUM(U40:V40)),ABS(SUM(W40:Y40)),ABS(SUM(Z40:AB40)),ABS(SUM(AC40:AE40)))=ABS(SUM(L40:M40)),"订单流",IF(MAX(ABS(SUM(L40:M40)),ABS(SUM(N40:P40)),ABS(Q40),ABS(SUM(R40:T40)),ABS(SUM(U40:V40)),ABS(SUM(W40:Y40)),ABS(SUM(Z40:AB40)),ABS(SUM(AC40:AE40)))=ABS(SUM(N40:P40)),"流动性",IF(MAX(ABS(SUM(L40:M40)),ABS(SUM(N40:P40)),ABS(Q40),ABS(SUM(R40:T40)),ABS(SUM(U40:V40)),ABS(SUM(W40:Y40)),ABS(SUM(Z40:AB40)),ABS(SUM(AC40:AE40)))=ABS(Q40),"价格行为",IF(MAX(ABS(SUM(L40:M40)),ABS(SUM(N40:P40)),ABS(Q40),ABS(SUM(R40:T40)),ABS(SUM(U40:V40)),ABS(SUM(W40:Y40)),ABS(SUM(Z40:AB40)),ABS(SUM(AC40:AE40)))=ABS(SUM(R40:T40)),"杠杆/清算",IF(MAX(ABS(SUM(L40:M40)),ABS(SUM(N40:P40)),ABS(Q40),ABS(SUM(R40:T40)),ABS(SUM(U40:V40)),ABS(SUM(W40:Y40)),ABS(SUM(Z40:AB40)),ABS(SUM(AC40:AE40)))=ABS(SUM(U40:V40)),"衍生品",IF(MAX(ABS(SUM(L40:M40)),ABS(SUM(N40:P40)),ABS(Q40),ABS(SUM(R40:T40)),ABS(SUM(U40:V40)),ABS(SUM(W40:Y40)),ABS(SUM(Z40:AB40)),ABS(SUM(AC40:AE40)))=ABS(SUM(W40:Y40)),"跨市场",IF(MAX(ABS(SUM(L40:M40)),ABS(SUM(N40:P40)),ABS(Q40),ABS(SUM(R40:T40)),ABS(SUM(U40:V40)),ABS(SUM(W40:Y40)),ABS(SUM(Z40:AB40)),ABS(SUM(AC40:AE40)))=ABS(SUM(Z40:AB40)),"宏观代理","事件"))))))))</x:f>
      </x:c>
      <x:c r="L40" s="198"/>
      <x:c r="M40" s="198"/>
      <x:c r="N40" s="198"/>
      <x:c r="O40" s="198"/>
      <x:c r="P40" s="198"/>
      <x:c r="Q40" s="198"/>
      <x:c r="R40" s="198"/>
      <x:c r="S40" s="198"/>
      <x:c r="T40" s="198"/>
      <x:c r="U40" s="198"/>
      <x:c r="V40" s="198"/>
      <x:c r="W40" s="198"/>
      <x:c r="X40" s="198"/>
      <x:c r="Y40" s="198"/>
      <x:c r="Z40" s="198"/>
      <x:c r="AA40" s="198"/>
      <x:c r="AB40" s="198"/>
      <x:c r="AC40" s="198"/>
      <x:c r="AD40" s="198"/>
      <x:c r="AE40" s="198"/>
      <x:c r="AF40" s="215"/>
    </x:row>
    <x:row r="41">
      <x:c r="A41" s="238"/>
      <x:c r="B41" s="215" t="str">
        <x:v>正常</x:v>
      </x:c>
      <x:c r="C41" s="199"/>
      <x:c r="D41" s="223" t="str">
        <x:f>IF(COUNTA(L41:AE41)=0,"",SUMPRODUCT(L41:AE41,'参数'!$C$6:$C$25,'参数'!$D$6:$D$25,INDEX('参数'!$E$6:$J$25,0,MATCH(B41,'参数'!$E$5:$J$5,0)),'参数'!$K$6:$K$25)/SUMPRODUCT('参数'!$C$6:$C$25,'参数'!$D$6:$D$25,INDEX('参数'!$E$6:$J$25,0,MATCH(B41,'参数'!$E$5:$J$5,0)),'参数'!$K$6:$K$25))</x:f>
      </x:c>
      <x:c r="E41" s="223" t="str">
        <x:f>IF(D41="","",SUMPRODUCT(ABS(L41:AE41),'参数'!$C$6:$C$25,'参数'!$D$6:$D$25,INDEX('参数'!$E$6:$J$25,0,MATCH(B41,'参数'!$E$5:$J$5,0)))/SUMPRODUCT('参数'!$C$6:$C$25,'参数'!$D$6:$D$25,INDEX('参数'!$E$6:$J$25,0,MATCH(B41,'参数'!$E$5:$J$5,0))))</x:f>
      </x:c>
      <x:c r="F41" s="194" t="str">
        <x:f>IF(D41="","",IF(D41&gt;='参数'!$B$30,1,IF(D41&lt;=-'参数'!$B$30,-1,0)))</x:f>
      </x:c>
      <x:c r="G41" s="194" t="str">
        <x:f>IF(C41="","",IF(C41&gt;='参数'!$B$37,1,IF(C41&lt;=-'参数'!$B$37,-1,0)))</x:f>
      </x:c>
      <x:c r="H41" s="194" t="str">
        <x:f>IF(OR(F41="",G41=""),"",--(F41=G41))</x:f>
      </x:c>
      <x:c r="I41" s="214" t="str">
        <x:f>IF(D41="","",D41*'参数'!$B$34)</x:f>
      </x:c>
      <x:c r="J41" s="214" t="str">
        <x:f>IF(OR(C41="",I41=""),"",ABS(C41-I41))</x:f>
      </x:c>
      <x:c r="K41" s="194" t="str">
        <x:f>IF(D41="","",IF(MAX(ABS(SUM(L41:M41)),ABS(SUM(N41:P41)),ABS(Q41),ABS(SUM(R41:T41)),ABS(SUM(U41:V41)),ABS(SUM(W41:Y41)),ABS(SUM(Z41:AB41)),ABS(SUM(AC41:AE41)))=ABS(SUM(L41:M41)),"订单流",IF(MAX(ABS(SUM(L41:M41)),ABS(SUM(N41:P41)),ABS(Q41),ABS(SUM(R41:T41)),ABS(SUM(U41:V41)),ABS(SUM(W41:Y41)),ABS(SUM(Z41:AB41)),ABS(SUM(AC41:AE41)))=ABS(SUM(N41:P41)),"流动性",IF(MAX(ABS(SUM(L41:M41)),ABS(SUM(N41:P41)),ABS(Q41),ABS(SUM(R41:T41)),ABS(SUM(U41:V41)),ABS(SUM(W41:Y41)),ABS(SUM(Z41:AB41)),ABS(SUM(AC41:AE41)))=ABS(Q41),"价格行为",IF(MAX(ABS(SUM(L41:M41)),ABS(SUM(N41:P41)),ABS(Q41),ABS(SUM(R41:T41)),ABS(SUM(U41:V41)),ABS(SUM(W41:Y41)),ABS(SUM(Z41:AB41)),ABS(SUM(AC41:AE41)))=ABS(SUM(R41:T41)),"杠杆/清算",IF(MAX(ABS(SUM(L41:M41)),ABS(SUM(N41:P41)),ABS(Q41),ABS(SUM(R41:T41)),ABS(SUM(U41:V41)),ABS(SUM(W41:Y41)),ABS(SUM(Z41:AB41)),ABS(SUM(AC41:AE41)))=ABS(SUM(U41:V41)),"衍生品",IF(MAX(ABS(SUM(L41:M41)),ABS(SUM(N41:P41)),ABS(Q41),ABS(SUM(R41:T41)),ABS(SUM(U41:V41)),ABS(SUM(W41:Y41)),ABS(SUM(Z41:AB41)),ABS(SUM(AC41:AE41)))=ABS(SUM(W41:Y41)),"跨市场",IF(MAX(ABS(SUM(L41:M41)),ABS(SUM(N41:P41)),ABS(Q41),ABS(SUM(R41:T41)),ABS(SUM(U41:V41)),ABS(SUM(W41:Y41)),ABS(SUM(Z41:AB41)),ABS(SUM(AC41:AE41)))=ABS(SUM(Z41:AB41)),"宏观代理","事件"))))))))</x:f>
      </x:c>
      <x:c r="L41" s="198"/>
      <x:c r="M41" s="198"/>
      <x:c r="N41" s="198"/>
      <x:c r="O41" s="198"/>
      <x:c r="P41" s="198"/>
      <x:c r="Q41" s="198"/>
      <x:c r="R41" s="198"/>
      <x:c r="S41" s="198"/>
      <x:c r="T41" s="198"/>
      <x:c r="U41" s="198"/>
      <x:c r="V41" s="198"/>
      <x:c r="W41" s="198"/>
      <x:c r="X41" s="198"/>
      <x:c r="Y41" s="198"/>
      <x:c r="Z41" s="198"/>
      <x:c r="AA41" s="198"/>
      <x:c r="AB41" s="198"/>
      <x:c r="AC41" s="198"/>
      <x:c r="AD41" s="198"/>
      <x:c r="AE41" s="198"/>
      <x:c r="AF41" s="215"/>
    </x:row>
    <x:row r="42">
      <x:c r="A42" s="238"/>
      <x:c r="B42" s="215" t="str">
        <x:v>正常</x:v>
      </x:c>
      <x:c r="C42" s="199"/>
      <x:c r="D42" s="223" t="str">
        <x:f>IF(COUNTA(L42:AE42)=0,"",SUMPRODUCT(L42:AE42,'参数'!$C$6:$C$25,'参数'!$D$6:$D$25,INDEX('参数'!$E$6:$J$25,0,MATCH(B42,'参数'!$E$5:$J$5,0)),'参数'!$K$6:$K$25)/SUMPRODUCT('参数'!$C$6:$C$25,'参数'!$D$6:$D$25,INDEX('参数'!$E$6:$J$25,0,MATCH(B42,'参数'!$E$5:$J$5,0)),'参数'!$K$6:$K$25))</x:f>
      </x:c>
      <x:c r="E42" s="223" t="str">
        <x:f>IF(D42="","",SUMPRODUCT(ABS(L42:AE42),'参数'!$C$6:$C$25,'参数'!$D$6:$D$25,INDEX('参数'!$E$6:$J$25,0,MATCH(B42,'参数'!$E$5:$J$5,0)))/SUMPRODUCT('参数'!$C$6:$C$25,'参数'!$D$6:$D$25,INDEX('参数'!$E$6:$J$25,0,MATCH(B42,'参数'!$E$5:$J$5,0))))</x:f>
      </x:c>
      <x:c r="F42" s="194" t="str">
        <x:f>IF(D42="","",IF(D42&gt;='参数'!$B$30,1,IF(D42&lt;=-'参数'!$B$30,-1,0)))</x:f>
      </x:c>
      <x:c r="G42" s="194" t="str">
        <x:f>IF(C42="","",IF(C42&gt;='参数'!$B$37,1,IF(C42&lt;=-'参数'!$B$37,-1,0)))</x:f>
      </x:c>
      <x:c r="H42" s="194" t="str">
        <x:f>IF(OR(F42="",G42=""),"",--(F42=G42))</x:f>
      </x:c>
      <x:c r="I42" s="214" t="str">
        <x:f>IF(D42="","",D42*'参数'!$B$34)</x:f>
      </x:c>
      <x:c r="J42" s="214" t="str">
        <x:f>IF(OR(C42="",I42=""),"",ABS(C42-I42))</x:f>
      </x:c>
      <x:c r="K42" s="194" t="str">
        <x:f>IF(D42="","",IF(MAX(ABS(SUM(L42:M42)),ABS(SUM(N42:P42)),ABS(Q42),ABS(SUM(R42:T42)),ABS(SUM(U42:V42)),ABS(SUM(W42:Y42)),ABS(SUM(Z42:AB42)),ABS(SUM(AC42:AE42)))=ABS(SUM(L42:M42)),"订单流",IF(MAX(ABS(SUM(L42:M42)),ABS(SUM(N42:P42)),ABS(Q42),ABS(SUM(R42:T42)),ABS(SUM(U42:V42)),ABS(SUM(W42:Y42)),ABS(SUM(Z42:AB42)),ABS(SUM(AC42:AE42)))=ABS(SUM(N42:P42)),"流动性",IF(MAX(ABS(SUM(L42:M42)),ABS(SUM(N42:P42)),ABS(Q42),ABS(SUM(R42:T42)),ABS(SUM(U42:V42)),ABS(SUM(W42:Y42)),ABS(SUM(Z42:AB42)),ABS(SUM(AC42:AE42)))=ABS(Q42),"价格行为",IF(MAX(ABS(SUM(L42:M42)),ABS(SUM(N42:P42)),ABS(Q42),ABS(SUM(R42:T42)),ABS(SUM(U42:V42)),ABS(SUM(W42:Y42)),ABS(SUM(Z42:AB42)),ABS(SUM(AC42:AE42)))=ABS(SUM(R42:T42)),"杠杆/清算",IF(MAX(ABS(SUM(L42:M42)),ABS(SUM(N42:P42)),ABS(Q42),ABS(SUM(R42:T42)),ABS(SUM(U42:V42)),ABS(SUM(W42:Y42)),ABS(SUM(Z42:AB42)),ABS(SUM(AC42:AE42)))=ABS(SUM(U42:V42)),"衍生品",IF(MAX(ABS(SUM(L42:M42)),ABS(SUM(N42:P42)),ABS(Q42),ABS(SUM(R42:T42)),ABS(SUM(U42:V42)),ABS(SUM(W42:Y42)),ABS(SUM(Z42:AB42)),ABS(SUM(AC42:AE42)))=ABS(SUM(W42:Y42)),"跨市场",IF(MAX(ABS(SUM(L42:M42)),ABS(SUM(N42:P42)),ABS(Q42),ABS(SUM(R42:T42)),ABS(SUM(U42:V42)),ABS(SUM(W42:Y42)),ABS(SUM(Z42:AB42)),ABS(SUM(AC42:AE42)))=ABS(SUM(Z42:AB42)),"宏观代理","事件"))))))))</x:f>
      </x:c>
      <x:c r="L42" s="198"/>
      <x:c r="M42" s="198"/>
      <x:c r="N42" s="198"/>
      <x:c r="O42" s="198"/>
      <x:c r="P42" s="198"/>
      <x:c r="Q42" s="198"/>
      <x:c r="R42" s="198"/>
      <x:c r="S42" s="198"/>
      <x:c r="T42" s="198"/>
      <x:c r="U42" s="198"/>
      <x:c r="V42" s="198"/>
      <x:c r="W42" s="198"/>
      <x:c r="X42" s="198"/>
      <x:c r="Y42" s="198"/>
      <x:c r="Z42" s="198"/>
      <x:c r="AA42" s="198"/>
      <x:c r="AB42" s="198"/>
      <x:c r="AC42" s="198"/>
      <x:c r="AD42" s="198"/>
      <x:c r="AE42" s="198"/>
      <x:c r="AF42" s="215"/>
    </x:row>
    <x:row r="43">
      <x:c r="A43" s="238"/>
      <x:c r="B43" s="215" t="str">
        <x:v>正常</x:v>
      </x:c>
      <x:c r="C43" s="199"/>
      <x:c r="D43" s="223" t="str">
        <x:f>IF(COUNTA(L43:AE43)=0,"",SUMPRODUCT(L43:AE43,'参数'!$C$6:$C$25,'参数'!$D$6:$D$25,INDEX('参数'!$E$6:$J$25,0,MATCH(B43,'参数'!$E$5:$J$5,0)),'参数'!$K$6:$K$25)/SUMPRODUCT('参数'!$C$6:$C$25,'参数'!$D$6:$D$25,INDEX('参数'!$E$6:$J$25,0,MATCH(B43,'参数'!$E$5:$J$5,0)),'参数'!$K$6:$K$25))</x:f>
      </x:c>
      <x:c r="E43" s="223" t="str">
        <x:f>IF(D43="","",SUMPRODUCT(ABS(L43:AE43),'参数'!$C$6:$C$25,'参数'!$D$6:$D$25,INDEX('参数'!$E$6:$J$25,0,MATCH(B43,'参数'!$E$5:$J$5,0)))/SUMPRODUCT('参数'!$C$6:$C$25,'参数'!$D$6:$D$25,INDEX('参数'!$E$6:$J$25,0,MATCH(B43,'参数'!$E$5:$J$5,0))))</x:f>
      </x:c>
      <x:c r="F43" s="194" t="str">
        <x:f>IF(D43="","",IF(D43&gt;='参数'!$B$30,1,IF(D43&lt;=-'参数'!$B$30,-1,0)))</x:f>
      </x:c>
      <x:c r="G43" s="194" t="str">
        <x:f>IF(C43="","",IF(C43&gt;='参数'!$B$37,1,IF(C43&lt;=-'参数'!$B$37,-1,0)))</x:f>
      </x:c>
      <x:c r="H43" s="194" t="str">
        <x:f>IF(OR(F43="",G43=""),"",--(F43=G43))</x:f>
      </x:c>
      <x:c r="I43" s="214" t="str">
        <x:f>IF(D43="","",D43*'参数'!$B$34)</x:f>
      </x:c>
      <x:c r="J43" s="214" t="str">
        <x:f>IF(OR(C43="",I43=""),"",ABS(C43-I43))</x:f>
      </x:c>
      <x:c r="K43" s="194" t="str">
        <x:f>IF(D43="","",IF(MAX(ABS(SUM(L43:M43)),ABS(SUM(N43:P43)),ABS(Q43),ABS(SUM(R43:T43)),ABS(SUM(U43:V43)),ABS(SUM(W43:Y43)),ABS(SUM(Z43:AB43)),ABS(SUM(AC43:AE43)))=ABS(SUM(L43:M43)),"订单流",IF(MAX(ABS(SUM(L43:M43)),ABS(SUM(N43:P43)),ABS(Q43),ABS(SUM(R43:T43)),ABS(SUM(U43:V43)),ABS(SUM(W43:Y43)),ABS(SUM(Z43:AB43)),ABS(SUM(AC43:AE43)))=ABS(SUM(N43:P43)),"流动性",IF(MAX(ABS(SUM(L43:M43)),ABS(SUM(N43:P43)),ABS(Q43),ABS(SUM(R43:T43)),ABS(SUM(U43:V43)),ABS(SUM(W43:Y43)),ABS(SUM(Z43:AB43)),ABS(SUM(AC43:AE43)))=ABS(Q43),"价格行为",IF(MAX(ABS(SUM(L43:M43)),ABS(SUM(N43:P43)),ABS(Q43),ABS(SUM(R43:T43)),ABS(SUM(U43:V43)),ABS(SUM(W43:Y43)),ABS(SUM(Z43:AB43)),ABS(SUM(AC43:AE43)))=ABS(SUM(R43:T43)),"杠杆/清算",IF(MAX(ABS(SUM(L43:M43)),ABS(SUM(N43:P43)),ABS(Q43),ABS(SUM(R43:T43)),ABS(SUM(U43:V43)),ABS(SUM(W43:Y43)),ABS(SUM(Z43:AB43)),ABS(SUM(AC43:AE43)))=ABS(SUM(U43:V43)),"衍生品",IF(MAX(ABS(SUM(L43:M43)),ABS(SUM(N43:P43)),ABS(Q43),ABS(SUM(R43:T43)),ABS(SUM(U43:V43)),ABS(SUM(W43:Y43)),ABS(SUM(Z43:AB43)),ABS(SUM(AC43:AE43)))=ABS(SUM(W43:Y43)),"跨市场",IF(MAX(ABS(SUM(L43:M43)),ABS(SUM(N43:P43)),ABS(Q43),ABS(SUM(R43:T43)),ABS(SUM(U43:V43)),ABS(SUM(W43:Y43)),ABS(SUM(Z43:AB43)),ABS(SUM(AC43:AE43)))=ABS(SUM(Z43:AB43)),"宏观代理","事件"))))))))</x:f>
      </x:c>
      <x:c r="L43" s="198"/>
      <x:c r="M43" s="198"/>
      <x:c r="N43" s="198"/>
      <x:c r="O43" s="198"/>
      <x:c r="P43" s="198"/>
      <x:c r="Q43" s="198"/>
      <x:c r="R43" s="198"/>
      <x:c r="S43" s="198"/>
      <x:c r="T43" s="198"/>
      <x:c r="U43" s="198"/>
      <x:c r="V43" s="198"/>
      <x:c r="W43" s="198"/>
      <x:c r="X43" s="198"/>
      <x:c r="Y43" s="198"/>
      <x:c r="Z43" s="198"/>
      <x:c r="AA43" s="198"/>
      <x:c r="AB43" s="198"/>
      <x:c r="AC43" s="198"/>
      <x:c r="AD43" s="198"/>
      <x:c r="AE43" s="198"/>
      <x:c r="AF43" s="215"/>
    </x:row>
    <x:row r="44">
      <x:c r="A44" s="238"/>
      <x:c r="B44" s="215" t="str">
        <x:v>正常</x:v>
      </x:c>
      <x:c r="C44" s="199"/>
      <x:c r="D44" s="223" t="str">
        <x:f>IF(COUNTA(L44:AE44)=0,"",SUMPRODUCT(L44:AE44,'参数'!$C$6:$C$25,'参数'!$D$6:$D$25,INDEX('参数'!$E$6:$J$25,0,MATCH(B44,'参数'!$E$5:$J$5,0)),'参数'!$K$6:$K$25)/SUMPRODUCT('参数'!$C$6:$C$25,'参数'!$D$6:$D$25,INDEX('参数'!$E$6:$J$25,0,MATCH(B44,'参数'!$E$5:$J$5,0)),'参数'!$K$6:$K$25))</x:f>
      </x:c>
      <x:c r="E44" s="223" t="str">
        <x:f>IF(D44="","",SUMPRODUCT(ABS(L44:AE44),'参数'!$C$6:$C$25,'参数'!$D$6:$D$25,INDEX('参数'!$E$6:$J$25,0,MATCH(B44,'参数'!$E$5:$J$5,0)))/SUMPRODUCT('参数'!$C$6:$C$25,'参数'!$D$6:$D$25,INDEX('参数'!$E$6:$J$25,0,MATCH(B44,'参数'!$E$5:$J$5,0))))</x:f>
      </x:c>
      <x:c r="F44" s="194" t="str">
        <x:f>IF(D44="","",IF(D44&gt;='参数'!$B$30,1,IF(D44&lt;=-'参数'!$B$30,-1,0)))</x:f>
      </x:c>
      <x:c r="G44" s="194" t="str">
        <x:f>IF(C44="","",IF(C44&gt;='参数'!$B$37,1,IF(C44&lt;=-'参数'!$B$37,-1,0)))</x:f>
      </x:c>
      <x:c r="H44" s="194" t="str">
        <x:f>IF(OR(F44="",G44=""),"",--(F44=G44))</x:f>
      </x:c>
      <x:c r="I44" s="214" t="str">
        <x:f>IF(D44="","",D44*'参数'!$B$34)</x:f>
      </x:c>
      <x:c r="J44" s="214" t="str">
        <x:f>IF(OR(C44="",I44=""),"",ABS(C44-I44))</x:f>
      </x:c>
      <x:c r="K44" s="194" t="str">
        <x:f>IF(D44="","",IF(MAX(ABS(SUM(L44:M44)),ABS(SUM(N44:P44)),ABS(Q44),ABS(SUM(R44:T44)),ABS(SUM(U44:V44)),ABS(SUM(W44:Y44)),ABS(SUM(Z44:AB44)),ABS(SUM(AC44:AE44)))=ABS(SUM(L44:M44)),"订单流",IF(MAX(ABS(SUM(L44:M44)),ABS(SUM(N44:P44)),ABS(Q44),ABS(SUM(R44:T44)),ABS(SUM(U44:V44)),ABS(SUM(W44:Y44)),ABS(SUM(Z44:AB44)),ABS(SUM(AC44:AE44)))=ABS(SUM(N44:P44)),"流动性",IF(MAX(ABS(SUM(L44:M44)),ABS(SUM(N44:P44)),ABS(Q44),ABS(SUM(R44:T44)),ABS(SUM(U44:V44)),ABS(SUM(W44:Y44)),ABS(SUM(Z44:AB44)),ABS(SUM(AC44:AE44)))=ABS(Q44),"价格行为",IF(MAX(ABS(SUM(L44:M44)),ABS(SUM(N44:P44)),ABS(Q44),ABS(SUM(R44:T44)),ABS(SUM(U44:V44)),ABS(SUM(W44:Y44)),ABS(SUM(Z44:AB44)),ABS(SUM(AC44:AE44)))=ABS(SUM(R44:T44)),"杠杆/清算",IF(MAX(ABS(SUM(L44:M44)),ABS(SUM(N44:P44)),ABS(Q44),ABS(SUM(R44:T44)),ABS(SUM(U44:V44)),ABS(SUM(W44:Y44)),ABS(SUM(Z44:AB44)),ABS(SUM(AC44:AE44)))=ABS(SUM(U44:V44)),"衍生品",IF(MAX(ABS(SUM(L44:M44)),ABS(SUM(N44:P44)),ABS(Q44),ABS(SUM(R44:T44)),ABS(SUM(U44:V44)),ABS(SUM(W44:Y44)),ABS(SUM(Z44:AB44)),ABS(SUM(AC44:AE44)))=ABS(SUM(W44:Y44)),"跨市场",IF(MAX(ABS(SUM(L44:M44)),ABS(SUM(N44:P44)),ABS(Q44),ABS(SUM(R44:T44)),ABS(SUM(U44:V44)),ABS(SUM(W44:Y44)),ABS(SUM(Z44:AB44)),ABS(SUM(AC44:AE44)))=ABS(SUM(Z44:AB44)),"宏观代理","事件"))))))))</x:f>
      </x:c>
      <x:c r="L44" s="198"/>
      <x:c r="M44" s="198"/>
      <x:c r="N44" s="198"/>
      <x:c r="O44" s="198"/>
      <x:c r="P44" s="198"/>
      <x:c r="Q44" s="198"/>
      <x:c r="R44" s="198"/>
      <x:c r="S44" s="198"/>
      <x:c r="T44" s="198"/>
      <x:c r="U44" s="198"/>
      <x:c r="V44" s="198"/>
      <x:c r="W44" s="198"/>
      <x:c r="X44" s="198"/>
      <x:c r="Y44" s="198"/>
      <x:c r="Z44" s="198"/>
      <x:c r="AA44" s="198"/>
      <x:c r="AB44" s="198"/>
      <x:c r="AC44" s="198"/>
      <x:c r="AD44" s="198"/>
      <x:c r="AE44" s="198"/>
      <x:c r="AF44" s="215"/>
    </x:row>
    <x:row r="45">
      <x:c r="A45" s="238"/>
      <x:c r="B45" s="215" t="str">
        <x:v>正常</x:v>
      </x:c>
      <x:c r="C45" s="199"/>
      <x:c r="D45" s="223" t="str">
        <x:f>IF(COUNTA(L45:AE45)=0,"",SUMPRODUCT(L45:AE45,'参数'!$C$6:$C$25,'参数'!$D$6:$D$25,INDEX('参数'!$E$6:$J$25,0,MATCH(B45,'参数'!$E$5:$J$5,0)),'参数'!$K$6:$K$25)/SUMPRODUCT('参数'!$C$6:$C$25,'参数'!$D$6:$D$25,INDEX('参数'!$E$6:$J$25,0,MATCH(B45,'参数'!$E$5:$J$5,0)),'参数'!$K$6:$K$25))</x:f>
      </x:c>
      <x:c r="E45" s="223" t="str">
        <x:f>IF(D45="","",SUMPRODUCT(ABS(L45:AE45),'参数'!$C$6:$C$25,'参数'!$D$6:$D$25,INDEX('参数'!$E$6:$J$25,0,MATCH(B45,'参数'!$E$5:$J$5,0)))/SUMPRODUCT('参数'!$C$6:$C$25,'参数'!$D$6:$D$25,INDEX('参数'!$E$6:$J$25,0,MATCH(B45,'参数'!$E$5:$J$5,0))))</x:f>
      </x:c>
      <x:c r="F45" s="194" t="str">
        <x:f>IF(D45="","",IF(D45&gt;='参数'!$B$30,1,IF(D45&lt;=-'参数'!$B$30,-1,0)))</x:f>
      </x:c>
      <x:c r="G45" s="194" t="str">
        <x:f>IF(C45="","",IF(C45&gt;='参数'!$B$37,1,IF(C45&lt;=-'参数'!$B$37,-1,0)))</x:f>
      </x:c>
      <x:c r="H45" s="194" t="str">
        <x:f>IF(OR(F45="",G45=""),"",--(F45=G45))</x:f>
      </x:c>
      <x:c r="I45" s="214" t="str">
        <x:f>IF(D45="","",D45*'参数'!$B$34)</x:f>
      </x:c>
      <x:c r="J45" s="214" t="str">
        <x:f>IF(OR(C45="",I45=""),"",ABS(C45-I45))</x:f>
      </x:c>
      <x:c r="K45" s="194" t="str">
        <x:f>IF(D45="","",IF(MAX(ABS(SUM(L45:M45)),ABS(SUM(N45:P45)),ABS(Q45),ABS(SUM(R45:T45)),ABS(SUM(U45:V45)),ABS(SUM(W45:Y45)),ABS(SUM(Z45:AB45)),ABS(SUM(AC45:AE45)))=ABS(SUM(L45:M45)),"订单流",IF(MAX(ABS(SUM(L45:M45)),ABS(SUM(N45:P45)),ABS(Q45),ABS(SUM(R45:T45)),ABS(SUM(U45:V45)),ABS(SUM(W45:Y45)),ABS(SUM(Z45:AB45)),ABS(SUM(AC45:AE45)))=ABS(SUM(N45:P45)),"流动性",IF(MAX(ABS(SUM(L45:M45)),ABS(SUM(N45:P45)),ABS(Q45),ABS(SUM(R45:T45)),ABS(SUM(U45:V45)),ABS(SUM(W45:Y45)),ABS(SUM(Z45:AB45)),ABS(SUM(AC45:AE45)))=ABS(Q45),"价格行为",IF(MAX(ABS(SUM(L45:M45)),ABS(SUM(N45:P45)),ABS(Q45),ABS(SUM(R45:T45)),ABS(SUM(U45:V45)),ABS(SUM(W45:Y45)),ABS(SUM(Z45:AB45)),ABS(SUM(AC45:AE45)))=ABS(SUM(R45:T45)),"杠杆/清算",IF(MAX(ABS(SUM(L45:M45)),ABS(SUM(N45:P45)),ABS(Q45),ABS(SUM(R45:T45)),ABS(SUM(U45:V45)),ABS(SUM(W45:Y45)),ABS(SUM(Z45:AB45)),ABS(SUM(AC45:AE45)))=ABS(SUM(U45:V45)),"衍生品",IF(MAX(ABS(SUM(L45:M45)),ABS(SUM(N45:P45)),ABS(Q45),ABS(SUM(R45:T45)),ABS(SUM(U45:V45)),ABS(SUM(W45:Y45)),ABS(SUM(Z45:AB45)),ABS(SUM(AC45:AE45)))=ABS(SUM(W45:Y45)),"跨市场",IF(MAX(ABS(SUM(L45:M45)),ABS(SUM(N45:P45)),ABS(Q45),ABS(SUM(R45:T45)),ABS(SUM(U45:V45)),ABS(SUM(W45:Y45)),ABS(SUM(Z45:AB45)),ABS(SUM(AC45:AE45)))=ABS(SUM(Z45:AB45)),"宏观代理","事件"))))))))</x:f>
      </x:c>
      <x:c r="L45" s="198"/>
      <x:c r="M45" s="198"/>
      <x:c r="N45" s="198"/>
      <x:c r="O45" s="198"/>
      <x:c r="P45" s="198"/>
      <x:c r="Q45" s="198"/>
      <x:c r="R45" s="198"/>
      <x:c r="S45" s="198"/>
      <x:c r="T45" s="198"/>
      <x:c r="U45" s="198"/>
      <x:c r="V45" s="198"/>
      <x:c r="W45" s="198"/>
      <x:c r="X45" s="198"/>
      <x:c r="Y45" s="198"/>
      <x:c r="Z45" s="198"/>
      <x:c r="AA45" s="198"/>
      <x:c r="AB45" s="198"/>
      <x:c r="AC45" s="198"/>
      <x:c r="AD45" s="198"/>
      <x:c r="AE45" s="198"/>
      <x:c r="AF45" s="215"/>
    </x:row>
    <x:row r="46">
      <x:c r="A46" s="238"/>
      <x:c r="B46" s="215" t="str">
        <x:v>正常</x:v>
      </x:c>
      <x:c r="C46" s="199"/>
      <x:c r="D46" s="223" t="str">
        <x:f>IF(COUNTA(L46:AE46)=0,"",SUMPRODUCT(L46:AE46,'参数'!$C$6:$C$25,'参数'!$D$6:$D$25,INDEX('参数'!$E$6:$J$25,0,MATCH(B46,'参数'!$E$5:$J$5,0)),'参数'!$K$6:$K$25)/SUMPRODUCT('参数'!$C$6:$C$25,'参数'!$D$6:$D$25,INDEX('参数'!$E$6:$J$25,0,MATCH(B46,'参数'!$E$5:$J$5,0)),'参数'!$K$6:$K$25))</x:f>
      </x:c>
      <x:c r="E46" s="223" t="str">
        <x:f>IF(D46="","",SUMPRODUCT(ABS(L46:AE46),'参数'!$C$6:$C$25,'参数'!$D$6:$D$25,INDEX('参数'!$E$6:$J$25,0,MATCH(B46,'参数'!$E$5:$J$5,0)))/SUMPRODUCT('参数'!$C$6:$C$25,'参数'!$D$6:$D$25,INDEX('参数'!$E$6:$J$25,0,MATCH(B46,'参数'!$E$5:$J$5,0))))</x:f>
      </x:c>
      <x:c r="F46" s="194" t="str">
        <x:f>IF(D46="","",IF(D46&gt;='参数'!$B$30,1,IF(D46&lt;=-'参数'!$B$30,-1,0)))</x:f>
      </x:c>
      <x:c r="G46" s="194" t="str">
        <x:f>IF(C46="","",IF(C46&gt;='参数'!$B$37,1,IF(C46&lt;=-'参数'!$B$37,-1,0)))</x:f>
      </x:c>
      <x:c r="H46" s="194" t="str">
        <x:f>IF(OR(F46="",G46=""),"",--(F46=G46))</x:f>
      </x:c>
      <x:c r="I46" s="214" t="str">
        <x:f>IF(D46="","",D46*'参数'!$B$34)</x:f>
      </x:c>
      <x:c r="J46" s="214" t="str">
        <x:f>IF(OR(C46="",I46=""),"",ABS(C46-I46))</x:f>
      </x:c>
      <x:c r="K46" s="194" t="str">
        <x:f>IF(D46="","",IF(MAX(ABS(SUM(L46:M46)),ABS(SUM(N46:P46)),ABS(Q46),ABS(SUM(R46:T46)),ABS(SUM(U46:V46)),ABS(SUM(W46:Y46)),ABS(SUM(Z46:AB46)),ABS(SUM(AC46:AE46)))=ABS(SUM(L46:M46)),"订单流",IF(MAX(ABS(SUM(L46:M46)),ABS(SUM(N46:P46)),ABS(Q46),ABS(SUM(R46:T46)),ABS(SUM(U46:V46)),ABS(SUM(W46:Y46)),ABS(SUM(Z46:AB46)),ABS(SUM(AC46:AE46)))=ABS(SUM(N46:P46)),"流动性",IF(MAX(ABS(SUM(L46:M46)),ABS(SUM(N46:P46)),ABS(Q46),ABS(SUM(R46:T46)),ABS(SUM(U46:V46)),ABS(SUM(W46:Y46)),ABS(SUM(Z46:AB46)),ABS(SUM(AC46:AE46)))=ABS(Q46),"价格行为",IF(MAX(ABS(SUM(L46:M46)),ABS(SUM(N46:P46)),ABS(Q46),ABS(SUM(R46:T46)),ABS(SUM(U46:V46)),ABS(SUM(W46:Y46)),ABS(SUM(Z46:AB46)),ABS(SUM(AC46:AE46)))=ABS(SUM(R46:T46)),"杠杆/清算",IF(MAX(ABS(SUM(L46:M46)),ABS(SUM(N46:P46)),ABS(Q46),ABS(SUM(R46:T46)),ABS(SUM(U46:V46)),ABS(SUM(W46:Y46)),ABS(SUM(Z46:AB46)),ABS(SUM(AC46:AE46)))=ABS(SUM(U46:V46)),"衍生品",IF(MAX(ABS(SUM(L46:M46)),ABS(SUM(N46:P46)),ABS(Q46),ABS(SUM(R46:T46)),ABS(SUM(U46:V46)),ABS(SUM(W46:Y46)),ABS(SUM(Z46:AB46)),ABS(SUM(AC46:AE46)))=ABS(SUM(W46:Y46)),"跨市场",IF(MAX(ABS(SUM(L46:M46)),ABS(SUM(N46:P46)),ABS(Q46),ABS(SUM(R46:T46)),ABS(SUM(U46:V46)),ABS(SUM(W46:Y46)),ABS(SUM(Z46:AB46)),ABS(SUM(AC46:AE46)))=ABS(SUM(Z46:AB46)),"宏观代理","事件"))))))))</x:f>
      </x:c>
      <x:c r="L46" s="198"/>
      <x:c r="M46" s="198"/>
      <x:c r="N46" s="198"/>
      <x:c r="O46" s="198"/>
      <x:c r="P46" s="198"/>
      <x:c r="Q46" s="198"/>
      <x:c r="R46" s="198"/>
      <x:c r="S46" s="198"/>
      <x:c r="T46" s="198"/>
      <x:c r="U46" s="198"/>
      <x:c r="V46" s="198"/>
      <x:c r="W46" s="198"/>
      <x:c r="X46" s="198"/>
      <x:c r="Y46" s="198"/>
      <x:c r="Z46" s="198"/>
      <x:c r="AA46" s="198"/>
      <x:c r="AB46" s="198"/>
      <x:c r="AC46" s="198"/>
      <x:c r="AD46" s="198"/>
      <x:c r="AE46" s="198"/>
      <x:c r="AF46" s="215"/>
    </x:row>
    <x:row r="47">
      <x:c r="A47" s="238"/>
      <x:c r="B47" s="215" t="str">
        <x:v>正常</x:v>
      </x:c>
      <x:c r="C47" s="199"/>
      <x:c r="D47" s="223" t="str">
        <x:f>IF(COUNTA(L47:AE47)=0,"",SUMPRODUCT(L47:AE47,'参数'!$C$6:$C$25,'参数'!$D$6:$D$25,INDEX('参数'!$E$6:$J$25,0,MATCH(B47,'参数'!$E$5:$J$5,0)),'参数'!$K$6:$K$25)/SUMPRODUCT('参数'!$C$6:$C$25,'参数'!$D$6:$D$25,INDEX('参数'!$E$6:$J$25,0,MATCH(B47,'参数'!$E$5:$J$5,0)),'参数'!$K$6:$K$25))</x:f>
      </x:c>
      <x:c r="E47" s="223" t="str">
        <x:f>IF(D47="","",SUMPRODUCT(ABS(L47:AE47),'参数'!$C$6:$C$25,'参数'!$D$6:$D$25,INDEX('参数'!$E$6:$J$25,0,MATCH(B47,'参数'!$E$5:$J$5,0)))/SUMPRODUCT('参数'!$C$6:$C$25,'参数'!$D$6:$D$25,INDEX('参数'!$E$6:$J$25,0,MATCH(B47,'参数'!$E$5:$J$5,0))))</x:f>
      </x:c>
      <x:c r="F47" s="194" t="str">
        <x:f>IF(D47="","",IF(D47&gt;='参数'!$B$30,1,IF(D47&lt;=-'参数'!$B$30,-1,0)))</x:f>
      </x:c>
      <x:c r="G47" s="194" t="str">
        <x:f>IF(C47="","",IF(C47&gt;='参数'!$B$37,1,IF(C47&lt;=-'参数'!$B$37,-1,0)))</x:f>
      </x:c>
      <x:c r="H47" s="194" t="str">
        <x:f>IF(OR(F47="",G47=""),"",--(F47=G47))</x:f>
      </x:c>
      <x:c r="I47" s="214" t="str">
        <x:f>IF(D47="","",D47*'参数'!$B$34)</x:f>
      </x:c>
      <x:c r="J47" s="214" t="str">
        <x:f>IF(OR(C47="",I47=""),"",ABS(C47-I47))</x:f>
      </x:c>
      <x:c r="K47" s="194" t="str">
        <x:f>IF(D47="","",IF(MAX(ABS(SUM(L47:M47)),ABS(SUM(N47:P47)),ABS(Q47),ABS(SUM(R47:T47)),ABS(SUM(U47:V47)),ABS(SUM(W47:Y47)),ABS(SUM(Z47:AB47)),ABS(SUM(AC47:AE47)))=ABS(SUM(L47:M47)),"订单流",IF(MAX(ABS(SUM(L47:M47)),ABS(SUM(N47:P47)),ABS(Q47),ABS(SUM(R47:T47)),ABS(SUM(U47:V47)),ABS(SUM(W47:Y47)),ABS(SUM(Z47:AB47)),ABS(SUM(AC47:AE47)))=ABS(SUM(N47:P47)),"流动性",IF(MAX(ABS(SUM(L47:M47)),ABS(SUM(N47:P47)),ABS(Q47),ABS(SUM(R47:T47)),ABS(SUM(U47:V47)),ABS(SUM(W47:Y47)),ABS(SUM(Z47:AB47)),ABS(SUM(AC47:AE47)))=ABS(Q47),"价格行为",IF(MAX(ABS(SUM(L47:M47)),ABS(SUM(N47:P47)),ABS(Q47),ABS(SUM(R47:T47)),ABS(SUM(U47:V47)),ABS(SUM(W47:Y47)),ABS(SUM(Z47:AB47)),ABS(SUM(AC47:AE47)))=ABS(SUM(R47:T47)),"杠杆/清算",IF(MAX(ABS(SUM(L47:M47)),ABS(SUM(N47:P47)),ABS(Q47),ABS(SUM(R47:T47)),ABS(SUM(U47:V47)),ABS(SUM(W47:Y47)),ABS(SUM(Z47:AB47)),ABS(SUM(AC47:AE47)))=ABS(SUM(U47:V47)),"衍生品",IF(MAX(ABS(SUM(L47:M47)),ABS(SUM(N47:P47)),ABS(Q47),ABS(SUM(R47:T47)),ABS(SUM(U47:V47)),ABS(SUM(W47:Y47)),ABS(SUM(Z47:AB47)),ABS(SUM(AC47:AE47)))=ABS(SUM(W47:Y47)),"跨市场",IF(MAX(ABS(SUM(L47:M47)),ABS(SUM(N47:P47)),ABS(Q47),ABS(SUM(R47:T47)),ABS(SUM(U47:V47)),ABS(SUM(W47:Y47)),ABS(SUM(Z47:AB47)),ABS(SUM(AC47:AE47)))=ABS(SUM(Z47:AB47)),"宏观代理","事件"))))))))</x:f>
      </x:c>
      <x:c r="L47" s="198"/>
      <x:c r="M47" s="198"/>
      <x:c r="N47" s="198"/>
      <x:c r="O47" s="198"/>
      <x:c r="P47" s="198"/>
      <x:c r="Q47" s="198"/>
      <x:c r="R47" s="198"/>
      <x:c r="S47" s="198"/>
      <x:c r="T47" s="198"/>
      <x:c r="U47" s="198"/>
      <x:c r="V47" s="198"/>
      <x:c r="W47" s="198"/>
      <x:c r="X47" s="198"/>
      <x:c r="Y47" s="198"/>
      <x:c r="Z47" s="198"/>
      <x:c r="AA47" s="198"/>
      <x:c r="AB47" s="198"/>
      <x:c r="AC47" s="198"/>
      <x:c r="AD47" s="198"/>
      <x:c r="AE47" s="198"/>
      <x:c r="AF47" s="215"/>
    </x:row>
    <x:row r="48">
      <x:c r="A48" s="238"/>
      <x:c r="B48" s="215" t="str">
        <x:v>正常</x:v>
      </x:c>
      <x:c r="C48" s="199"/>
      <x:c r="D48" s="223" t="str">
        <x:f>IF(COUNTA(L48:AE48)=0,"",SUMPRODUCT(L48:AE48,'参数'!$C$6:$C$25,'参数'!$D$6:$D$25,INDEX('参数'!$E$6:$J$25,0,MATCH(B48,'参数'!$E$5:$J$5,0)),'参数'!$K$6:$K$25)/SUMPRODUCT('参数'!$C$6:$C$25,'参数'!$D$6:$D$25,INDEX('参数'!$E$6:$J$25,0,MATCH(B48,'参数'!$E$5:$J$5,0)),'参数'!$K$6:$K$25))</x:f>
      </x:c>
      <x:c r="E48" s="223" t="str">
        <x:f>IF(D48="","",SUMPRODUCT(ABS(L48:AE48),'参数'!$C$6:$C$25,'参数'!$D$6:$D$25,INDEX('参数'!$E$6:$J$25,0,MATCH(B48,'参数'!$E$5:$J$5,0)))/SUMPRODUCT('参数'!$C$6:$C$25,'参数'!$D$6:$D$25,INDEX('参数'!$E$6:$J$25,0,MATCH(B48,'参数'!$E$5:$J$5,0))))</x:f>
      </x:c>
      <x:c r="F48" s="194" t="str">
        <x:f>IF(D48="","",IF(D48&gt;='参数'!$B$30,1,IF(D48&lt;=-'参数'!$B$30,-1,0)))</x:f>
      </x:c>
      <x:c r="G48" s="194" t="str">
        <x:f>IF(C48="","",IF(C48&gt;='参数'!$B$37,1,IF(C48&lt;=-'参数'!$B$37,-1,0)))</x:f>
      </x:c>
      <x:c r="H48" s="194" t="str">
        <x:f>IF(OR(F48="",G48=""),"",--(F48=G48))</x:f>
      </x:c>
      <x:c r="I48" s="214" t="str">
        <x:f>IF(D48="","",D48*'参数'!$B$34)</x:f>
      </x:c>
      <x:c r="J48" s="214" t="str">
        <x:f>IF(OR(C48="",I48=""),"",ABS(C48-I48))</x:f>
      </x:c>
      <x:c r="K48" s="194" t="str">
        <x:f>IF(D48="","",IF(MAX(ABS(SUM(L48:M48)),ABS(SUM(N48:P48)),ABS(Q48),ABS(SUM(R48:T48)),ABS(SUM(U48:V48)),ABS(SUM(W48:Y48)),ABS(SUM(Z48:AB48)),ABS(SUM(AC48:AE48)))=ABS(SUM(L48:M48)),"订单流",IF(MAX(ABS(SUM(L48:M48)),ABS(SUM(N48:P48)),ABS(Q48),ABS(SUM(R48:T48)),ABS(SUM(U48:V48)),ABS(SUM(W48:Y48)),ABS(SUM(Z48:AB48)),ABS(SUM(AC48:AE48)))=ABS(SUM(N48:P48)),"流动性",IF(MAX(ABS(SUM(L48:M48)),ABS(SUM(N48:P48)),ABS(Q48),ABS(SUM(R48:T48)),ABS(SUM(U48:V48)),ABS(SUM(W48:Y48)),ABS(SUM(Z48:AB48)),ABS(SUM(AC48:AE48)))=ABS(Q48),"价格行为",IF(MAX(ABS(SUM(L48:M48)),ABS(SUM(N48:P48)),ABS(Q48),ABS(SUM(R48:T48)),ABS(SUM(U48:V48)),ABS(SUM(W48:Y48)),ABS(SUM(Z48:AB48)),ABS(SUM(AC48:AE48)))=ABS(SUM(R48:T48)),"杠杆/清算",IF(MAX(ABS(SUM(L48:M48)),ABS(SUM(N48:P48)),ABS(Q48),ABS(SUM(R48:T48)),ABS(SUM(U48:V48)),ABS(SUM(W48:Y48)),ABS(SUM(Z48:AB48)),ABS(SUM(AC48:AE48)))=ABS(SUM(U48:V48)),"衍生品",IF(MAX(ABS(SUM(L48:M48)),ABS(SUM(N48:P48)),ABS(Q48),ABS(SUM(R48:T48)),ABS(SUM(U48:V48)),ABS(SUM(W48:Y48)),ABS(SUM(Z48:AB48)),ABS(SUM(AC48:AE48)))=ABS(SUM(W48:Y48)),"跨市场",IF(MAX(ABS(SUM(L48:M48)),ABS(SUM(N48:P48)),ABS(Q48),ABS(SUM(R48:T48)),ABS(SUM(U48:V48)),ABS(SUM(W48:Y48)),ABS(SUM(Z48:AB48)),ABS(SUM(AC48:AE48)))=ABS(SUM(Z48:AB48)),"宏观代理","事件"))))))))</x:f>
      </x:c>
      <x:c r="L48" s="198"/>
      <x:c r="M48" s="198"/>
      <x:c r="N48" s="198"/>
      <x:c r="O48" s="198"/>
      <x:c r="P48" s="198"/>
      <x:c r="Q48" s="198"/>
      <x:c r="R48" s="198"/>
      <x:c r="S48" s="198"/>
      <x:c r="T48" s="198"/>
      <x:c r="U48" s="198"/>
      <x:c r="V48" s="198"/>
      <x:c r="W48" s="198"/>
      <x:c r="X48" s="198"/>
      <x:c r="Y48" s="198"/>
      <x:c r="Z48" s="198"/>
      <x:c r="AA48" s="198"/>
      <x:c r="AB48" s="198"/>
      <x:c r="AC48" s="198"/>
      <x:c r="AD48" s="198"/>
      <x:c r="AE48" s="198"/>
      <x:c r="AF48" s="215"/>
    </x:row>
    <x:row r="49">
      <x:c r="A49" s="238"/>
      <x:c r="B49" s="215" t="str">
        <x:v>正常</x:v>
      </x:c>
      <x:c r="C49" s="199"/>
      <x:c r="D49" s="223" t="str">
        <x:f>IF(COUNTA(L49:AE49)=0,"",SUMPRODUCT(L49:AE49,'参数'!$C$6:$C$25,'参数'!$D$6:$D$25,INDEX('参数'!$E$6:$J$25,0,MATCH(B49,'参数'!$E$5:$J$5,0)),'参数'!$K$6:$K$25)/SUMPRODUCT('参数'!$C$6:$C$25,'参数'!$D$6:$D$25,INDEX('参数'!$E$6:$J$25,0,MATCH(B49,'参数'!$E$5:$J$5,0)),'参数'!$K$6:$K$25))</x:f>
      </x:c>
      <x:c r="E49" s="223" t="str">
        <x:f>IF(D49="","",SUMPRODUCT(ABS(L49:AE49),'参数'!$C$6:$C$25,'参数'!$D$6:$D$25,INDEX('参数'!$E$6:$J$25,0,MATCH(B49,'参数'!$E$5:$J$5,0)))/SUMPRODUCT('参数'!$C$6:$C$25,'参数'!$D$6:$D$25,INDEX('参数'!$E$6:$J$25,0,MATCH(B49,'参数'!$E$5:$J$5,0))))</x:f>
      </x:c>
      <x:c r="F49" s="194" t="str">
        <x:f>IF(D49="","",IF(D49&gt;='参数'!$B$30,1,IF(D49&lt;=-'参数'!$B$30,-1,0)))</x:f>
      </x:c>
      <x:c r="G49" s="194" t="str">
        <x:f>IF(C49="","",IF(C49&gt;='参数'!$B$37,1,IF(C49&lt;=-'参数'!$B$37,-1,0)))</x:f>
      </x:c>
      <x:c r="H49" s="194" t="str">
        <x:f>IF(OR(F49="",G49=""),"",--(F49=G49))</x:f>
      </x:c>
      <x:c r="I49" s="214" t="str">
        <x:f>IF(D49="","",D49*'参数'!$B$34)</x:f>
      </x:c>
      <x:c r="J49" s="214" t="str">
        <x:f>IF(OR(C49="",I49=""),"",ABS(C49-I49))</x:f>
      </x:c>
      <x:c r="K49" s="194" t="str">
        <x:f>IF(D49="","",IF(MAX(ABS(SUM(L49:M49)),ABS(SUM(N49:P49)),ABS(Q49),ABS(SUM(R49:T49)),ABS(SUM(U49:V49)),ABS(SUM(W49:Y49)),ABS(SUM(Z49:AB49)),ABS(SUM(AC49:AE49)))=ABS(SUM(L49:M49)),"订单流",IF(MAX(ABS(SUM(L49:M49)),ABS(SUM(N49:P49)),ABS(Q49),ABS(SUM(R49:T49)),ABS(SUM(U49:V49)),ABS(SUM(W49:Y49)),ABS(SUM(Z49:AB49)),ABS(SUM(AC49:AE49)))=ABS(SUM(N49:P49)),"流动性",IF(MAX(ABS(SUM(L49:M49)),ABS(SUM(N49:P49)),ABS(Q49),ABS(SUM(R49:T49)),ABS(SUM(U49:V49)),ABS(SUM(W49:Y49)),ABS(SUM(Z49:AB49)),ABS(SUM(AC49:AE49)))=ABS(Q49),"价格行为",IF(MAX(ABS(SUM(L49:M49)),ABS(SUM(N49:P49)),ABS(Q49),ABS(SUM(R49:T49)),ABS(SUM(U49:V49)),ABS(SUM(W49:Y49)),ABS(SUM(Z49:AB49)),ABS(SUM(AC49:AE49)))=ABS(SUM(R49:T49)),"杠杆/清算",IF(MAX(ABS(SUM(L49:M49)),ABS(SUM(N49:P49)),ABS(Q49),ABS(SUM(R49:T49)),ABS(SUM(U49:V49)),ABS(SUM(W49:Y49)),ABS(SUM(Z49:AB49)),ABS(SUM(AC49:AE49)))=ABS(SUM(U49:V49)),"衍生品",IF(MAX(ABS(SUM(L49:M49)),ABS(SUM(N49:P49)),ABS(Q49),ABS(SUM(R49:T49)),ABS(SUM(U49:V49)),ABS(SUM(W49:Y49)),ABS(SUM(Z49:AB49)),ABS(SUM(AC49:AE49)))=ABS(SUM(W49:Y49)),"跨市场",IF(MAX(ABS(SUM(L49:M49)),ABS(SUM(N49:P49)),ABS(Q49),ABS(SUM(R49:T49)),ABS(SUM(U49:V49)),ABS(SUM(W49:Y49)),ABS(SUM(Z49:AB49)),ABS(SUM(AC49:AE49)))=ABS(SUM(Z49:AB49)),"宏观代理","事件"))))))))</x:f>
      </x:c>
      <x:c r="L49" s="198"/>
      <x:c r="M49" s="198"/>
      <x:c r="N49" s="198"/>
      <x:c r="O49" s="198"/>
      <x:c r="P49" s="198"/>
      <x:c r="Q49" s="198"/>
      <x:c r="R49" s="198"/>
      <x:c r="S49" s="198"/>
      <x:c r="T49" s="198"/>
      <x:c r="U49" s="198"/>
      <x:c r="V49" s="198"/>
      <x:c r="W49" s="198"/>
      <x:c r="X49" s="198"/>
      <x:c r="Y49" s="198"/>
      <x:c r="Z49" s="198"/>
      <x:c r="AA49" s="198"/>
      <x:c r="AB49" s="198"/>
      <x:c r="AC49" s="198"/>
      <x:c r="AD49" s="198"/>
      <x:c r="AE49" s="198"/>
      <x:c r="AF49" s="215"/>
    </x:row>
    <x:row r="50">
      <x:c r="A50" s="238"/>
      <x:c r="B50" s="215" t="str">
        <x:v>正常</x:v>
      </x:c>
      <x:c r="C50" s="199"/>
      <x:c r="D50" s="223" t="str">
        <x:f>IF(COUNTA(L50:AE50)=0,"",SUMPRODUCT(L50:AE50,'参数'!$C$6:$C$25,'参数'!$D$6:$D$25,INDEX('参数'!$E$6:$J$25,0,MATCH(B50,'参数'!$E$5:$J$5,0)),'参数'!$K$6:$K$25)/SUMPRODUCT('参数'!$C$6:$C$25,'参数'!$D$6:$D$25,INDEX('参数'!$E$6:$J$25,0,MATCH(B50,'参数'!$E$5:$J$5,0)),'参数'!$K$6:$K$25))</x:f>
      </x:c>
      <x:c r="E50" s="223" t="str">
        <x:f>IF(D50="","",SUMPRODUCT(ABS(L50:AE50),'参数'!$C$6:$C$25,'参数'!$D$6:$D$25,INDEX('参数'!$E$6:$J$25,0,MATCH(B50,'参数'!$E$5:$J$5,0)))/SUMPRODUCT('参数'!$C$6:$C$25,'参数'!$D$6:$D$25,INDEX('参数'!$E$6:$J$25,0,MATCH(B50,'参数'!$E$5:$J$5,0))))</x:f>
      </x:c>
      <x:c r="F50" s="194" t="str">
        <x:f>IF(D50="","",IF(D50&gt;='参数'!$B$30,1,IF(D50&lt;=-'参数'!$B$30,-1,0)))</x:f>
      </x:c>
      <x:c r="G50" s="194" t="str">
        <x:f>IF(C50="","",IF(C50&gt;='参数'!$B$37,1,IF(C50&lt;=-'参数'!$B$37,-1,0)))</x:f>
      </x:c>
      <x:c r="H50" s="194" t="str">
        <x:f>IF(OR(F50="",G50=""),"",--(F50=G50))</x:f>
      </x:c>
      <x:c r="I50" s="214" t="str">
        <x:f>IF(D50="","",D50*'参数'!$B$34)</x:f>
      </x:c>
      <x:c r="J50" s="214" t="str">
        <x:f>IF(OR(C50="",I50=""),"",ABS(C50-I50))</x:f>
      </x:c>
      <x:c r="K50" s="194" t="str">
        <x:f>IF(D50="","",IF(MAX(ABS(SUM(L50:M50)),ABS(SUM(N50:P50)),ABS(Q50),ABS(SUM(R50:T50)),ABS(SUM(U50:V50)),ABS(SUM(W50:Y50)),ABS(SUM(Z50:AB50)),ABS(SUM(AC50:AE50)))=ABS(SUM(L50:M50)),"订单流",IF(MAX(ABS(SUM(L50:M50)),ABS(SUM(N50:P50)),ABS(Q50),ABS(SUM(R50:T50)),ABS(SUM(U50:V50)),ABS(SUM(W50:Y50)),ABS(SUM(Z50:AB50)),ABS(SUM(AC50:AE50)))=ABS(SUM(N50:P50)),"流动性",IF(MAX(ABS(SUM(L50:M50)),ABS(SUM(N50:P50)),ABS(Q50),ABS(SUM(R50:T50)),ABS(SUM(U50:V50)),ABS(SUM(W50:Y50)),ABS(SUM(Z50:AB50)),ABS(SUM(AC50:AE50)))=ABS(Q50),"价格行为",IF(MAX(ABS(SUM(L50:M50)),ABS(SUM(N50:P50)),ABS(Q50),ABS(SUM(R50:T50)),ABS(SUM(U50:V50)),ABS(SUM(W50:Y50)),ABS(SUM(Z50:AB50)),ABS(SUM(AC50:AE50)))=ABS(SUM(R50:T50)),"杠杆/清算",IF(MAX(ABS(SUM(L50:M50)),ABS(SUM(N50:P50)),ABS(Q50),ABS(SUM(R50:T50)),ABS(SUM(U50:V50)),ABS(SUM(W50:Y50)),ABS(SUM(Z50:AB50)),ABS(SUM(AC50:AE50)))=ABS(SUM(U50:V50)),"衍生品",IF(MAX(ABS(SUM(L50:M50)),ABS(SUM(N50:P50)),ABS(Q50),ABS(SUM(R50:T50)),ABS(SUM(U50:V50)),ABS(SUM(W50:Y50)),ABS(SUM(Z50:AB50)),ABS(SUM(AC50:AE50)))=ABS(SUM(W50:Y50)),"跨市场",IF(MAX(ABS(SUM(L50:M50)),ABS(SUM(N50:P50)),ABS(Q50),ABS(SUM(R50:T50)),ABS(SUM(U50:V50)),ABS(SUM(W50:Y50)),ABS(SUM(Z50:AB50)),ABS(SUM(AC50:AE50)))=ABS(SUM(Z50:AB50)),"宏观代理","事件"))))))))</x:f>
      </x:c>
      <x:c r="L50" s="198"/>
      <x:c r="M50" s="198"/>
      <x:c r="N50" s="198"/>
      <x:c r="O50" s="198"/>
      <x:c r="P50" s="198"/>
      <x:c r="Q50" s="198"/>
      <x:c r="R50" s="198"/>
      <x:c r="S50" s="198"/>
      <x:c r="T50" s="198"/>
      <x:c r="U50" s="198"/>
      <x:c r="V50" s="198"/>
      <x:c r="W50" s="198"/>
      <x:c r="X50" s="198"/>
      <x:c r="Y50" s="198"/>
      <x:c r="Z50" s="198"/>
      <x:c r="AA50" s="198"/>
      <x:c r="AB50" s="198"/>
      <x:c r="AC50" s="198"/>
      <x:c r="AD50" s="198"/>
      <x:c r="AE50" s="198"/>
      <x:c r="AF50" s="215"/>
    </x:row>
    <x:row r="51">
      <x:c r="A51" s="238"/>
      <x:c r="B51" s="215" t="str">
        <x:v>正常</x:v>
      </x:c>
      <x:c r="C51" s="199"/>
      <x:c r="D51" s="223" t="str">
        <x:f>IF(COUNTA(L51:AE51)=0,"",SUMPRODUCT(L51:AE51,'参数'!$C$6:$C$25,'参数'!$D$6:$D$25,INDEX('参数'!$E$6:$J$25,0,MATCH(B51,'参数'!$E$5:$J$5,0)),'参数'!$K$6:$K$25)/SUMPRODUCT('参数'!$C$6:$C$25,'参数'!$D$6:$D$25,INDEX('参数'!$E$6:$J$25,0,MATCH(B51,'参数'!$E$5:$J$5,0)),'参数'!$K$6:$K$25))</x:f>
      </x:c>
      <x:c r="E51" s="223" t="str">
        <x:f>IF(D51="","",SUMPRODUCT(ABS(L51:AE51),'参数'!$C$6:$C$25,'参数'!$D$6:$D$25,INDEX('参数'!$E$6:$J$25,0,MATCH(B51,'参数'!$E$5:$J$5,0)))/SUMPRODUCT('参数'!$C$6:$C$25,'参数'!$D$6:$D$25,INDEX('参数'!$E$6:$J$25,0,MATCH(B51,'参数'!$E$5:$J$5,0))))</x:f>
      </x:c>
      <x:c r="F51" s="194" t="str">
        <x:f>IF(D51="","",IF(D51&gt;='参数'!$B$30,1,IF(D51&lt;=-'参数'!$B$30,-1,0)))</x:f>
      </x:c>
      <x:c r="G51" s="194" t="str">
        <x:f>IF(C51="","",IF(C51&gt;='参数'!$B$37,1,IF(C51&lt;=-'参数'!$B$37,-1,0)))</x:f>
      </x:c>
      <x:c r="H51" s="194" t="str">
        <x:f>IF(OR(F51="",G51=""),"",--(F51=G51))</x:f>
      </x:c>
      <x:c r="I51" s="214" t="str">
        <x:f>IF(D51="","",D51*'参数'!$B$34)</x:f>
      </x:c>
      <x:c r="J51" s="214" t="str">
        <x:f>IF(OR(C51="",I51=""),"",ABS(C51-I51))</x:f>
      </x:c>
      <x:c r="K51" s="194" t="str">
        <x:f>IF(D51="","",IF(MAX(ABS(SUM(L51:M51)),ABS(SUM(N51:P51)),ABS(Q51),ABS(SUM(R51:T51)),ABS(SUM(U51:V51)),ABS(SUM(W51:Y51)),ABS(SUM(Z51:AB51)),ABS(SUM(AC51:AE51)))=ABS(SUM(L51:M51)),"订单流",IF(MAX(ABS(SUM(L51:M51)),ABS(SUM(N51:P51)),ABS(Q51),ABS(SUM(R51:T51)),ABS(SUM(U51:V51)),ABS(SUM(W51:Y51)),ABS(SUM(Z51:AB51)),ABS(SUM(AC51:AE51)))=ABS(SUM(N51:P51)),"流动性",IF(MAX(ABS(SUM(L51:M51)),ABS(SUM(N51:P51)),ABS(Q51),ABS(SUM(R51:T51)),ABS(SUM(U51:V51)),ABS(SUM(W51:Y51)),ABS(SUM(Z51:AB51)),ABS(SUM(AC51:AE51)))=ABS(Q51),"价格行为",IF(MAX(ABS(SUM(L51:M51)),ABS(SUM(N51:P51)),ABS(Q51),ABS(SUM(R51:T51)),ABS(SUM(U51:V51)),ABS(SUM(W51:Y51)),ABS(SUM(Z51:AB51)),ABS(SUM(AC51:AE51)))=ABS(SUM(R51:T51)),"杠杆/清算",IF(MAX(ABS(SUM(L51:M51)),ABS(SUM(N51:P51)),ABS(Q51),ABS(SUM(R51:T51)),ABS(SUM(U51:V51)),ABS(SUM(W51:Y51)),ABS(SUM(Z51:AB51)),ABS(SUM(AC51:AE51)))=ABS(SUM(U51:V51)),"衍生品",IF(MAX(ABS(SUM(L51:M51)),ABS(SUM(N51:P51)),ABS(Q51),ABS(SUM(R51:T51)),ABS(SUM(U51:V51)),ABS(SUM(W51:Y51)),ABS(SUM(Z51:AB51)),ABS(SUM(AC51:AE51)))=ABS(SUM(W51:Y51)),"跨市场",IF(MAX(ABS(SUM(L51:M51)),ABS(SUM(N51:P51)),ABS(Q51),ABS(SUM(R51:T51)),ABS(SUM(U51:V51)),ABS(SUM(W51:Y51)),ABS(SUM(Z51:AB51)),ABS(SUM(AC51:AE51)))=ABS(SUM(Z51:AB51)),"宏观代理","事件"))))))))</x:f>
      </x:c>
      <x:c r="L51" s="198"/>
      <x:c r="M51" s="198"/>
      <x:c r="N51" s="198"/>
      <x:c r="O51" s="198"/>
      <x:c r="P51" s="198"/>
      <x:c r="Q51" s="198"/>
      <x:c r="R51" s="198"/>
      <x:c r="S51" s="198"/>
      <x:c r="T51" s="198"/>
      <x:c r="U51" s="198"/>
      <x:c r="V51" s="198"/>
      <x:c r="W51" s="198"/>
      <x:c r="X51" s="198"/>
      <x:c r="Y51" s="198"/>
      <x:c r="Z51" s="198"/>
      <x:c r="AA51" s="198"/>
      <x:c r="AB51" s="198"/>
      <x:c r="AC51" s="198"/>
      <x:c r="AD51" s="198"/>
      <x:c r="AE51" s="198"/>
      <x:c r="AF51" s="215"/>
    </x:row>
    <x:row r="52">
      <x:c r="A52" s="238"/>
      <x:c r="B52" s="215" t="str">
        <x:v>正常</x:v>
      </x:c>
      <x:c r="C52" s="199"/>
      <x:c r="D52" s="223" t="str">
        <x:f>IF(COUNTA(L52:AE52)=0,"",SUMPRODUCT(L52:AE52,'参数'!$C$6:$C$25,'参数'!$D$6:$D$25,INDEX('参数'!$E$6:$J$25,0,MATCH(B52,'参数'!$E$5:$J$5,0)),'参数'!$K$6:$K$25)/SUMPRODUCT('参数'!$C$6:$C$25,'参数'!$D$6:$D$25,INDEX('参数'!$E$6:$J$25,0,MATCH(B52,'参数'!$E$5:$J$5,0)),'参数'!$K$6:$K$25))</x:f>
      </x:c>
      <x:c r="E52" s="223" t="str">
        <x:f>IF(D52="","",SUMPRODUCT(ABS(L52:AE52),'参数'!$C$6:$C$25,'参数'!$D$6:$D$25,INDEX('参数'!$E$6:$J$25,0,MATCH(B52,'参数'!$E$5:$J$5,0)))/SUMPRODUCT('参数'!$C$6:$C$25,'参数'!$D$6:$D$25,INDEX('参数'!$E$6:$J$25,0,MATCH(B52,'参数'!$E$5:$J$5,0))))</x:f>
      </x:c>
      <x:c r="F52" s="194" t="str">
        <x:f>IF(D52="","",IF(D52&gt;='参数'!$B$30,1,IF(D52&lt;=-'参数'!$B$30,-1,0)))</x:f>
      </x:c>
      <x:c r="G52" s="194" t="str">
        <x:f>IF(C52="","",IF(C52&gt;='参数'!$B$37,1,IF(C52&lt;=-'参数'!$B$37,-1,0)))</x:f>
      </x:c>
      <x:c r="H52" s="194" t="str">
        <x:f>IF(OR(F52="",G52=""),"",--(F52=G52))</x:f>
      </x:c>
      <x:c r="I52" s="214" t="str">
        <x:f>IF(D52="","",D52*'参数'!$B$34)</x:f>
      </x:c>
      <x:c r="J52" s="214" t="str">
        <x:f>IF(OR(C52="",I52=""),"",ABS(C52-I52))</x:f>
      </x:c>
      <x:c r="K52" s="194" t="str">
        <x:f>IF(D52="","",IF(MAX(ABS(SUM(L52:M52)),ABS(SUM(N52:P52)),ABS(Q52),ABS(SUM(R52:T52)),ABS(SUM(U52:V52)),ABS(SUM(W52:Y52)),ABS(SUM(Z52:AB52)),ABS(SUM(AC52:AE52)))=ABS(SUM(L52:M52)),"订单流",IF(MAX(ABS(SUM(L52:M52)),ABS(SUM(N52:P52)),ABS(Q52),ABS(SUM(R52:T52)),ABS(SUM(U52:V52)),ABS(SUM(W52:Y52)),ABS(SUM(Z52:AB52)),ABS(SUM(AC52:AE52)))=ABS(SUM(N52:P52)),"流动性",IF(MAX(ABS(SUM(L52:M52)),ABS(SUM(N52:P52)),ABS(Q52),ABS(SUM(R52:T52)),ABS(SUM(U52:V52)),ABS(SUM(W52:Y52)),ABS(SUM(Z52:AB52)),ABS(SUM(AC52:AE52)))=ABS(Q52),"价格行为",IF(MAX(ABS(SUM(L52:M52)),ABS(SUM(N52:P52)),ABS(Q52),ABS(SUM(R52:T52)),ABS(SUM(U52:V52)),ABS(SUM(W52:Y52)),ABS(SUM(Z52:AB52)),ABS(SUM(AC52:AE52)))=ABS(SUM(R52:T52)),"杠杆/清算",IF(MAX(ABS(SUM(L52:M52)),ABS(SUM(N52:P52)),ABS(Q52),ABS(SUM(R52:T52)),ABS(SUM(U52:V52)),ABS(SUM(W52:Y52)),ABS(SUM(Z52:AB52)),ABS(SUM(AC52:AE52)))=ABS(SUM(U52:V52)),"衍生品",IF(MAX(ABS(SUM(L52:M52)),ABS(SUM(N52:P52)),ABS(Q52),ABS(SUM(R52:T52)),ABS(SUM(U52:V52)),ABS(SUM(W52:Y52)),ABS(SUM(Z52:AB52)),ABS(SUM(AC52:AE52)))=ABS(SUM(W52:Y52)),"跨市场",IF(MAX(ABS(SUM(L52:M52)),ABS(SUM(N52:P52)),ABS(Q52),ABS(SUM(R52:T52)),ABS(SUM(U52:V52)),ABS(SUM(W52:Y52)),ABS(SUM(Z52:AB52)),ABS(SUM(AC52:AE52)))=ABS(SUM(Z52:AB52)),"宏观代理","事件"))))))))</x:f>
      </x:c>
      <x:c r="L52" s="198"/>
      <x:c r="M52" s="198"/>
      <x:c r="N52" s="198"/>
      <x:c r="O52" s="198"/>
      <x:c r="P52" s="198"/>
      <x:c r="Q52" s="198"/>
      <x:c r="R52" s="198"/>
      <x:c r="S52" s="198"/>
      <x:c r="T52" s="198"/>
      <x:c r="U52" s="198"/>
      <x:c r="V52" s="198"/>
      <x:c r="W52" s="198"/>
      <x:c r="X52" s="198"/>
      <x:c r="Y52" s="198"/>
      <x:c r="Z52" s="198"/>
      <x:c r="AA52" s="198"/>
      <x:c r="AB52" s="198"/>
      <x:c r="AC52" s="198"/>
      <x:c r="AD52" s="198"/>
      <x:c r="AE52" s="198"/>
      <x:c r="AF52" s="215"/>
    </x:row>
    <x:row r="53">
      <x:c r="A53" s="238"/>
      <x:c r="B53" s="215" t="str">
        <x:v>正常</x:v>
      </x:c>
      <x:c r="C53" s="199"/>
      <x:c r="D53" s="223" t="str">
        <x:f>IF(COUNTA(L53:AE53)=0,"",SUMPRODUCT(L53:AE53,'参数'!$C$6:$C$25,'参数'!$D$6:$D$25,INDEX('参数'!$E$6:$J$25,0,MATCH(B53,'参数'!$E$5:$J$5,0)),'参数'!$K$6:$K$25)/SUMPRODUCT('参数'!$C$6:$C$25,'参数'!$D$6:$D$25,INDEX('参数'!$E$6:$J$25,0,MATCH(B53,'参数'!$E$5:$J$5,0)),'参数'!$K$6:$K$25))</x:f>
      </x:c>
      <x:c r="E53" s="223" t="str">
        <x:f>IF(D53="","",SUMPRODUCT(ABS(L53:AE53),'参数'!$C$6:$C$25,'参数'!$D$6:$D$25,INDEX('参数'!$E$6:$J$25,0,MATCH(B53,'参数'!$E$5:$J$5,0)))/SUMPRODUCT('参数'!$C$6:$C$25,'参数'!$D$6:$D$25,INDEX('参数'!$E$6:$J$25,0,MATCH(B53,'参数'!$E$5:$J$5,0))))</x:f>
      </x:c>
      <x:c r="F53" s="194" t="str">
        <x:f>IF(D53="","",IF(D53&gt;='参数'!$B$30,1,IF(D53&lt;=-'参数'!$B$30,-1,0)))</x:f>
      </x:c>
      <x:c r="G53" s="194" t="str">
        <x:f>IF(C53="","",IF(C53&gt;='参数'!$B$37,1,IF(C53&lt;=-'参数'!$B$37,-1,0)))</x:f>
      </x:c>
      <x:c r="H53" s="194" t="str">
        <x:f>IF(OR(F53="",G53=""),"",--(F53=G53))</x:f>
      </x:c>
      <x:c r="I53" s="214" t="str">
        <x:f>IF(D53="","",D53*'参数'!$B$34)</x:f>
      </x:c>
      <x:c r="J53" s="214" t="str">
        <x:f>IF(OR(C53="",I53=""),"",ABS(C53-I53))</x:f>
      </x:c>
      <x:c r="K53" s="194" t="str">
        <x:f>IF(D53="","",IF(MAX(ABS(SUM(L53:M53)),ABS(SUM(N53:P53)),ABS(Q53),ABS(SUM(R53:T53)),ABS(SUM(U53:V53)),ABS(SUM(W53:Y53)),ABS(SUM(Z53:AB53)),ABS(SUM(AC53:AE53)))=ABS(SUM(L53:M53)),"订单流",IF(MAX(ABS(SUM(L53:M53)),ABS(SUM(N53:P53)),ABS(Q53),ABS(SUM(R53:T53)),ABS(SUM(U53:V53)),ABS(SUM(W53:Y53)),ABS(SUM(Z53:AB53)),ABS(SUM(AC53:AE53)))=ABS(SUM(N53:P53)),"流动性",IF(MAX(ABS(SUM(L53:M53)),ABS(SUM(N53:P53)),ABS(Q53),ABS(SUM(R53:T53)),ABS(SUM(U53:V53)),ABS(SUM(W53:Y53)),ABS(SUM(Z53:AB53)),ABS(SUM(AC53:AE53)))=ABS(Q53),"价格行为",IF(MAX(ABS(SUM(L53:M53)),ABS(SUM(N53:P53)),ABS(Q53),ABS(SUM(R53:T53)),ABS(SUM(U53:V53)),ABS(SUM(W53:Y53)),ABS(SUM(Z53:AB53)),ABS(SUM(AC53:AE53)))=ABS(SUM(R53:T53)),"杠杆/清算",IF(MAX(ABS(SUM(L53:M53)),ABS(SUM(N53:P53)),ABS(Q53),ABS(SUM(R53:T53)),ABS(SUM(U53:V53)),ABS(SUM(W53:Y53)),ABS(SUM(Z53:AB53)),ABS(SUM(AC53:AE53)))=ABS(SUM(U53:V53)),"衍生品",IF(MAX(ABS(SUM(L53:M53)),ABS(SUM(N53:P53)),ABS(Q53),ABS(SUM(R53:T53)),ABS(SUM(U53:V53)),ABS(SUM(W53:Y53)),ABS(SUM(Z53:AB53)),ABS(SUM(AC53:AE53)))=ABS(SUM(W53:Y53)),"跨市场",IF(MAX(ABS(SUM(L53:M53)),ABS(SUM(N53:P53)),ABS(Q53),ABS(SUM(R53:T53)),ABS(SUM(U53:V53)),ABS(SUM(W53:Y53)),ABS(SUM(Z53:AB53)),ABS(SUM(AC53:AE53)))=ABS(SUM(Z53:AB53)),"宏观代理","事件"))))))))</x:f>
      </x:c>
      <x:c r="L53" s="198"/>
      <x:c r="M53" s="198"/>
      <x:c r="N53" s="198"/>
      <x:c r="O53" s="198"/>
      <x:c r="P53" s="198"/>
      <x:c r="Q53" s="198"/>
      <x:c r="R53" s="198"/>
      <x:c r="S53" s="198"/>
      <x:c r="T53" s="198"/>
      <x:c r="U53" s="198"/>
      <x:c r="V53" s="198"/>
      <x:c r="W53" s="198"/>
      <x:c r="X53" s="198"/>
      <x:c r="Y53" s="198"/>
      <x:c r="Z53" s="198"/>
      <x:c r="AA53" s="198"/>
      <x:c r="AB53" s="198"/>
      <x:c r="AC53" s="198"/>
      <x:c r="AD53" s="198"/>
      <x:c r="AE53" s="198"/>
      <x:c r="AF53" s="215"/>
    </x:row>
    <x:row r="54">
      <x:c r="A54" s="238"/>
      <x:c r="B54" s="215" t="str">
        <x:v>正常</x:v>
      </x:c>
      <x:c r="C54" s="199"/>
      <x:c r="D54" s="223" t="str">
        <x:f>IF(COUNTA(L54:AE54)=0,"",SUMPRODUCT(L54:AE54,'参数'!$C$6:$C$25,'参数'!$D$6:$D$25,INDEX('参数'!$E$6:$J$25,0,MATCH(B54,'参数'!$E$5:$J$5,0)),'参数'!$K$6:$K$25)/SUMPRODUCT('参数'!$C$6:$C$25,'参数'!$D$6:$D$25,INDEX('参数'!$E$6:$J$25,0,MATCH(B54,'参数'!$E$5:$J$5,0)),'参数'!$K$6:$K$25))</x:f>
      </x:c>
      <x:c r="E54" s="223" t="str">
        <x:f>IF(D54="","",SUMPRODUCT(ABS(L54:AE54),'参数'!$C$6:$C$25,'参数'!$D$6:$D$25,INDEX('参数'!$E$6:$J$25,0,MATCH(B54,'参数'!$E$5:$J$5,0)))/SUMPRODUCT('参数'!$C$6:$C$25,'参数'!$D$6:$D$25,INDEX('参数'!$E$6:$J$25,0,MATCH(B54,'参数'!$E$5:$J$5,0))))</x:f>
      </x:c>
      <x:c r="F54" s="194" t="str">
        <x:f>IF(D54="","",IF(D54&gt;='参数'!$B$30,1,IF(D54&lt;=-'参数'!$B$30,-1,0)))</x:f>
      </x:c>
      <x:c r="G54" s="194" t="str">
        <x:f>IF(C54="","",IF(C54&gt;='参数'!$B$37,1,IF(C54&lt;=-'参数'!$B$37,-1,0)))</x:f>
      </x:c>
      <x:c r="H54" s="194" t="str">
        <x:f>IF(OR(F54="",G54=""),"",--(F54=G54))</x:f>
      </x:c>
      <x:c r="I54" s="214" t="str">
        <x:f>IF(D54="","",D54*'参数'!$B$34)</x:f>
      </x:c>
      <x:c r="J54" s="214" t="str">
        <x:f>IF(OR(C54="",I54=""),"",ABS(C54-I54))</x:f>
      </x:c>
      <x:c r="K54" s="194" t="str">
        <x:f>IF(D54="","",IF(MAX(ABS(SUM(L54:M54)),ABS(SUM(N54:P54)),ABS(Q54),ABS(SUM(R54:T54)),ABS(SUM(U54:V54)),ABS(SUM(W54:Y54)),ABS(SUM(Z54:AB54)),ABS(SUM(AC54:AE54)))=ABS(SUM(L54:M54)),"订单流",IF(MAX(ABS(SUM(L54:M54)),ABS(SUM(N54:P54)),ABS(Q54),ABS(SUM(R54:T54)),ABS(SUM(U54:V54)),ABS(SUM(W54:Y54)),ABS(SUM(Z54:AB54)),ABS(SUM(AC54:AE54)))=ABS(SUM(N54:P54)),"流动性",IF(MAX(ABS(SUM(L54:M54)),ABS(SUM(N54:P54)),ABS(Q54),ABS(SUM(R54:T54)),ABS(SUM(U54:V54)),ABS(SUM(W54:Y54)),ABS(SUM(Z54:AB54)),ABS(SUM(AC54:AE54)))=ABS(Q54),"价格行为",IF(MAX(ABS(SUM(L54:M54)),ABS(SUM(N54:P54)),ABS(Q54),ABS(SUM(R54:T54)),ABS(SUM(U54:V54)),ABS(SUM(W54:Y54)),ABS(SUM(Z54:AB54)),ABS(SUM(AC54:AE54)))=ABS(SUM(R54:T54)),"杠杆/清算",IF(MAX(ABS(SUM(L54:M54)),ABS(SUM(N54:P54)),ABS(Q54),ABS(SUM(R54:T54)),ABS(SUM(U54:V54)),ABS(SUM(W54:Y54)),ABS(SUM(Z54:AB54)),ABS(SUM(AC54:AE54)))=ABS(SUM(U54:V54)),"衍生品",IF(MAX(ABS(SUM(L54:M54)),ABS(SUM(N54:P54)),ABS(Q54),ABS(SUM(R54:T54)),ABS(SUM(U54:V54)),ABS(SUM(W54:Y54)),ABS(SUM(Z54:AB54)),ABS(SUM(AC54:AE54)))=ABS(SUM(W54:Y54)),"跨市场",IF(MAX(ABS(SUM(L54:M54)),ABS(SUM(N54:P54)),ABS(Q54),ABS(SUM(R54:T54)),ABS(SUM(U54:V54)),ABS(SUM(W54:Y54)),ABS(SUM(Z54:AB54)),ABS(SUM(AC54:AE54)))=ABS(SUM(Z54:AB54)),"宏观代理","事件"))))))))</x:f>
      </x:c>
      <x:c r="L54" s="198"/>
      <x:c r="M54" s="198"/>
      <x:c r="N54" s="198"/>
      <x:c r="O54" s="198"/>
      <x:c r="P54" s="198"/>
      <x:c r="Q54" s="198"/>
      <x:c r="R54" s="198"/>
      <x:c r="S54" s="198"/>
      <x:c r="T54" s="198"/>
      <x:c r="U54" s="198"/>
      <x:c r="V54" s="198"/>
      <x:c r="W54" s="198"/>
      <x:c r="X54" s="198"/>
      <x:c r="Y54" s="198"/>
      <x:c r="Z54" s="198"/>
      <x:c r="AA54" s="198"/>
      <x:c r="AB54" s="198"/>
      <x:c r="AC54" s="198"/>
      <x:c r="AD54" s="198"/>
      <x:c r="AE54" s="198"/>
      <x:c r="AF54" s="215"/>
    </x:row>
    <x:row r="55">
      <x:c r="A55" s="238"/>
      <x:c r="B55" s="215" t="str">
        <x:v>正常</x:v>
      </x:c>
      <x:c r="C55" s="199"/>
      <x:c r="D55" s="223" t="str">
        <x:f>IF(COUNTA(L55:AE55)=0,"",SUMPRODUCT(L55:AE55,'参数'!$C$6:$C$25,'参数'!$D$6:$D$25,INDEX('参数'!$E$6:$J$25,0,MATCH(B55,'参数'!$E$5:$J$5,0)),'参数'!$K$6:$K$25)/SUMPRODUCT('参数'!$C$6:$C$25,'参数'!$D$6:$D$25,INDEX('参数'!$E$6:$J$25,0,MATCH(B55,'参数'!$E$5:$J$5,0)),'参数'!$K$6:$K$25))</x:f>
      </x:c>
      <x:c r="E55" s="223" t="str">
        <x:f>IF(D55="","",SUMPRODUCT(ABS(L55:AE55),'参数'!$C$6:$C$25,'参数'!$D$6:$D$25,INDEX('参数'!$E$6:$J$25,0,MATCH(B55,'参数'!$E$5:$J$5,0)))/SUMPRODUCT('参数'!$C$6:$C$25,'参数'!$D$6:$D$25,INDEX('参数'!$E$6:$J$25,0,MATCH(B55,'参数'!$E$5:$J$5,0))))</x:f>
      </x:c>
      <x:c r="F55" s="194" t="str">
        <x:f>IF(D55="","",IF(D55&gt;='参数'!$B$30,1,IF(D55&lt;=-'参数'!$B$30,-1,0)))</x:f>
      </x:c>
      <x:c r="G55" s="194" t="str">
        <x:f>IF(C55="","",IF(C55&gt;='参数'!$B$37,1,IF(C55&lt;=-'参数'!$B$37,-1,0)))</x:f>
      </x:c>
      <x:c r="H55" s="194" t="str">
        <x:f>IF(OR(F55="",G55=""),"",--(F55=G55))</x:f>
      </x:c>
      <x:c r="I55" s="214" t="str">
        <x:f>IF(D55="","",D55*'参数'!$B$34)</x:f>
      </x:c>
      <x:c r="J55" s="214" t="str">
        <x:f>IF(OR(C55="",I55=""),"",ABS(C55-I55))</x:f>
      </x:c>
      <x:c r="K55" s="194" t="str">
        <x:f>IF(D55="","",IF(MAX(ABS(SUM(L55:M55)),ABS(SUM(N55:P55)),ABS(Q55),ABS(SUM(R55:T55)),ABS(SUM(U55:V55)),ABS(SUM(W55:Y55)),ABS(SUM(Z55:AB55)),ABS(SUM(AC55:AE55)))=ABS(SUM(L55:M55)),"订单流",IF(MAX(ABS(SUM(L55:M55)),ABS(SUM(N55:P55)),ABS(Q55),ABS(SUM(R55:T55)),ABS(SUM(U55:V55)),ABS(SUM(W55:Y55)),ABS(SUM(Z55:AB55)),ABS(SUM(AC55:AE55)))=ABS(SUM(N55:P55)),"流动性",IF(MAX(ABS(SUM(L55:M55)),ABS(SUM(N55:P55)),ABS(Q55),ABS(SUM(R55:T55)),ABS(SUM(U55:V55)),ABS(SUM(W55:Y55)),ABS(SUM(Z55:AB55)),ABS(SUM(AC55:AE55)))=ABS(Q55),"价格行为",IF(MAX(ABS(SUM(L55:M55)),ABS(SUM(N55:P55)),ABS(Q55),ABS(SUM(R55:T55)),ABS(SUM(U55:V55)),ABS(SUM(W55:Y55)),ABS(SUM(Z55:AB55)),ABS(SUM(AC55:AE55)))=ABS(SUM(R55:T55)),"杠杆/清算",IF(MAX(ABS(SUM(L55:M55)),ABS(SUM(N55:P55)),ABS(Q55),ABS(SUM(R55:T55)),ABS(SUM(U55:V55)),ABS(SUM(W55:Y55)),ABS(SUM(Z55:AB55)),ABS(SUM(AC55:AE55)))=ABS(SUM(U55:V55)),"衍生品",IF(MAX(ABS(SUM(L55:M55)),ABS(SUM(N55:P55)),ABS(Q55),ABS(SUM(R55:T55)),ABS(SUM(U55:V55)),ABS(SUM(W55:Y55)),ABS(SUM(Z55:AB55)),ABS(SUM(AC55:AE55)))=ABS(SUM(W55:Y55)),"跨市场",IF(MAX(ABS(SUM(L55:M55)),ABS(SUM(N55:P55)),ABS(Q55),ABS(SUM(R55:T55)),ABS(SUM(U55:V55)),ABS(SUM(W55:Y55)),ABS(SUM(Z55:AB55)),ABS(SUM(AC55:AE55)))=ABS(SUM(Z55:AB55)),"宏观代理","事件"))))))))</x:f>
      </x:c>
      <x:c r="L55" s="198"/>
      <x:c r="M55" s="198"/>
      <x:c r="N55" s="198"/>
      <x:c r="O55" s="198"/>
      <x:c r="P55" s="198"/>
      <x:c r="Q55" s="198"/>
      <x:c r="R55" s="198"/>
      <x:c r="S55" s="198"/>
      <x:c r="T55" s="198"/>
      <x:c r="U55" s="198"/>
      <x:c r="V55" s="198"/>
      <x:c r="W55" s="198"/>
      <x:c r="X55" s="198"/>
      <x:c r="Y55" s="198"/>
      <x:c r="Z55" s="198"/>
      <x:c r="AA55" s="198"/>
      <x:c r="AB55" s="198"/>
      <x:c r="AC55" s="198"/>
      <x:c r="AD55" s="198"/>
      <x:c r="AE55" s="198"/>
      <x:c r="AF55" s="215"/>
    </x:row>
    <x:row r="56">
      <x:c r="A56" s="238"/>
      <x:c r="B56" s="215" t="str">
        <x:v>正常</x:v>
      </x:c>
      <x:c r="C56" s="199"/>
      <x:c r="D56" s="223" t="str">
        <x:f>IF(COUNTA(L56:AE56)=0,"",SUMPRODUCT(L56:AE56,'参数'!$C$6:$C$25,'参数'!$D$6:$D$25,INDEX('参数'!$E$6:$J$25,0,MATCH(B56,'参数'!$E$5:$J$5,0)),'参数'!$K$6:$K$25)/SUMPRODUCT('参数'!$C$6:$C$25,'参数'!$D$6:$D$25,INDEX('参数'!$E$6:$J$25,0,MATCH(B56,'参数'!$E$5:$J$5,0)),'参数'!$K$6:$K$25))</x:f>
      </x:c>
      <x:c r="E56" s="223" t="str">
        <x:f>IF(D56="","",SUMPRODUCT(ABS(L56:AE56),'参数'!$C$6:$C$25,'参数'!$D$6:$D$25,INDEX('参数'!$E$6:$J$25,0,MATCH(B56,'参数'!$E$5:$J$5,0)))/SUMPRODUCT('参数'!$C$6:$C$25,'参数'!$D$6:$D$25,INDEX('参数'!$E$6:$J$25,0,MATCH(B56,'参数'!$E$5:$J$5,0))))</x:f>
      </x:c>
      <x:c r="F56" s="194" t="str">
        <x:f>IF(D56="","",IF(D56&gt;='参数'!$B$30,1,IF(D56&lt;=-'参数'!$B$30,-1,0)))</x:f>
      </x:c>
      <x:c r="G56" s="194" t="str">
        <x:f>IF(C56="","",IF(C56&gt;='参数'!$B$37,1,IF(C56&lt;=-'参数'!$B$37,-1,0)))</x:f>
      </x:c>
      <x:c r="H56" s="194" t="str">
        <x:f>IF(OR(F56="",G56=""),"",--(F56=G56))</x:f>
      </x:c>
      <x:c r="I56" s="214" t="str">
        <x:f>IF(D56="","",D56*'参数'!$B$34)</x:f>
      </x:c>
      <x:c r="J56" s="214" t="str">
        <x:f>IF(OR(C56="",I56=""),"",ABS(C56-I56))</x:f>
      </x:c>
      <x:c r="K56" s="194" t="str">
        <x:f>IF(D56="","",IF(MAX(ABS(SUM(L56:M56)),ABS(SUM(N56:P56)),ABS(Q56),ABS(SUM(R56:T56)),ABS(SUM(U56:V56)),ABS(SUM(W56:Y56)),ABS(SUM(Z56:AB56)),ABS(SUM(AC56:AE56)))=ABS(SUM(L56:M56)),"订单流",IF(MAX(ABS(SUM(L56:M56)),ABS(SUM(N56:P56)),ABS(Q56),ABS(SUM(R56:T56)),ABS(SUM(U56:V56)),ABS(SUM(W56:Y56)),ABS(SUM(Z56:AB56)),ABS(SUM(AC56:AE56)))=ABS(SUM(N56:P56)),"流动性",IF(MAX(ABS(SUM(L56:M56)),ABS(SUM(N56:P56)),ABS(Q56),ABS(SUM(R56:T56)),ABS(SUM(U56:V56)),ABS(SUM(W56:Y56)),ABS(SUM(Z56:AB56)),ABS(SUM(AC56:AE56)))=ABS(Q56),"价格行为",IF(MAX(ABS(SUM(L56:M56)),ABS(SUM(N56:P56)),ABS(Q56),ABS(SUM(R56:T56)),ABS(SUM(U56:V56)),ABS(SUM(W56:Y56)),ABS(SUM(Z56:AB56)),ABS(SUM(AC56:AE56)))=ABS(SUM(R56:T56)),"杠杆/清算",IF(MAX(ABS(SUM(L56:M56)),ABS(SUM(N56:P56)),ABS(Q56),ABS(SUM(R56:T56)),ABS(SUM(U56:V56)),ABS(SUM(W56:Y56)),ABS(SUM(Z56:AB56)),ABS(SUM(AC56:AE56)))=ABS(SUM(U56:V56)),"衍生品",IF(MAX(ABS(SUM(L56:M56)),ABS(SUM(N56:P56)),ABS(Q56),ABS(SUM(R56:T56)),ABS(SUM(U56:V56)),ABS(SUM(W56:Y56)),ABS(SUM(Z56:AB56)),ABS(SUM(AC56:AE56)))=ABS(SUM(W56:Y56)),"跨市场",IF(MAX(ABS(SUM(L56:M56)),ABS(SUM(N56:P56)),ABS(Q56),ABS(SUM(R56:T56)),ABS(SUM(U56:V56)),ABS(SUM(W56:Y56)),ABS(SUM(Z56:AB56)),ABS(SUM(AC56:AE56)))=ABS(SUM(Z56:AB56)),"宏观代理","事件"))))))))</x:f>
      </x:c>
      <x:c r="L56" s="198"/>
      <x:c r="M56" s="198"/>
      <x:c r="N56" s="198"/>
      <x:c r="O56" s="198"/>
      <x:c r="P56" s="198"/>
      <x:c r="Q56" s="198"/>
      <x:c r="R56" s="198"/>
      <x:c r="S56" s="198"/>
      <x:c r="T56" s="198"/>
      <x:c r="U56" s="198"/>
      <x:c r="V56" s="198"/>
      <x:c r="W56" s="198"/>
      <x:c r="X56" s="198"/>
      <x:c r="Y56" s="198"/>
      <x:c r="Z56" s="198"/>
      <x:c r="AA56" s="198"/>
      <x:c r="AB56" s="198"/>
      <x:c r="AC56" s="198"/>
      <x:c r="AD56" s="198"/>
      <x:c r="AE56" s="198"/>
      <x:c r="AF56" s="215"/>
    </x:row>
    <x:row r="57">
      <x:c r="A57" s="238"/>
      <x:c r="B57" s="215" t="str">
        <x:v>正常</x:v>
      </x:c>
      <x:c r="C57" s="199"/>
      <x:c r="D57" s="223" t="str">
        <x:f>IF(COUNTA(L57:AE57)=0,"",SUMPRODUCT(L57:AE57,'参数'!$C$6:$C$25,'参数'!$D$6:$D$25,INDEX('参数'!$E$6:$J$25,0,MATCH(B57,'参数'!$E$5:$J$5,0)),'参数'!$K$6:$K$25)/SUMPRODUCT('参数'!$C$6:$C$25,'参数'!$D$6:$D$25,INDEX('参数'!$E$6:$J$25,0,MATCH(B57,'参数'!$E$5:$J$5,0)),'参数'!$K$6:$K$25))</x:f>
      </x:c>
      <x:c r="E57" s="223" t="str">
        <x:f>IF(D57="","",SUMPRODUCT(ABS(L57:AE57),'参数'!$C$6:$C$25,'参数'!$D$6:$D$25,INDEX('参数'!$E$6:$J$25,0,MATCH(B57,'参数'!$E$5:$J$5,0)))/SUMPRODUCT('参数'!$C$6:$C$25,'参数'!$D$6:$D$25,INDEX('参数'!$E$6:$J$25,0,MATCH(B57,'参数'!$E$5:$J$5,0))))</x:f>
      </x:c>
      <x:c r="F57" s="194" t="str">
        <x:f>IF(D57="","",IF(D57&gt;='参数'!$B$30,1,IF(D57&lt;=-'参数'!$B$30,-1,0)))</x:f>
      </x:c>
      <x:c r="G57" s="194" t="str">
        <x:f>IF(C57="","",IF(C57&gt;='参数'!$B$37,1,IF(C57&lt;=-'参数'!$B$37,-1,0)))</x:f>
      </x:c>
      <x:c r="H57" s="194" t="str">
        <x:f>IF(OR(F57="",G57=""),"",--(F57=G57))</x:f>
      </x:c>
      <x:c r="I57" s="214" t="str">
        <x:f>IF(D57="","",D57*'参数'!$B$34)</x:f>
      </x:c>
      <x:c r="J57" s="214" t="str">
        <x:f>IF(OR(C57="",I57=""),"",ABS(C57-I57))</x:f>
      </x:c>
      <x:c r="K57" s="194" t="str">
        <x:f>IF(D57="","",IF(MAX(ABS(SUM(L57:M57)),ABS(SUM(N57:P57)),ABS(Q57),ABS(SUM(R57:T57)),ABS(SUM(U57:V57)),ABS(SUM(W57:Y57)),ABS(SUM(Z57:AB57)),ABS(SUM(AC57:AE57)))=ABS(SUM(L57:M57)),"订单流",IF(MAX(ABS(SUM(L57:M57)),ABS(SUM(N57:P57)),ABS(Q57),ABS(SUM(R57:T57)),ABS(SUM(U57:V57)),ABS(SUM(W57:Y57)),ABS(SUM(Z57:AB57)),ABS(SUM(AC57:AE57)))=ABS(SUM(N57:P57)),"流动性",IF(MAX(ABS(SUM(L57:M57)),ABS(SUM(N57:P57)),ABS(Q57),ABS(SUM(R57:T57)),ABS(SUM(U57:V57)),ABS(SUM(W57:Y57)),ABS(SUM(Z57:AB57)),ABS(SUM(AC57:AE57)))=ABS(Q57),"价格行为",IF(MAX(ABS(SUM(L57:M57)),ABS(SUM(N57:P57)),ABS(Q57),ABS(SUM(R57:T57)),ABS(SUM(U57:V57)),ABS(SUM(W57:Y57)),ABS(SUM(Z57:AB57)),ABS(SUM(AC57:AE57)))=ABS(SUM(R57:T57)),"杠杆/清算",IF(MAX(ABS(SUM(L57:M57)),ABS(SUM(N57:P57)),ABS(Q57),ABS(SUM(R57:T57)),ABS(SUM(U57:V57)),ABS(SUM(W57:Y57)),ABS(SUM(Z57:AB57)),ABS(SUM(AC57:AE57)))=ABS(SUM(U57:V57)),"衍生品",IF(MAX(ABS(SUM(L57:M57)),ABS(SUM(N57:P57)),ABS(Q57),ABS(SUM(R57:T57)),ABS(SUM(U57:V57)),ABS(SUM(W57:Y57)),ABS(SUM(Z57:AB57)),ABS(SUM(AC57:AE57)))=ABS(SUM(W57:Y57)),"跨市场",IF(MAX(ABS(SUM(L57:M57)),ABS(SUM(N57:P57)),ABS(Q57),ABS(SUM(R57:T57)),ABS(SUM(U57:V57)),ABS(SUM(W57:Y57)),ABS(SUM(Z57:AB57)),ABS(SUM(AC57:AE57)))=ABS(SUM(Z57:AB57)),"宏观代理","事件"))))))))</x:f>
      </x:c>
      <x:c r="L57" s="198"/>
      <x:c r="M57" s="198"/>
      <x:c r="N57" s="198"/>
      <x:c r="O57" s="198"/>
      <x:c r="P57" s="198"/>
      <x:c r="Q57" s="198"/>
      <x:c r="R57" s="198"/>
      <x:c r="S57" s="198"/>
      <x:c r="T57" s="198"/>
      <x:c r="U57" s="198"/>
      <x:c r="V57" s="198"/>
      <x:c r="W57" s="198"/>
      <x:c r="X57" s="198"/>
      <x:c r="Y57" s="198"/>
      <x:c r="Z57" s="198"/>
      <x:c r="AA57" s="198"/>
      <x:c r="AB57" s="198"/>
      <x:c r="AC57" s="198"/>
      <x:c r="AD57" s="198"/>
      <x:c r="AE57" s="198"/>
      <x:c r="AF57" s="215"/>
    </x:row>
    <x:row r="58">
      <x:c r="A58" s="238"/>
      <x:c r="B58" s="215" t="str">
        <x:v>正常</x:v>
      </x:c>
      <x:c r="C58" s="199"/>
      <x:c r="D58" s="223" t="str">
        <x:f>IF(COUNTA(L58:AE58)=0,"",SUMPRODUCT(L58:AE58,'参数'!$C$6:$C$25,'参数'!$D$6:$D$25,INDEX('参数'!$E$6:$J$25,0,MATCH(B58,'参数'!$E$5:$J$5,0)),'参数'!$K$6:$K$25)/SUMPRODUCT('参数'!$C$6:$C$25,'参数'!$D$6:$D$25,INDEX('参数'!$E$6:$J$25,0,MATCH(B58,'参数'!$E$5:$J$5,0)),'参数'!$K$6:$K$25))</x:f>
      </x:c>
      <x:c r="E58" s="223" t="str">
        <x:f>IF(D58="","",SUMPRODUCT(ABS(L58:AE58),'参数'!$C$6:$C$25,'参数'!$D$6:$D$25,INDEX('参数'!$E$6:$J$25,0,MATCH(B58,'参数'!$E$5:$J$5,0)))/SUMPRODUCT('参数'!$C$6:$C$25,'参数'!$D$6:$D$25,INDEX('参数'!$E$6:$J$25,0,MATCH(B58,'参数'!$E$5:$J$5,0))))</x:f>
      </x:c>
      <x:c r="F58" s="194" t="str">
        <x:f>IF(D58="","",IF(D58&gt;='参数'!$B$30,1,IF(D58&lt;=-'参数'!$B$30,-1,0)))</x:f>
      </x:c>
      <x:c r="G58" s="194" t="str">
        <x:f>IF(C58="","",IF(C58&gt;='参数'!$B$37,1,IF(C58&lt;=-'参数'!$B$37,-1,0)))</x:f>
      </x:c>
      <x:c r="H58" s="194" t="str">
        <x:f>IF(OR(F58="",G58=""),"",--(F58=G58))</x:f>
      </x:c>
      <x:c r="I58" s="214" t="str">
        <x:f>IF(D58="","",D58*'参数'!$B$34)</x:f>
      </x:c>
      <x:c r="J58" s="214" t="str">
        <x:f>IF(OR(C58="",I58=""),"",ABS(C58-I58))</x:f>
      </x:c>
      <x:c r="K58" s="194" t="str">
        <x:f>IF(D58="","",IF(MAX(ABS(SUM(L58:M58)),ABS(SUM(N58:P58)),ABS(Q58),ABS(SUM(R58:T58)),ABS(SUM(U58:V58)),ABS(SUM(W58:Y58)),ABS(SUM(Z58:AB58)),ABS(SUM(AC58:AE58)))=ABS(SUM(L58:M58)),"订单流",IF(MAX(ABS(SUM(L58:M58)),ABS(SUM(N58:P58)),ABS(Q58),ABS(SUM(R58:T58)),ABS(SUM(U58:V58)),ABS(SUM(W58:Y58)),ABS(SUM(Z58:AB58)),ABS(SUM(AC58:AE58)))=ABS(SUM(N58:P58)),"流动性",IF(MAX(ABS(SUM(L58:M58)),ABS(SUM(N58:P58)),ABS(Q58),ABS(SUM(R58:T58)),ABS(SUM(U58:V58)),ABS(SUM(W58:Y58)),ABS(SUM(Z58:AB58)),ABS(SUM(AC58:AE58)))=ABS(Q58),"价格行为",IF(MAX(ABS(SUM(L58:M58)),ABS(SUM(N58:P58)),ABS(Q58),ABS(SUM(R58:T58)),ABS(SUM(U58:V58)),ABS(SUM(W58:Y58)),ABS(SUM(Z58:AB58)),ABS(SUM(AC58:AE58)))=ABS(SUM(R58:T58)),"杠杆/清算",IF(MAX(ABS(SUM(L58:M58)),ABS(SUM(N58:P58)),ABS(Q58),ABS(SUM(R58:T58)),ABS(SUM(U58:V58)),ABS(SUM(W58:Y58)),ABS(SUM(Z58:AB58)),ABS(SUM(AC58:AE58)))=ABS(SUM(U58:V58)),"衍生品",IF(MAX(ABS(SUM(L58:M58)),ABS(SUM(N58:P58)),ABS(Q58),ABS(SUM(R58:T58)),ABS(SUM(U58:V58)),ABS(SUM(W58:Y58)),ABS(SUM(Z58:AB58)),ABS(SUM(AC58:AE58)))=ABS(SUM(W58:Y58)),"跨市场",IF(MAX(ABS(SUM(L58:M58)),ABS(SUM(N58:P58)),ABS(Q58),ABS(SUM(R58:T58)),ABS(SUM(U58:V58)),ABS(SUM(W58:Y58)),ABS(SUM(Z58:AB58)),ABS(SUM(AC58:AE58)))=ABS(SUM(Z58:AB58)),"宏观代理","事件"))))))))</x:f>
      </x:c>
      <x:c r="L58" s="198"/>
      <x:c r="M58" s="198"/>
      <x:c r="N58" s="198"/>
      <x:c r="O58" s="198"/>
      <x:c r="P58" s="198"/>
      <x:c r="Q58" s="198"/>
      <x:c r="R58" s="198"/>
      <x:c r="S58" s="198"/>
      <x:c r="T58" s="198"/>
      <x:c r="U58" s="198"/>
      <x:c r="V58" s="198"/>
      <x:c r="W58" s="198"/>
      <x:c r="X58" s="198"/>
      <x:c r="Y58" s="198"/>
      <x:c r="Z58" s="198"/>
      <x:c r="AA58" s="198"/>
      <x:c r="AB58" s="198"/>
      <x:c r="AC58" s="198"/>
      <x:c r="AD58" s="198"/>
      <x:c r="AE58" s="198"/>
      <x:c r="AF58" s="215"/>
    </x:row>
    <x:row r="59">
      <x:c r="A59" s="238"/>
      <x:c r="B59" s="215" t="str">
        <x:v>正常</x:v>
      </x:c>
      <x:c r="C59" s="199"/>
      <x:c r="D59" s="223" t="str">
        <x:f>IF(COUNTA(L59:AE59)=0,"",SUMPRODUCT(L59:AE59,'参数'!$C$6:$C$25,'参数'!$D$6:$D$25,INDEX('参数'!$E$6:$J$25,0,MATCH(B59,'参数'!$E$5:$J$5,0)),'参数'!$K$6:$K$25)/SUMPRODUCT('参数'!$C$6:$C$25,'参数'!$D$6:$D$25,INDEX('参数'!$E$6:$J$25,0,MATCH(B59,'参数'!$E$5:$J$5,0)),'参数'!$K$6:$K$25))</x:f>
      </x:c>
      <x:c r="E59" s="223" t="str">
        <x:f>IF(D59="","",SUMPRODUCT(ABS(L59:AE59),'参数'!$C$6:$C$25,'参数'!$D$6:$D$25,INDEX('参数'!$E$6:$J$25,0,MATCH(B59,'参数'!$E$5:$J$5,0)))/SUMPRODUCT('参数'!$C$6:$C$25,'参数'!$D$6:$D$25,INDEX('参数'!$E$6:$J$25,0,MATCH(B59,'参数'!$E$5:$J$5,0))))</x:f>
      </x:c>
      <x:c r="F59" s="194" t="str">
        <x:f>IF(D59="","",IF(D59&gt;='参数'!$B$30,1,IF(D59&lt;=-'参数'!$B$30,-1,0)))</x:f>
      </x:c>
      <x:c r="G59" s="194" t="str">
        <x:f>IF(C59="","",IF(C59&gt;='参数'!$B$37,1,IF(C59&lt;=-'参数'!$B$37,-1,0)))</x:f>
      </x:c>
      <x:c r="H59" s="194" t="str">
        <x:f>IF(OR(F59="",G59=""),"",--(F59=G59))</x:f>
      </x:c>
      <x:c r="I59" s="214" t="str">
        <x:f>IF(D59="","",D59*'参数'!$B$34)</x:f>
      </x:c>
      <x:c r="J59" s="214" t="str">
        <x:f>IF(OR(C59="",I59=""),"",ABS(C59-I59))</x:f>
      </x:c>
      <x:c r="K59" s="194" t="str">
        <x:f>IF(D59="","",IF(MAX(ABS(SUM(L59:M59)),ABS(SUM(N59:P59)),ABS(Q59),ABS(SUM(R59:T59)),ABS(SUM(U59:V59)),ABS(SUM(W59:Y59)),ABS(SUM(Z59:AB59)),ABS(SUM(AC59:AE59)))=ABS(SUM(L59:M59)),"订单流",IF(MAX(ABS(SUM(L59:M59)),ABS(SUM(N59:P59)),ABS(Q59),ABS(SUM(R59:T59)),ABS(SUM(U59:V59)),ABS(SUM(W59:Y59)),ABS(SUM(Z59:AB59)),ABS(SUM(AC59:AE59)))=ABS(SUM(N59:P59)),"流动性",IF(MAX(ABS(SUM(L59:M59)),ABS(SUM(N59:P59)),ABS(Q59),ABS(SUM(R59:T59)),ABS(SUM(U59:V59)),ABS(SUM(W59:Y59)),ABS(SUM(Z59:AB59)),ABS(SUM(AC59:AE59)))=ABS(Q59),"价格行为",IF(MAX(ABS(SUM(L59:M59)),ABS(SUM(N59:P59)),ABS(Q59),ABS(SUM(R59:T59)),ABS(SUM(U59:V59)),ABS(SUM(W59:Y59)),ABS(SUM(Z59:AB59)),ABS(SUM(AC59:AE59)))=ABS(SUM(R59:T59)),"杠杆/清算",IF(MAX(ABS(SUM(L59:M59)),ABS(SUM(N59:P59)),ABS(Q59),ABS(SUM(R59:T59)),ABS(SUM(U59:V59)),ABS(SUM(W59:Y59)),ABS(SUM(Z59:AB59)),ABS(SUM(AC59:AE59)))=ABS(SUM(U59:V59)),"衍生品",IF(MAX(ABS(SUM(L59:M59)),ABS(SUM(N59:P59)),ABS(Q59),ABS(SUM(R59:T59)),ABS(SUM(U59:V59)),ABS(SUM(W59:Y59)),ABS(SUM(Z59:AB59)),ABS(SUM(AC59:AE59)))=ABS(SUM(W59:Y59)),"跨市场",IF(MAX(ABS(SUM(L59:M59)),ABS(SUM(N59:P59)),ABS(Q59),ABS(SUM(R59:T59)),ABS(SUM(U59:V59)),ABS(SUM(W59:Y59)),ABS(SUM(Z59:AB59)),ABS(SUM(AC59:AE59)))=ABS(SUM(Z59:AB59)),"宏观代理","事件"))))))))</x:f>
      </x:c>
      <x:c r="L59" s="198"/>
      <x:c r="M59" s="198"/>
      <x:c r="N59" s="198"/>
      <x:c r="O59" s="198"/>
      <x:c r="P59" s="198"/>
      <x:c r="Q59" s="198"/>
      <x:c r="R59" s="198"/>
      <x:c r="S59" s="198"/>
      <x:c r="T59" s="198"/>
      <x:c r="U59" s="198"/>
      <x:c r="V59" s="198"/>
      <x:c r="W59" s="198"/>
      <x:c r="X59" s="198"/>
      <x:c r="Y59" s="198"/>
      <x:c r="Z59" s="198"/>
      <x:c r="AA59" s="198"/>
      <x:c r="AB59" s="198"/>
      <x:c r="AC59" s="198"/>
      <x:c r="AD59" s="198"/>
      <x:c r="AE59" s="198"/>
      <x:c r="AF59" s="215"/>
    </x:row>
    <x:row r="60">
      <x:c r="A60" s="238"/>
      <x:c r="B60" s="215" t="str">
        <x:v>正常</x:v>
      </x:c>
      <x:c r="C60" s="199"/>
      <x:c r="D60" s="223" t="str">
        <x:f>IF(COUNTA(L60:AE60)=0,"",SUMPRODUCT(L60:AE60,'参数'!$C$6:$C$25,'参数'!$D$6:$D$25,INDEX('参数'!$E$6:$J$25,0,MATCH(B60,'参数'!$E$5:$J$5,0)),'参数'!$K$6:$K$25)/SUMPRODUCT('参数'!$C$6:$C$25,'参数'!$D$6:$D$25,INDEX('参数'!$E$6:$J$25,0,MATCH(B60,'参数'!$E$5:$J$5,0)),'参数'!$K$6:$K$25))</x:f>
      </x:c>
      <x:c r="E60" s="223" t="str">
        <x:f>IF(D60="","",SUMPRODUCT(ABS(L60:AE60),'参数'!$C$6:$C$25,'参数'!$D$6:$D$25,INDEX('参数'!$E$6:$J$25,0,MATCH(B60,'参数'!$E$5:$J$5,0)))/SUMPRODUCT('参数'!$C$6:$C$25,'参数'!$D$6:$D$25,INDEX('参数'!$E$6:$J$25,0,MATCH(B60,'参数'!$E$5:$J$5,0))))</x:f>
      </x:c>
      <x:c r="F60" s="194" t="str">
        <x:f>IF(D60="","",IF(D60&gt;='参数'!$B$30,1,IF(D60&lt;=-'参数'!$B$30,-1,0)))</x:f>
      </x:c>
      <x:c r="G60" s="194" t="str">
        <x:f>IF(C60="","",IF(C60&gt;='参数'!$B$37,1,IF(C60&lt;=-'参数'!$B$37,-1,0)))</x:f>
      </x:c>
      <x:c r="H60" s="194" t="str">
        <x:f>IF(OR(F60="",G60=""),"",--(F60=G60))</x:f>
      </x:c>
      <x:c r="I60" s="214" t="str">
        <x:f>IF(D60="","",D60*'参数'!$B$34)</x:f>
      </x:c>
      <x:c r="J60" s="214" t="str">
        <x:f>IF(OR(C60="",I60=""),"",ABS(C60-I60))</x:f>
      </x:c>
      <x:c r="K60" s="194" t="str">
        <x:f>IF(D60="","",IF(MAX(ABS(SUM(L60:M60)),ABS(SUM(N60:P60)),ABS(Q60),ABS(SUM(R60:T60)),ABS(SUM(U60:V60)),ABS(SUM(W60:Y60)),ABS(SUM(Z60:AB60)),ABS(SUM(AC60:AE60)))=ABS(SUM(L60:M60)),"订单流",IF(MAX(ABS(SUM(L60:M60)),ABS(SUM(N60:P60)),ABS(Q60),ABS(SUM(R60:T60)),ABS(SUM(U60:V60)),ABS(SUM(W60:Y60)),ABS(SUM(Z60:AB60)),ABS(SUM(AC60:AE60)))=ABS(SUM(N60:P60)),"流动性",IF(MAX(ABS(SUM(L60:M60)),ABS(SUM(N60:P60)),ABS(Q60),ABS(SUM(R60:T60)),ABS(SUM(U60:V60)),ABS(SUM(W60:Y60)),ABS(SUM(Z60:AB60)),ABS(SUM(AC60:AE60)))=ABS(Q60),"价格行为",IF(MAX(ABS(SUM(L60:M60)),ABS(SUM(N60:P60)),ABS(Q60),ABS(SUM(R60:T60)),ABS(SUM(U60:V60)),ABS(SUM(W60:Y60)),ABS(SUM(Z60:AB60)),ABS(SUM(AC60:AE60)))=ABS(SUM(R60:T60)),"杠杆/清算",IF(MAX(ABS(SUM(L60:M60)),ABS(SUM(N60:P60)),ABS(Q60),ABS(SUM(R60:T60)),ABS(SUM(U60:V60)),ABS(SUM(W60:Y60)),ABS(SUM(Z60:AB60)),ABS(SUM(AC60:AE60)))=ABS(SUM(U60:V60)),"衍生品",IF(MAX(ABS(SUM(L60:M60)),ABS(SUM(N60:P60)),ABS(Q60),ABS(SUM(R60:T60)),ABS(SUM(U60:V60)),ABS(SUM(W60:Y60)),ABS(SUM(Z60:AB60)),ABS(SUM(AC60:AE60)))=ABS(SUM(W60:Y60)),"跨市场",IF(MAX(ABS(SUM(L60:M60)),ABS(SUM(N60:P60)),ABS(Q60),ABS(SUM(R60:T60)),ABS(SUM(U60:V60)),ABS(SUM(W60:Y60)),ABS(SUM(Z60:AB60)),ABS(SUM(AC60:AE60)))=ABS(SUM(Z60:AB60)),"宏观代理","事件"))))))))</x:f>
      </x:c>
      <x:c r="L60" s="198"/>
      <x:c r="M60" s="198"/>
      <x:c r="N60" s="198"/>
      <x:c r="O60" s="198"/>
      <x:c r="P60" s="198"/>
      <x:c r="Q60" s="198"/>
      <x:c r="R60" s="198"/>
      <x:c r="S60" s="198"/>
      <x:c r="T60" s="198"/>
      <x:c r="U60" s="198"/>
      <x:c r="V60" s="198"/>
      <x:c r="W60" s="198"/>
      <x:c r="X60" s="198"/>
      <x:c r="Y60" s="198"/>
      <x:c r="Z60" s="198"/>
      <x:c r="AA60" s="198"/>
      <x:c r="AB60" s="198"/>
      <x:c r="AC60" s="198"/>
      <x:c r="AD60" s="198"/>
      <x:c r="AE60" s="198"/>
      <x:c r="AF60" s="215"/>
    </x:row>
    <x:row r="61">
      <x:c r="A61" s="238"/>
      <x:c r="B61" s="215" t="str">
        <x:v>正常</x:v>
      </x:c>
      <x:c r="C61" s="199"/>
      <x:c r="D61" s="223" t="str">
        <x:f>IF(COUNTA(L61:AE61)=0,"",SUMPRODUCT(L61:AE61,'参数'!$C$6:$C$25,'参数'!$D$6:$D$25,INDEX('参数'!$E$6:$J$25,0,MATCH(B61,'参数'!$E$5:$J$5,0)),'参数'!$K$6:$K$25)/SUMPRODUCT('参数'!$C$6:$C$25,'参数'!$D$6:$D$25,INDEX('参数'!$E$6:$J$25,0,MATCH(B61,'参数'!$E$5:$J$5,0)),'参数'!$K$6:$K$25))</x:f>
      </x:c>
      <x:c r="E61" s="223" t="str">
        <x:f>IF(D61="","",SUMPRODUCT(ABS(L61:AE61),'参数'!$C$6:$C$25,'参数'!$D$6:$D$25,INDEX('参数'!$E$6:$J$25,0,MATCH(B61,'参数'!$E$5:$J$5,0)))/SUMPRODUCT('参数'!$C$6:$C$25,'参数'!$D$6:$D$25,INDEX('参数'!$E$6:$J$25,0,MATCH(B61,'参数'!$E$5:$J$5,0))))</x:f>
      </x:c>
      <x:c r="F61" s="194" t="str">
        <x:f>IF(D61="","",IF(D61&gt;='参数'!$B$30,1,IF(D61&lt;=-'参数'!$B$30,-1,0)))</x:f>
      </x:c>
      <x:c r="G61" s="194" t="str">
        <x:f>IF(C61="","",IF(C61&gt;='参数'!$B$37,1,IF(C61&lt;=-'参数'!$B$37,-1,0)))</x:f>
      </x:c>
      <x:c r="H61" s="194" t="str">
        <x:f>IF(OR(F61="",G61=""),"",--(F61=G61))</x:f>
      </x:c>
      <x:c r="I61" s="214" t="str">
        <x:f>IF(D61="","",D61*'参数'!$B$34)</x:f>
      </x:c>
      <x:c r="J61" s="214" t="str">
        <x:f>IF(OR(C61="",I61=""),"",ABS(C61-I61))</x:f>
      </x:c>
      <x:c r="K61" s="194" t="str">
        <x:f>IF(D61="","",IF(MAX(ABS(SUM(L61:M61)),ABS(SUM(N61:P61)),ABS(Q61),ABS(SUM(R61:T61)),ABS(SUM(U61:V61)),ABS(SUM(W61:Y61)),ABS(SUM(Z61:AB61)),ABS(SUM(AC61:AE61)))=ABS(SUM(L61:M61)),"订单流",IF(MAX(ABS(SUM(L61:M61)),ABS(SUM(N61:P61)),ABS(Q61),ABS(SUM(R61:T61)),ABS(SUM(U61:V61)),ABS(SUM(W61:Y61)),ABS(SUM(Z61:AB61)),ABS(SUM(AC61:AE61)))=ABS(SUM(N61:P61)),"流动性",IF(MAX(ABS(SUM(L61:M61)),ABS(SUM(N61:P61)),ABS(Q61),ABS(SUM(R61:T61)),ABS(SUM(U61:V61)),ABS(SUM(W61:Y61)),ABS(SUM(Z61:AB61)),ABS(SUM(AC61:AE61)))=ABS(Q61),"价格行为",IF(MAX(ABS(SUM(L61:M61)),ABS(SUM(N61:P61)),ABS(Q61),ABS(SUM(R61:T61)),ABS(SUM(U61:V61)),ABS(SUM(W61:Y61)),ABS(SUM(Z61:AB61)),ABS(SUM(AC61:AE61)))=ABS(SUM(R61:T61)),"杠杆/清算",IF(MAX(ABS(SUM(L61:M61)),ABS(SUM(N61:P61)),ABS(Q61),ABS(SUM(R61:T61)),ABS(SUM(U61:V61)),ABS(SUM(W61:Y61)),ABS(SUM(Z61:AB61)),ABS(SUM(AC61:AE61)))=ABS(SUM(U61:V61)),"衍生品",IF(MAX(ABS(SUM(L61:M61)),ABS(SUM(N61:P61)),ABS(Q61),ABS(SUM(R61:T61)),ABS(SUM(U61:V61)),ABS(SUM(W61:Y61)),ABS(SUM(Z61:AB61)),ABS(SUM(AC61:AE61)))=ABS(SUM(W61:Y61)),"跨市场",IF(MAX(ABS(SUM(L61:M61)),ABS(SUM(N61:P61)),ABS(Q61),ABS(SUM(R61:T61)),ABS(SUM(U61:V61)),ABS(SUM(W61:Y61)),ABS(SUM(Z61:AB61)),ABS(SUM(AC61:AE61)))=ABS(SUM(Z61:AB61)),"宏观代理","事件"))))))))</x:f>
      </x:c>
      <x:c r="L61" s="198"/>
      <x:c r="M61" s="198"/>
      <x:c r="N61" s="198"/>
      <x:c r="O61" s="198"/>
      <x:c r="P61" s="198"/>
      <x:c r="Q61" s="198"/>
      <x:c r="R61" s="198"/>
      <x:c r="S61" s="198"/>
      <x:c r="T61" s="198"/>
      <x:c r="U61" s="198"/>
      <x:c r="V61" s="198"/>
      <x:c r="W61" s="198"/>
      <x:c r="X61" s="198"/>
      <x:c r="Y61" s="198"/>
      <x:c r="Z61" s="198"/>
      <x:c r="AA61" s="198"/>
      <x:c r="AB61" s="198"/>
      <x:c r="AC61" s="198"/>
      <x:c r="AD61" s="198"/>
      <x:c r="AE61" s="198"/>
      <x:c r="AF61" s="215"/>
    </x:row>
    <x:row r="62">
      <x:c r="A62" s="238"/>
      <x:c r="B62" s="215" t="str">
        <x:v>正常</x:v>
      </x:c>
      <x:c r="C62" s="199"/>
      <x:c r="D62" s="223" t="str">
        <x:f>IF(COUNTA(L62:AE62)=0,"",SUMPRODUCT(L62:AE62,'参数'!$C$6:$C$25,'参数'!$D$6:$D$25,INDEX('参数'!$E$6:$J$25,0,MATCH(B62,'参数'!$E$5:$J$5,0)),'参数'!$K$6:$K$25)/SUMPRODUCT('参数'!$C$6:$C$25,'参数'!$D$6:$D$25,INDEX('参数'!$E$6:$J$25,0,MATCH(B62,'参数'!$E$5:$J$5,0)),'参数'!$K$6:$K$25))</x:f>
      </x:c>
      <x:c r="E62" s="223" t="str">
        <x:f>IF(D62="","",SUMPRODUCT(ABS(L62:AE62),'参数'!$C$6:$C$25,'参数'!$D$6:$D$25,INDEX('参数'!$E$6:$J$25,0,MATCH(B62,'参数'!$E$5:$J$5,0)))/SUMPRODUCT('参数'!$C$6:$C$25,'参数'!$D$6:$D$25,INDEX('参数'!$E$6:$J$25,0,MATCH(B62,'参数'!$E$5:$J$5,0))))</x:f>
      </x:c>
      <x:c r="F62" s="194" t="str">
        <x:f>IF(D62="","",IF(D62&gt;='参数'!$B$30,1,IF(D62&lt;=-'参数'!$B$30,-1,0)))</x:f>
      </x:c>
      <x:c r="G62" s="194" t="str">
        <x:f>IF(C62="","",IF(C62&gt;='参数'!$B$37,1,IF(C62&lt;=-'参数'!$B$37,-1,0)))</x:f>
      </x:c>
      <x:c r="H62" s="194" t="str">
        <x:f>IF(OR(F62="",G62=""),"",--(F62=G62))</x:f>
      </x:c>
      <x:c r="I62" s="214" t="str">
        <x:f>IF(D62="","",D62*'参数'!$B$34)</x:f>
      </x:c>
      <x:c r="J62" s="214" t="str">
        <x:f>IF(OR(C62="",I62=""),"",ABS(C62-I62))</x:f>
      </x:c>
      <x:c r="K62" s="194" t="str">
        <x:f>IF(D62="","",IF(MAX(ABS(SUM(L62:M62)),ABS(SUM(N62:P62)),ABS(Q62),ABS(SUM(R62:T62)),ABS(SUM(U62:V62)),ABS(SUM(W62:Y62)),ABS(SUM(Z62:AB62)),ABS(SUM(AC62:AE62)))=ABS(SUM(L62:M62)),"订单流",IF(MAX(ABS(SUM(L62:M62)),ABS(SUM(N62:P62)),ABS(Q62),ABS(SUM(R62:T62)),ABS(SUM(U62:V62)),ABS(SUM(W62:Y62)),ABS(SUM(Z62:AB62)),ABS(SUM(AC62:AE62)))=ABS(SUM(N62:P62)),"流动性",IF(MAX(ABS(SUM(L62:M62)),ABS(SUM(N62:P62)),ABS(Q62),ABS(SUM(R62:T62)),ABS(SUM(U62:V62)),ABS(SUM(W62:Y62)),ABS(SUM(Z62:AB62)),ABS(SUM(AC62:AE62)))=ABS(Q62),"价格行为",IF(MAX(ABS(SUM(L62:M62)),ABS(SUM(N62:P62)),ABS(Q62),ABS(SUM(R62:T62)),ABS(SUM(U62:V62)),ABS(SUM(W62:Y62)),ABS(SUM(Z62:AB62)),ABS(SUM(AC62:AE62)))=ABS(SUM(R62:T62)),"杠杆/清算",IF(MAX(ABS(SUM(L62:M62)),ABS(SUM(N62:P62)),ABS(Q62),ABS(SUM(R62:T62)),ABS(SUM(U62:V62)),ABS(SUM(W62:Y62)),ABS(SUM(Z62:AB62)),ABS(SUM(AC62:AE62)))=ABS(SUM(U62:V62)),"衍生品",IF(MAX(ABS(SUM(L62:M62)),ABS(SUM(N62:P62)),ABS(Q62),ABS(SUM(R62:T62)),ABS(SUM(U62:V62)),ABS(SUM(W62:Y62)),ABS(SUM(Z62:AB62)),ABS(SUM(AC62:AE62)))=ABS(SUM(W62:Y62)),"跨市场",IF(MAX(ABS(SUM(L62:M62)),ABS(SUM(N62:P62)),ABS(Q62),ABS(SUM(R62:T62)),ABS(SUM(U62:V62)),ABS(SUM(W62:Y62)),ABS(SUM(Z62:AB62)),ABS(SUM(AC62:AE62)))=ABS(SUM(Z62:AB62)),"宏观代理","事件"))))))))</x:f>
      </x:c>
      <x:c r="L62" s="198"/>
      <x:c r="M62" s="198"/>
      <x:c r="N62" s="198"/>
      <x:c r="O62" s="198"/>
      <x:c r="P62" s="198"/>
      <x:c r="Q62" s="198"/>
      <x:c r="R62" s="198"/>
      <x:c r="S62" s="198"/>
      <x:c r="T62" s="198"/>
      <x:c r="U62" s="198"/>
      <x:c r="V62" s="198"/>
      <x:c r="W62" s="198"/>
      <x:c r="X62" s="198"/>
      <x:c r="Y62" s="198"/>
      <x:c r="Z62" s="198"/>
      <x:c r="AA62" s="198"/>
      <x:c r="AB62" s="198"/>
      <x:c r="AC62" s="198"/>
      <x:c r="AD62" s="198"/>
      <x:c r="AE62" s="198"/>
      <x:c r="AF62" s="215"/>
    </x:row>
    <x:row r="63">
      <x:c r="A63" s="238"/>
      <x:c r="B63" s="215" t="str">
        <x:v>正常</x:v>
      </x:c>
      <x:c r="C63" s="199"/>
      <x:c r="D63" s="223" t="str">
        <x:f>IF(COUNTA(L63:AE63)=0,"",SUMPRODUCT(L63:AE63,'参数'!$C$6:$C$25,'参数'!$D$6:$D$25,INDEX('参数'!$E$6:$J$25,0,MATCH(B63,'参数'!$E$5:$J$5,0)),'参数'!$K$6:$K$25)/SUMPRODUCT('参数'!$C$6:$C$25,'参数'!$D$6:$D$25,INDEX('参数'!$E$6:$J$25,0,MATCH(B63,'参数'!$E$5:$J$5,0)),'参数'!$K$6:$K$25))</x:f>
      </x:c>
      <x:c r="E63" s="223" t="str">
        <x:f>IF(D63="","",SUMPRODUCT(ABS(L63:AE63),'参数'!$C$6:$C$25,'参数'!$D$6:$D$25,INDEX('参数'!$E$6:$J$25,0,MATCH(B63,'参数'!$E$5:$J$5,0)))/SUMPRODUCT('参数'!$C$6:$C$25,'参数'!$D$6:$D$25,INDEX('参数'!$E$6:$J$25,0,MATCH(B63,'参数'!$E$5:$J$5,0))))</x:f>
      </x:c>
      <x:c r="F63" s="194" t="str">
        <x:f>IF(D63="","",IF(D63&gt;='参数'!$B$30,1,IF(D63&lt;=-'参数'!$B$30,-1,0)))</x:f>
      </x:c>
      <x:c r="G63" s="194" t="str">
        <x:f>IF(C63="","",IF(C63&gt;='参数'!$B$37,1,IF(C63&lt;=-'参数'!$B$37,-1,0)))</x:f>
      </x:c>
      <x:c r="H63" s="194" t="str">
        <x:f>IF(OR(F63="",G63=""),"",--(F63=G63))</x:f>
      </x:c>
      <x:c r="I63" s="214" t="str">
        <x:f>IF(D63="","",D63*'参数'!$B$34)</x:f>
      </x:c>
      <x:c r="J63" s="214" t="str">
        <x:f>IF(OR(C63="",I63=""),"",ABS(C63-I63))</x:f>
      </x:c>
      <x:c r="K63" s="194" t="str">
        <x:f>IF(D63="","",IF(MAX(ABS(SUM(L63:M63)),ABS(SUM(N63:P63)),ABS(Q63),ABS(SUM(R63:T63)),ABS(SUM(U63:V63)),ABS(SUM(W63:Y63)),ABS(SUM(Z63:AB63)),ABS(SUM(AC63:AE63)))=ABS(SUM(L63:M63)),"订单流",IF(MAX(ABS(SUM(L63:M63)),ABS(SUM(N63:P63)),ABS(Q63),ABS(SUM(R63:T63)),ABS(SUM(U63:V63)),ABS(SUM(W63:Y63)),ABS(SUM(Z63:AB63)),ABS(SUM(AC63:AE63)))=ABS(SUM(N63:P63)),"流动性",IF(MAX(ABS(SUM(L63:M63)),ABS(SUM(N63:P63)),ABS(Q63),ABS(SUM(R63:T63)),ABS(SUM(U63:V63)),ABS(SUM(W63:Y63)),ABS(SUM(Z63:AB63)),ABS(SUM(AC63:AE63)))=ABS(Q63),"价格行为",IF(MAX(ABS(SUM(L63:M63)),ABS(SUM(N63:P63)),ABS(Q63),ABS(SUM(R63:T63)),ABS(SUM(U63:V63)),ABS(SUM(W63:Y63)),ABS(SUM(Z63:AB63)),ABS(SUM(AC63:AE63)))=ABS(SUM(R63:T63)),"杠杆/清算",IF(MAX(ABS(SUM(L63:M63)),ABS(SUM(N63:P63)),ABS(Q63),ABS(SUM(R63:T63)),ABS(SUM(U63:V63)),ABS(SUM(W63:Y63)),ABS(SUM(Z63:AB63)),ABS(SUM(AC63:AE63)))=ABS(SUM(U63:V63)),"衍生品",IF(MAX(ABS(SUM(L63:M63)),ABS(SUM(N63:P63)),ABS(Q63),ABS(SUM(R63:T63)),ABS(SUM(U63:V63)),ABS(SUM(W63:Y63)),ABS(SUM(Z63:AB63)),ABS(SUM(AC63:AE63)))=ABS(SUM(W63:Y63)),"跨市场",IF(MAX(ABS(SUM(L63:M63)),ABS(SUM(N63:P63)),ABS(Q63),ABS(SUM(R63:T63)),ABS(SUM(U63:V63)),ABS(SUM(W63:Y63)),ABS(SUM(Z63:AB63)),ABS(SUM(AC63:AE63)))=ABS(SUM(Z63:AB63)),"宏观代理","事件"))))))))</x:f>
      </x:c>
      <x:c r="L63" s="198"/>
      <x:c r="M63" s="198"/>
      <x:c r="N63" s="198"/>
      <x:c r="O63" s="198"/>
      <x:c r="P63" s="198"/>
      <x:c r="Q63" s="198"/>
      <x:c r="R63" s="198"/>
      <x:c r="S63" s="198"/>
      <x:c r="T63" s="198"/>
      <x:c r="U63" s="198"/>
      <x:c r="V63" s="198"/>
      <x:c r="W63" s="198"/>
      <x:c r="X63" s="198"/>
      <x:c r="Y63" s="198"/>
      <x:c r="Z63" s="198"/>
      <x:c r="AA63" s="198"/>
      <x:c r="AB63" s="198"/>
      <x:c r="AC63" s="198"/>
      <x:c r="AD63" s="198"/>
      <x:c r="AE63" s="198"/>
      <x:c r="AF63" s="215"/>
    </x:row>
    <x:row r="64">
      <x:c r="A64" s="238"/>
      <x:c r="B64" s="215" t="str">
        <x:v>正常</x:v>
      </x:c>
      <x:c r="C64" s="199"/>
      <x:c r="D64" s="223" t="str">
        <x:f>IF(COUNTA(L64:AE64)=0,"",SUMPRODUCT(L64:AE64,'参数'!$C$6:$C$25,'参数'!$D$6:$D$25,INDEX('参数'!$E$6:$J$25,0,MATCH(B64,'参数'!$E$5:$J$5,0)),'参数'!$K$6:$K$25)/SUMPRODUCT('参数'!$C$6:$C$25,'参数'!$D$6:$D$25,INDEX('参数'!$E$6:$J$25,0,MATCH(B64,'参数'!$E$5:$J$5,0)),'参数'!$K$6:$K$25))</x:f>
      </x:c>
      <x:c r="E64" s="223" t="str">
        <x:f>IF(D64="","",SUMPRODUCT(ABS(L64:AE64),'参数'!$C$6:$C$25,'参数'!$D$6:$D$25,INDEX('参数'!$E$6:$J$25,0,MATCH(B64,'参数'!$E$5:$J$5,0)))/SUMPRODUCT('参数'!$C$6:$C$25,'参数'!$D$6:$D$25,INDEX('参数'!$E$6:$J$25,0,MATCH(B64,'参数'!$E$5:$J$5,0))))</x:f>
      </x:c>
      <x:c r="F64" s="194" t="str">
        <x:f>IF(D64="","",IF(D64&gt;='参数'!$B$30,1,IF(D64&lt;=-'参数'!$B$30,-1,0)))</x:f>
      </x:c>
      <x:c r="G64" s="194" t="str">
        <x:f>IF(C64="","",IF(C64&gt;='参数'!$B$37,1,IF(C64&lt;=-'参数'!$B$37,-1,0)))</x:f>
      </x:c>
      <x:c r="H64" s="194" t="str">
        <x:f>IF(OR(F64="",G64=""),"",--(F64=G64))</x:f>
      </x:c>
      <x:c r="I64" s="214" t="str">
        <x:f>IF(D64="","",D64*'参数'!$B$34)</x:f>
      </x:c>
      <x:c r="J64" s="214" t="str">
        <x:f>IF(OR(C64="",I64=""),"",ABS(C64-I64))</x:f>
      </x:c>
      <x:c r="K64" s="194" t="str">
        <x:f>IF(D64="","",IF(MAX(ABS(SUM(L64:M64)),ABS(SUM(N64:P64)),ABS(Q64),ABS(SUM(R64:T64)),ABS(SUM(U64:V64)),ABS(SUM(W64:Y64)),ABS(SUM(Z64:AB64)),ABS(SUM(AC64:AE64)))=ABS(SUM(L64:M64)),"订单流",IF(MAX(ABS(SUM(L64:M64)),ABS(SUM(N64:P64)),ABS(Q64),ABS(SUM(R64:T64)),ABS(SUM(U64:V64)),ABS(SUM(W64:Y64)),ABS(SUM(Z64:AB64)),ABS(SUM(AC64:AE64)))=ABS(SUM(N64:P64)),"流动性",IF(MAX(ABS(SUM(L64:M64)),ABS(SUM(N64:P64)),ABS(Q64),ABS(SUM(R64:T64)),ABS(SUM(U64:V64)),ABS(SUM(W64:Y64)),ABS(SUM(Z64:AB64)),ABS(SUM(AC64:AE64)))=ABS(Q64),"价格行为",IF(MAX(ABS(SUM(L64:M64)),ABS(SUM(N64:P64)),ABS(Q64),ABS(SUM(R64:T64)),ABS(SUM(U64:V64)),ABS(SUM(W64:Y64)),ABS(SUM(Z64:AB64)),ABS(SUM(AC64:AE64)))=ABS(SUM(R64:T64)),"杠杆/清算",IF(MAX(ABS(SUM(L64:M64)),ABS(SUM(N64:P64)),ABS(Q64),ABS(SUM(R64:T64)),ABS(SUM(U64:V64)),ABS(SUM(W64:Y64)),ABS(SUM(Z64:AB64)),ABS(SUM(AC64:AE64)))=ABS(SUM(U64:V64)),"衍生品",IF(MAX(ABS(SUM(L64:M64)),ABS(SUM(N64:P64)),ABS(Q64),ABS(SUM(R64:T64)),ABS(SUM(U64:V64)),ABS(SUM(W64:Y64)),ABS(SUM(Z64:AB64)),ABS(SUM(AC64:AE64)))=ABS(SUM(W64:Y64)),"跨市场",IF(MAX(ABS(SUM(L64:M64)),ABS(SUM(N64:P64)),ABS(Q64),ABS(SUM(R64:T64)),ABS(SUM(U64:V64)),ABS(SUM(W64:Y64)),ABS(SUM(Z64:AB64)),ABS(SUM(AC64:AE64)))=ABS(SUM(Z64:AB64)),"宏观代理","事件"))))))))</x:f>
      </x:c>
      <x:c r="L64" s="198"/>
      <x:c r="M64" s="198"/>
      <x:c r="N64" s="198"/>
      <x:c r="O64" s="198"/>
      <x:c r="P64" s="198"/>
      <x:c r="Q64" s="198"/>
      <x:c r="R64" s="198"/>
      <x:c r="S64" s="198"/>
      <x:c r="T64" s="198"/>
      <x:c r="U64" s="198"/>
      <x:c r="V64" s="198"/>
      <x:c r="W64" s="198"/>
      <x:c r="X64" s="198"/>
      <x:c r="Y64" s="198"/>
      <x:c r="Z64" s="198"/>
      <x:c r="AA64" s="198"/>
      <x:c r="AB64" s="198"/>
      <x:c r="AC64" s="198"/>
      <x:c r="AD64" s="198"/>
      <x:c r="AE64" s="198"/>
      <x:c r="AF64" s="215"/>
    </x:row>
    <x:row r="65">
      <x:c r="A65" s="238"/>
      <x:c r="B65" s="215" t="str">
        <x:v>正常</x:v>
      </x:c>
      <x:c r="C65" s="199"/>
      <x:c r="D65" s="223" t="str">
        <x:f>IF(COUNTA(L65:AE65)=0,"",SUMPRODUCT(L65:AE65,'参数'!$C$6:$C$25,'参数'!$D$6:$D$25,INDEX('参数'!$E$6:$J$25,0,MATCH(B65,'参数'!$E$5:$J$5,0)),'参数'!$K$6:$K$25)/SUMPRODUCT('参数'!$C$6:$C$25,'参数'!$D$6:$D$25,INDEX('参数'!$E$6:$J$25,0,MATCH(B65,'参数'!$E$5:$J$5,0)),'参数'!$K$6:$K$25))</x:f>
      </x:c>
      <x:c r="E65" s="223" t="str">
        <x:f>IF(D65="","",SUMPRODUCT(ABS(L65:AE65),'参数'!$C$6:$C$25,'参数'!$D$6:$D$25,INDEX('参数'!$E$6:$J$25,0,MATCH(B65,'参数'!$E$5:$J$5,0)))/SUMPRODUCT('参数'!$C$6:$C$25,'参数'!$D$6:$D$25,INDEX('参数'!$E$6:$J$25,0,MATCH(B65,'参数'!$E$5:$J$5,0))))</x:f>
      </x:c>
      <x:c r="F65" s="194" t="str">
        <x:f>IF(D65="","",IF(D65&gt;='参数'!$B$30,1,IF(D65&lt;=-'参数'!$B$30,-1,0)))</x:f>
      </x:c>
      <x:c r="G65" s="194" t="str">
        <x:f>IF(C65="","",IF(C65&gt;='参数'!$B$37,1,IF(C65&lt;=-'参数'!$B$37,-1,0)))</x:f>
      </x:c>
      <x:c r="H65" s="194" t="str">
        <x:f>IF(OR(F65="",G65=""),"",--(F65=G65))</x:f>
      </x:c>
      <x:c r="I65" s="214" t="str">
        <x:f>IF(D65="","",D65*'参数'!$B$34)</x:f>
      </x:c>
      <x:c r="J65" s="214" t="str">
        <x:f>IF(OR(C65="",I65=""),"",ABS(C65-I65))</x:f>
      </x:c>
      <x:c r="K65" s="194" t="str">
        <x:f>IF(D65="","",IF(MAX(ABS(SUM(L65:M65)),ABS(SUM(N65:P65)),ABS(Q65),ABS(SUM(R65:T65)),ABS(SUM(U65:V65)),ABS(SUM(W65:Y65)),ABS(SUM(Z65:AB65)),ABS(SUM(AC65:AE65)))=ABS(SUM(L65:M65)),"订单流",IF(MAX(ABS(SUM(L65:M65)),ABS(SUM(N65:P65)),ABS(Q65),ABS(SUM(R65:T65)),ABS(SUM(U65:V65)),ABS(SUM(W65:Y65)),ABS(SUM(Z65:AB65)),ABS(SUM(AC65:AE65)))=ABS(SUM(N65:P65)),"流动性",IF(MAX(ABS(SUM(L65:M65)),ABS(SUM(N65:P65)),ABS(Q65),ABS(SUM(R65:T65)),ABS(SUM(U65:V65)),ABS(SUM(W65:Y65)),ABS(SUM(Z65:AB65)),ABS(SUM(AC65:AE65)))=ABS(Q65),"价格行为",IF(MAX(ABS(SUM(L65:M65)),ABS(SUM(N65:P65)),ABS(Q65),ABS(SUM(R65:T65)),ABS(SUM(U65:V65)),ABS(SUM(W65:Y65)),ABS(SUM(Z65:AB65)),ABS(SUM(AC65:AE65)))=ABS(SUM(R65:T65)),"杠杆/清算",IF(MAX(ABS(SUM(L65:M65)),ABS(SUM(N65:P65)),ABS(Q65),ABS(SUM(R65:T65)),ABS(SUM(U65:V65)),ABS(SUM(W65:Y65)),ABS(SUM(Z65:AB65)),ABS(SUM(AC65:AE65)))=ABS(SUM(U65:V65)),"衍生品",IF(MAX(ABS(SUM(L65:M65)),ABS(SUM(N65:P65)),ABS(Q65),ABS(SUM(R65:T65)),ABS(SUM(U65:V65)),ABS(SUM(W65:Y65)),ABS(SUM(Z65:AB65)),ABS(SUM(AC65:AE65)))=ABS(SUM(W65:Y65)),"跨市场",IF(MAX(ABS(SUM(L65:M65)),ABS(SUM(N65:P65)),ABS(Q65),ABS(SUM(R65:T65)),ABS(SUM(U65:V65)),ABS(SUM(W65:Y65)),ABS(SUM(Z65:AB65)),ABS(SUM(AC65:AE65)))=ABS(SUM(Z65:AB65)),"宏观代理","事件"))))))))</x:f>
      </x:c>
      <x:c r="L65" s="198"/>
      <x:c r="M65" s="198"/>
      <x:c r="N65" s="198"/>
      <x:c r="O65" s="198"/>
      <x:c r="P65" s="198"/>
      <x:c r="Q65" s="198"/>
      <x:c r="R65" s="198"/>
      <x:c r="S65" s="198"/>
      <x:c r="T65" s="198"/>
      <x:c r="U65" s="198"/>
      <x:c r="V65" s="198"/>
      <x:c r="W65" s="198"/>
      <x:c r="X65" s="198"/>
      <x:c r="Y65" s="198"/>
      <x:c r="Z65" s="198"/>
      <x:c r="AA65" s="198"/>
      <x:c r="AB65" s="198"/>
      <x:c r="AC65" s="198"/>
      <x:c r="AD65" s="198"/>
      <x:c r="AE65" s="198"/>
      <x:c r="AF65" s="215"/>
    </x:row>
    <x:row r="66">
      <x:c r="A66" s="238"/>
      <x:c r="B66" s="215" t="str">
        <x:v>正常</x:v>
      </x:c>
      <x:c r="C66" s="199"/>
      <x:c r="D66" s="223" t="str">
        <x:f>IF(COUNTA(L66:AE66)=0,"",SUMPRODUCT(L66:AE66,'参数'!$C$6:$C$25,'参数'!$D$6:$D$25,INDEX('参数'!$E$6:$J$25,0,MATCH(B66,'参数'!$E$5:$J$5,0)),'参数'!$K$6:$K$25)/SUMPRODUCT('参数'!$C$6:$C$25,'参数'!$D$6:$D$25,INDEX('参数'!$E$6:$J$25,0,MATCH(B66,'参数'!$E$5:$J$5,0)),'参数'!$K$6:$K$25))</x:f>
      </x:c>
      <x:c r="E66" s="223" t="str">
        <x:f>IF(D66="","",SUMPRODUCT(ABS(L66:AE66),'参数'!$C$6:$C$25,'参数'!$D$6:$D$25,INDEX('参数'!$E$6:$J$25,0,MATCH(B66,'参数'!$E$5:$J$5,0)))/SUMPRODUCT('参数'!$C$6:$C$25,'参数'!$D$6:$D$25,INDEX('参数'!$E$6:$J$25,0,MATCH(B66,'参数'!$E$5:$J$5,0))))</x:f>
      </x:c>
      <x:c r="F66" s="194" t="str">
        <x:f>IF(D66="","",IF(D66&gt;='参数'!$B$30,1,IF(D66&lt;=-'参数'!$B$30,-1,0)))</x:f>
      </x:c>
      <x:c r="G66" s="194" t="str">
        <x:f>IF(C66="","",IF(C66&gt;='参数'!$B$37,1,IF(C66&lt;=-'参数'!$B$37,-1,0)))</x:f>
      </x:c>
      <x:c r="H66" s="194" t="str">
        <x:f>IF(OR(F66="",G66=""),"",--(F66=G66))</x:f>
      </x:c>
      <x:c r="I66" s="214" t="str">
        <x:f>IF(D66="","",D66*'参数'!$B$34)</x:f>
      </x:c>
      <x:c r="J66" s="214" t="str">
        <x:f>IF(OR(C66="",I66=""),"",ABS(C66-I66))</x:f>
      </x:c>
      <x:c r="K66" s="194" t="str">
        <x:f>IF(D66="","",IF(MAX(ABS(SUM(L66:M66)),ABS(SUM(N66:P66)),ABS(Q66),ABS(SUM(R66:T66)),ABS(SUM(U66:V66)),ABS(SUM(W66:Y66)),ABS(SUM(Z66:AB66)),ABS(SUM(AC66:AE66)))=ABS(SUM(L66:M66)),"订单流",IF(MAX(ABS(SUM(L66:M66)),ABS(SUM(N66:P66)),ABS(Q66),ABS(SUM(R66:T66)),ABS(SUM(U66:V66)),ABS(SUM(W66:Y66)),ABS(SUM(Z66:AB66)),ABS(SUM(AC66:AE66)))=ABS(SUM(N66:P66)),"流动性",IF(MAX(ABS(SUM(L66:M66)),ABS(SUM(N66:P66)),ABS(Q66),ABS(SUM(R66:T66)),ABS(SUM(U66:V66)),ABS(SUM(W66:Y66)),ABS(SUM(Z66:AB66)),ABS(SUM(AC66:AE66)))=ABS(Q66),"价格行为",IF(MAX(ABS(SUM(L66:M66)),ABS(SUM(N66:P66)),ABS(Q66),ABS(SUM(R66:T66)),ABS(SUM(U66:V66)),ABS(SUM(W66:Y66)),ABS(SUM(Z66:AB66)),ABS(SUM(AC66:AE66)))=ABS(SUM(R66:T66)),"杠杆/清算",IF(MAX(ABS(SUM(L66:M66)),ABS(SUM(N66:P66)),ABS(Q66),ABS(SUM(R66:T66)),ABS(SUM(U66:V66)),ABS(SUM(W66:Y66)),ABS(SUM(Z66:AB66)),ABS(SUM(AC66:AE66)))=ABS(SUM(U66:V66)),"衍生品",IF(MAX(ABS(SUM(L66:M66)),ABS(SUM(N66:P66)),ABS(Q66),ABS(SUM(R66:T66)),ABS(SUM(U66:V66)),ABS(SUM(W66:Y66)),ABS(SUM(Z66:AB66)),ABS(SUM(AC66:AE66)))=ABS(SUM(W66:Y66)),"跨市场",IF(MAX(ABS(SUM(L66:M66)),ABS(SUM(N66:P66)),ABS(Q66),ABS(SUM(R66:T66)),ABS(SUM(U66:V66)),ABS(SUM(W66:Y66)),ABS(SUM(Z66:AB66)),ABS(SUM(AC66:AE66)))=ABS(SUM(Z66:AB66)),"宏观代理","事件"))))))))</x:f>
      </x:c>
      <x:c r="L66" s="198"/>
      <x:c r="M66" s="198"/>
      <x:c r="N66" s="198"/>
      <x:c r="O66" s="198"/>
      <x:c r="P66" s="198"/>
      <x:c r="Q66" s="198"/>
      <x:c r="R66" s="198"/>
      <x:c r="S66" s="198"/>
      <x:c r="T66" s="198"/>
      <x:c r="U66" s="198"/>
      <x:c r="V66" s="198"/>
      <x:c r="W66" s="198"/>
      <x:c r="X66" s="198"/>
      <x:c r="Y66" s="198"/>
      <x:c r="Z66" s="198"/>
      <x:c r="AA66" s="198"/>
      <x:c r="AB66" s="198"/>
      <x:c r="AC66" s="198"/>
      <x:c r="AD66" s="198"/>
      <x:c r="AE66" s="198"/>
      <x:c r="AF66" s="215"/>
    </x:row>
    <x:row r="67">
      <x:c r="A67" s="238"/>
      <x:c r="B67" s="215" t="str">
        <x:v>正常</x:v>
      </x:c>
      <x:c r="C67" s="199"/>
      <x:c r="D67" s="223" t="str">
        <x:f>IF(COUNTA(L67:AE67)=0,"",SUMPRODUCT(L67:AE67,'参数'!$C$6:$C$25,'参数'!$D$6:$D$25,INDEX('参数'!$E$6:$J$25,0,MATCH(B67,'参数'!$E$5:$J$5,0)),'参数'!$K$6:$K$25)/SUMPRODUCT('参数'!$C$6:$C$25,'参数'!$D$6:$D$25,INDEX('参数'!$E$6:$J$25,0,MATCH(B67,'参数'!$E$5:$J$5,0)),'参数'!$K$6:$K$25))</x:f>
      </x:c>
      <x:c r="E67" s="223" t="str">
        <x:f>IF(D67="","",SUMPRODUCT(ABS(L67:AE67),'参数'!$C$6:$C$25,'参数'!$D$6:$D$25,INDEX('参数'!$E$6:$J$25,0,MATCH(B67,'参数'!$E$5:$J$5,0)))/SUMPRODUCT('参数'!$C$6:$C$25,'参数'!$D$6:$D$25,INDEX('参数'!$E$6:$J$25,0,MATCH(B67,'参数'!$E$5:$J$5,0))))</x:f>
      </x:c>
      <x:c r="F67" s="194" t="str">
        <x:f>IF(D67="","",IF(D67&gt;='参数'!$B$30,1,IF(D67&lt;=-'参数'!$B$30,-1,0)))</x:f>
      </x:c>
      <x:c r="G67" s="194" t="str">
        <x:f>IF(C67="","",IF(C67&gt;='参数'!$B$37,1,IF(C67&lt;=-'参数'!$B$37,-1,0)))</x:f>
      </x:c>
      <x:c r="H67" s="194" t="str">
        <x:f>IF(OR(F67="",G67=""),"",--(F67=G67))</x:f>
      </x:c>
      <x:c r="I67" s="214" t="str">
        <x:f>IF(D67="","",D67*'参数'!$B$34)</x:f>
      </x:c>
      <x:c r="J67" s="214" t="str">
        <x:f>IF(OR(C67="",I67=""),"",ABS(C67-I67))</x:f>
      </x:c>
      <x:c r="K67" s="194" t="str">
        <x:f>IF(D67="","",IF(MAX(ABS(SUM(L67:M67)),ABS(SUM(N67:P67)),ABS(Q67),ABS(SUM(R67:T67)),ABS(SUM(U67:V67)),ABS(SUM(W67:Y67)),ABS(SUM(Z67:AB67)),ABS(SUM(AC67:AE67)))=ABS(SUM(L67:M67)),"订单流",IF(MAX(ABS(SUM(L67:M67)),ABS(SUM(N67:P67)),ABS(Q67),ABS(SUM(R67:T67)),ABS(SUM(U67:V67)),ABS(SUM(W67:Y67)),ABS(SUM(Z67:AB67)),ABS(SUM(AC67:AE67)))=ABS(SUM(N67:P67)),"流动性",IF(MAX(ABS(SUM(L67:M67)),ABS(SUM(N67:P67)),ABS(Q67),ABS(SUM(R67:T67)),ABS(SUM(U67:V67)),ABS(SUM(W67:Y67)),ABS(SUM(Z67:AB67)),ABS(SUM(AC67:AE67)))=ABS(Q67),"价格行为",IF(MAX(ABS(SUM(L67:M67)),ABS(SUM(N67:P67)),ABS(Q67),ABS(SUM(R67:T67)),ABS(SUM(U67:V67)),ABS(SUM(W67:Y67)),ABS(SUM(Z67:AB67)),ABS(SUM(AC67:AE67)))=ABS(SUM(R67:T67)),"杠杆/清算",IF(MAX(ABS(SUM(L67:M67)),ABS(SUM(N67:P67)),ABS(Q67),ABS(SUM(R67:T67)),ABS(SUM(U67:V67)),ABS(SUM(W67:Y67)),ABS(SUM(Z67:AB67)),ABS(SUM(AC67:AE67)))=ABS(SUM(U67:V67)),"衍生品",IF(MAX(ABS(SUM(L67:M67)),ABS(SUM(N67:P67)),ABS(Q67),ABS(SUM(R67:T67)),ABS(SUM(U67:V67)),ABS(SUM(W67:Y67)),ABS(SUM(Z67:AB67)),ABS(SUM(AC67:AE67)))=ABS(SUM(W67:Y67)),"跨市场",IF(MAX(ABS(SUM(L67:M67)),ABS(SUM(N67:P67)),ABS(Q67),ABS(SUM(R67:T67)),ABS(SUM(U67:V67)),ABS(SUM(W67:Y67)),ABS(SUM(Z67:AB67)),ABS(SUM(AC67:AE67)))=ABS(SUM(Z67:AB67)),"宏观代理","事件"))))))))</x:f>
      </x:c>
      <x:c r="L67" s="198"/>
      <x:c r="M67" s="198"/>
      <x:c r="N67" s="198"/>
      <x:c r="O67" s="198"/>
      <x:c r="P67" s="198"/>
      <x:c r="Q67" s="198"/>
      <x:c r="R67" s="198"/>
      <x:c r="S67" s="198"/>
      <x:c r="T67" s="198"/>
      <x:c r="U67" s="198"/>
      <x:c r="V67" s="198"/>
      <x:c r="W67" s="198"/>
      <x:c r="X67" s="198"/>
      <x:c r="Y67" s="198"/>
      <x:c r="Z67" s="198"/>
      <x:c r="AA67" s="198"/>
      <x:c r="AB67" s="198"/>
      <x:c r="AC67" s="198"/>
      <x:c r="AD67" s="198"/>
      <x:c r="AE67" s="198"/>
      <x:c r="AF67" s="215"/>
    </x:row>
    <x:row r="68">
      <x:c r="A68" s="238"/>
      <x:c r="B68" s="215" t="str">
        <x:v>正常</x:v>
      </x:c>
      <x:c r="C68" s="199"/>
      <x:c r="D68" s="223" t="str">
        <x:f>IF(COUNTA(L68:AE68)=0,"",SUMPRODUCT(L68:AE68,'参数'!$C$6:$C$25,'参数'!$D$6:$D$25,INDEX('参数'!$E$6:$J$25,0,MATCH(B68,'参数'!$E$5:$J$5,0)),'参数'!$K$6:$K$25)/SUMPRODUCT('参数'!$C$6:$C$25,'参数'!$D$6:$D$25,INDEX('参数'!$E$6:$J$25,0,MATCH(B68,'参数'!$E$5:$J$5,0)),'参数'!$K$6:$K$25))</x:f>
      </x:c>
      <x:c r="E68" s="223" t="str">
        <x:f>IF(D68="","",SUMPRODUCT(ABS(L68:AE68),'参数'!$C$6:$C$25,'参数'!$D$6:$D$25,INDEX('参数'!$E$6:$J$25,0,MATCH(B68,'参数'!$E$5:$J$5,0)))/SUMPRODUCT('参数'!$C$6:$C$25,'参数'!$D$6:$D$25,INDEX('参数'!$E$6:$J$25,0,MATCH(B68,'参数'!$E$5:$J$5,0))))</x:f>
      </x:c>
      <x:c r="F68" s="194" t="str">
        <x:f>IF(D68="","",IF(D68&gt;='参数'!$B$30,1,IF(D68&lt;=-'参数'!$B$30,-1,0)))</x:f>
      </x:c>
      <x:c r="G68" s="194" t="str">
        <x:f>IF(C68="","",IF(C68&gt;='参数'!$B$37,1,IF(C68&lt;=-'参数'!$B$37,-1,0)))</x:f>
      </x:c>
      <x:c r="H68" s="194" t="str">
        <x:f>IF(OR(F68="",G68=""),"",--(F68=G68))</x:f>
      </x:c>
      <x:c r="I68" s="214" t="str">
        <x:f>IF(D68="","",D68*'参数'!$B$34)</x:f>
      </x:c>
      <x:c r="J68" s="214" t="str">
        <x:f>IF(OR(C68="",I68=""),"",ABS(C68-I68))</x:f>
      </x:c>
      <x:c r="K68" s="194" t="str">
        <x:f>IF(D68="","",IF(MAX(ABS(SUM(L68:M68)),ABS(SUM(N68:P68)),ABS(Q68),ABS(SUM(R68:T68)),ABS(SUM(U68:V68)),ABS(SUM(W68:Y68)),ABS(SUM(Z68:AB68)),ABS(SUM(AC68:AE68)))=ABS(SUM(L68:M68)),"订单流",IF(MAX(ABS(SUM(L68:M68)),ABS(SUM(N68:P68)),ABS(Q68),ABS(SUM(R68:T68)),ABS(SUM(U68:V68)),ABS(SUM(W68:Y68)),ABS(SUM(Z68:AB68)),ABS(SUM(AC68:AE68)))=ABS(SUM(N68:P68)),"流动性",IF(MAX(ABS(SUM(L68:M68)),ABS(SUM(N68:P68)),ABS(Q68),ABS(SUM(R68:T68)),ABS(SUM(U68:V68)),ABS(SUM(W68:Y68)),ABS(SUM(Z68:AB68)),ABS(SUM(AC68:AE68)))=ABS(Q68),"价格行为",IF(MAX(ABS(SUM(L68:M68)),ABS(SUM(N68:P68)),ABS(Q68),ABS(SUM(R68:T68)),ABS(SUM(U68:V68)),ABS(SUM(W68:Y68)),ABS(SUM(Z68:AB68)),ABS(SUM(AC68:AE68)))=ABS(SUM(R68:T68)),"杠杆/清算",IF(MAX(ABS(SUM(L68:M68)),ABS(SUM(N68:P68)),ABS(Q68),ABS(SUM(R68:T68)),ABS(SUM(U68:V68)),ABS(SUM(W68:Y68)),ABS(SUM(Z68:AB68)),ABS(SUM(AC68:AE68)))=ABS(SUM(U68:V68)),"衍生品",IF(MAX(ABS(SUM(L68:M68)),ABS(SUM(N68:P68)),ABS(Q68),ABS(SUM(R68:T68)),ABS(SUM(U68:V68)),ABS(SUM(W68:Y68)),ABS(SUM(Z68:AB68)),ABS(SUM(AC68:AE68)))=ABS(SUM(W68:Y68)),"跨市场",IF(MAX(ABS(SUM(L68:M68)),ABS(SUM(N68:P68)),ABS(Q68),ABS(SUM(R68:T68)),ABS(SUM(U68:V68)),ABS(SUM(W68:Y68)),ABS(SUM(Z68:AB68)),ABS(SUM(AC68:AE68)))=ABS(SUM(Z68:AB68)),"宏观代理","事件"))))))))</x:f>
      </x:c>
      <x:c r="L68" s="198"/>
      <x:c r="M68" s="198"/>
      <x:c r="N68" s="198"/>
      <x:c r="O68" s="198"/>
      <x:c r="P68" s="198"/>
      <x:c r="Q68" s="198"/>
      <x:c r="R68" s="198"/>
      <x:c r="S68" s="198"/>
      <x:c r="T68" s="198"/>
      <x:c r="U68" s="198"/>
      <x:c r="V68" s="198"/>
      <x:c r="W68" s="198"/>
      <x:c r="X68" s="198"/>
      <x:c r="Y68" s="198"/>
      <x:c r="Z68" s="198"/>
      <x:c r="AA68" s="198"/>
      <x:c r="AB68" s="198"/>
      <x:c r="AC68" s="198"/>
      <x:c r="AD68" s="198"/>
      <x:c r="AE68" s="198"/>
      <x:c r="AF68" s="215"/>
    </x:row>
    <x:row r="69">
      <x:c r="A69" s="238"/>
      <x:c r="B69" s="215" t="str">
        <x:v>正常</x:v>
      </x:c>
      <x:c r="C69" s="199"/>
      <x:c r="D69" s="223" t="str">
        <x:f>IF(COUNTA(L69:AE69)=0,"",SUMPRODUCT(L69:AE69,'参数'!$C$6:$C$25,'参数'!$D$6:$D$25,INDEX('参数'!$E$6:$J$25,0,MATCH(B69,'参数'!$E$5:$J$5,0)),'参数'!$K$6:$K$25)/SUMPRODUCT('参数'!$C$6:$C$25,'参数'!$D$6:$D$25,INDEX('参数'!$E$6:$J$25,0,MATCH(B69,'参数'!$E$5:$J$5,0)),'参数'!$K$6:$K$25))</x:f>
      </x:c>
      <x:c r="E69" s="223" t="str">
        <x:f>IF(D69="","",SUMPRODUCT(ABS(L69:AE69),'参数'!$C$6:$C$25,'参数'!$D$6:$D$25,INDEX('参数'!$E$6:$J$25,0,MATCH(B69,'参数'!$E$5:$J$5,0)))/SUMPRODUCT('参数'!$C$6:$C$25,'参数'!$D$6:$D$25,INDEX('参数'!$E$6:$J$25,0,MATCH(B69,'参数'!$E$5:$J$5,0))))</x:f>
      </x:c>
      <x:c r="F69" s="194" t="str">
        <x:f>IF(D69="","",IF(D69&gt;='参数'!$B$30,1,IF(D69&lt;=-'参数'!$B$30,-1,0)))</x:f>
      </x:c>
      <x:c r="G69" s="194" t="str">
        <x:f>IF(C69="","",IF(C69&gt;='参数'!$B$37,1,IF(C69&lt;=-'参数'!$B$37,-1,0)))</x:f>
      </x:c>
      <x:c r="H69" s="194" t="str">
        <x:f>IF(OR(F69="",G69=""),"",--(F69=G69))</x:f>
      </x:c>
      <x:c r="I69" s="214" t="str">
        <x:f>IF(D69="","",D69*'参数'!$B$34)</x:f>
      </x:c>
      <x:c r="J69" s="214" t="str">
        <x:f>IF(OR(C69="",I69=""),"",ABS(C69-I69))</x:f>
      </x:c>
      <x:c r="K69" s="194" t="str">
        <x:f>IF(D69="","",IF(MAX(ABS(SUM(L69:M69)),ABS(SUM(N69:P69)),ABS(Q69),ABS(SUM(R69:T69)),ABS(SUM(U69:V69)),ABS(SUM(W69:Y69)),ABS(SUM(Z69:AB69)),ABS(SUM(AC69:AE69)))=ABS(SUM(L69:M69)),"订单流",IF(MAX(ABS(SUM(L69:M69)),ABS(SUM(N69:P69)),ABS(Q69),ABS(SUM(R69:T69)),ABS(SUM(U69:V69)),ABS(SUM(W69:Y69)),ABS(SUM(Z69:AB69)),ABS(SUM(AC69:AE69)))=ABS(SUM(N69:P69)),"流动性",IF(MAX(ABS(SUM(L69:M69)),ABS(SUM(N69:P69)),ABS(Q69),ABS(SUM(R69:T69)),ABS(SUM(U69:V69)),ABS(SUM(W69:Y69)),ABS(SUM(Z69:AB69)),ABS(SUM(AC69:AE69)))=ABS(Q69),"价格行为",IF(MAX(ABS(SUM(L69:M69)),ABS(SUM(N69:P69)),ABS(Q69),ABS(SUM(R69:T69)),ABS(SUM(U69:V69)),ABS(SUM(W69:Y69)),ABS(SUM(Z69:AB69)),ABS(SUM(AC69:AE69)))=ABS(SUM(R69:T69)),"杠杆/清算",IF(MAX(ABS(SUM(L69:M69)),ABS(SUM(N69:P69)),ABS(Q69),ABS(SUM(R69:T69)),ABS(SUM(U69:V69)),ABS(SUM(W69:Y69)),ABS(SUM(Z69:AB69)),ABS(SUM(AC69:AE69)))=ABS(SUM(U69:V69)),"衍生品",IF(MAX(ABS(SUM(L69:M69)),ABS(SUM(N69:P69)),ABS(Q69),ABS(SUM(R69:T69)),ABS(SUM(U69:V69)),ABS(SUM(W69:Y69)),ABS(SUM(Z69:AB69)),ABS(SUM(AC69:AE69)))=ABS(SUM(W69:Y69)),"跨市场",IF(MAX(ABS(SUM(L69:M69)),ABS(SUM(N69:P69)),ABS(Q69),ABS(SUM(R69:T69)),ABS(SUM(U69:V69)),ABS(SUM(W69:Y69)),ABS(SUM(Z69:AB69)),ABS(SUM(AC69:AE69)))=ABS(SUM(Z69:AB69)),"宏观代理","事件"))))))))</x:f>
      </x:c>
      <x:c r="L69" s="198"/>
      <x:c r="M69" s="198"/>
      <x:c r="N69" s="198"/>
      <x:c r="O69" s="198"/>
      <x:c r="P69" s="198"/>
      <x:c r="Q69" s="198"/>
      <x:c r="R69" s="198"/>
      <x:c r="S69" s="198"/>
      <x:c r="T69" s="198"/>
      <x:c r="U69" s="198"/>
      <x:c r="V69" s="198"/>
      <x:c r="W69" s="198"/>
      <x:c r="X69" s="198"/>
      <x:c r="Y69" s="198"/>
      <x:c r="Z69" s="198"/>
      <x:c r="AA69" s="198"/>
      <x:c r="AB69" s="198"/>
      <x:c r="AC69" s="198"/>
      <x:c r="AD69" s="198"/>
      <x:c r="AE69" s="198"/>
      <x:c r="AF69" s="215"/>
    </x:row>
    <x:row r="70">
      <x:c r="A70" s="238"/>
      <x:c r="B70" s="215" t="str">
        <x:v>正常</x:v>
      </x:c>
      <x:c r="C70" s="199"/>
      <x:c r="D70" s="223" t="str">
        <x:f>IF(COUNTA(L70:AE70)=0,"",SUMPRODUCT(L70:AE70,'参数'!$C$6:$C$25,'参数'!$D$6:$D$25,INDEX('参数'!$E$6:$J$25,0,MATCH(B70,'参数'!$E$5:$J$5,0)),'参数'!$K$6:$K$25)/SUMPRODUCT('参数'!$C$6:$C$25,'参数'!$D$6:$D$25,INDEX('参数'!$E$6:$J$25,0,MATCH(B70,'参数'!$E$5:$J$5,0)),'参数'!$K$6:$K$25))</x:f>
      </x:c>
      <x:c r="E70" s="223" t="str">
        <x:f>IF(D70="","",SUMPRODUCT(ABS(L70:AE70),'参数'!$C$6:$C$25,'参数'!$D$6:$D$25,INDEX('参数'!$E$6:$J$25,0,MATCH(B70,'参数'!$E$5:$J$5,0)))/SUMPRODUCT('参数'!$C$6:$C$25,'参数'!$D$6:$D$25,INDEX('参数'!$E$6:$J$25,0,MATCH(B70,'参数'!$E$5:$J$5,0))))</x:f>
      </x:c>
      <x:c r="F70" s="194" t="str">
        <x:f>IF(D70="","",IF(D70&gt;='参数'!$B$30,1,IF(D70&lt;=-'参数'!$B$30,-1,0)))</x:f>
      </x:c>
      <x:c r="G70" s="194" t="str">
        <x:f>IF(C70="","",IF(C70&gt;='参数'!$B$37,1,IF(C70&lt;=-'参数'!$B$37,-1,0)))</x:f>
      </x:c>
      <x:c r="H70" s="194" t="str">
        <x:f>IF(OR(F70="",G70=""),"",--(F70=G70))</x:f>
      </x:c>
      <x:c r="I70" s="214" t="str">
        <x:f>IF(D70="","",D70*'参数'!$B$34)</x:f>
      </x:c>
      <x:c r="J70" s="214" t="str">
        <x:f>IF(OR(C70="",I70=""),"",ABS(C70-I70))</x:f>
      </x:c>
      <x:c r="K70" s="194" t="str">
        <x:f>IF(D70="","",IF(MAX(ABS(SUM(L70:M70)),ABS(SUM(N70:P70)),ABS(Q70),ABS(SUM(R70:T70)),ABS(SUM(U70:V70)),ABS(SUM(W70:Y70)),ABS(SUM(Z70:AB70)),ABS(SUM(AC70:AE70)))=ABS(SUM(L70:M70)),"订单流",IF(MAX(ABS(SUM(L70:M70)),ABS(SUM(N70:P70)),ABS(Q70),ABS(SUM(R70:T70)),ABS(SUM(U70:V70)),ABS(SUM(W70:Y70)),ABS(SUM(Z70:AB70)),ABS(SUM(AC70:AE70)))=ABS(SUM(N70:P70)),"流动性",IF(MAX(ABS(SUM(L70:M70)),ABS(SUM(N70:P70)),ABS(Q70),ABS(SUM(R70:T70)),ABS(SUM(U70:V70)),ABS(SUM(W70:Y70)),ABS(SUM(Z70:AB70)),ABS(SUM(AC70:AE70)))=ABS(Q70),"价格行为",IF(MAX(ABS(SUM(L70:M70)),ABS(SUM(N70:P70)),ABS(Q70),ABS(SUM(R70:T70)),ABS(SUM(U70:V70)),ABS(SUM(W70:Y70)),ABS(SUM(Z70:AB70)),ABS(SUM(AC70:AE70)))=ABS(SUM(R70:T70)),"杠杆/清算",IF(MAX(ABS(SUM(L70:M70)),ABS(SUM(N70:P70)),ABS(Q70),ABS(SUM(R70:T70)),ABS(SUM(U70:V70)),ABS(SUM(W70:Y70)),ABS(SUM(Z70:AB70)),ABS(SUM(AC70:AE70)))=ABS(SUM(U70:V70)),"衍生品",IF(MAX(ABS(SUM(L70:M70)),ABS(SUM(N70:P70)),ABS(Q70),ABS(SUM(R70:T70)),ABS(SUM(U70:V70)),ABS(SUM(W70:Y70)),ABS(SUM(Z70:AB70)),ABS(SUM(AC70:AE70)))=ABS(SUM(W70:Y70)),"跨市场",IF(MAX(ABS(SUM(L70:M70)),ABS(SUM(N70:P70)),ABS(Q70),ABS(SUM(R70:T70)),ABS(SUM(U70:V70)),ABS(SUM(W70:Y70)),ABS(SUM(Z70:AB70)),ABS(SUM(AC70:AE70)))=ABS(SUM(Z70:AB70)),"宏观代理","事件"))))))))</x:f>
      </x:c>
      <x:c r="L70" s="198"/>
      <x:c r="M70" s="198"/>
      <x:c r="N70" s="198"/>
      <x:c r="O70" s="198"/>
      <x:c r="P70" s="198"/>
      <x:c r="Q70" s="198"/>
      <x:c r="R70" s="198"/>
      <x:c r="S70" s="198"/>
      <x:c r="T70" s="198"/>
      <x:c r="U70" s="198"/>
      <x:c r="V70" s="198"/>
      <x:c r="W70" s="198"/>
      <x:c r="X70" s="198"/>
      <x:c r="Y70" s="198"/>
      <x:c r="Z70" s="198"/>
      <x:c r="AA70" s="198"/>
      <x:c r="AB70" s="198"/>
      <x:c r="AC70" s="198"/>
      <x:c r="AD70" s="198"/>
      <x:c r="AE70" s="198"/>
      <x:c r="AF70" s="215"/>
    </x:row>
    <x:row r="71">
      <x:c r="A71" s="238"/>
      <x:c r="B71" s="215" t="str">
        <x:v>正常</x:v>
      </x:c>
      <x:c r="C71" s="199"/>
      <x:c r="D71" s="223" t="str">
        <x:f>IF(COUNTA(L71:AE71)=0,"",SUMPRODUCT(L71:AE71,'参数'!$C$6:$C$25,'参数'!$D$6:$D$25,INDEX('参数'!$E$6:$J$25,0,MATCH(B71,'参数'!$E$5:$J$5,0)),'参数'!$K$6:$K$25)/SUMPRODUCT('参数'!$C$6:$C$25,'参数'!$D$6:$D$25,INDEX('参数'!$E$6:$J$25,0,MATCH(B71,'参数'!$E$5:$J$5,0)),'参数'!$K$6:$K$25))</x:f>
      </x:c>
      <x:c r="E71" s="223" t="str">
        <x:f>IF(D71="","",SUMPRODUCT(ABS(L71:AE71),'参数'!$C$6:$C$25,'参数'!$D$6:$D$25,INDEX('参数'!$E$6:$J$25,0,MATCH(B71,'参数'!$E$5:$J$5,0)))/SUMPRODUCT('参数'!$C$6:$C$25,'参数'!$D$6:$D$25,INDEX('参数'!$E$6:$J$25,0,MATCH(B71,'参数'!$E$5:$J$5,0))))</x:f>
      </x:c>
      <x:c r="F71" s="194" t="str">
        <x:f>IF(D71="","",IF(D71&gt;='参数'!$B$30,1,IF(D71&lt;=-'参数'!$B$30,-1,0)))</x:f>
      </x:c>
      <x:c r="G71" s="194" t="str">
        <x:f>IF(C71="","",IF(C71&gt;='参数'!$B$37,1,IF(C71&lt;=-'参数'!$B$37,-1,0)))</x:f>
      </x:c>
      <x:c r="H71" s="194" t="str">
        <x:f>IF(OR(F71="",G71=""),"",--(F71=G71))</x:f>
      </x:c>
      <x:c r="I71" s="214" t="str">
        <x:f>IF(D71="","",D71*'参数'!$B$34)</x:f>
      </x:c>
      <x:c r="J71" s="214" t="str">
        <x:f>IF(OR(C71="",I71=""),"",ABS(C71-I71))</x:f>
      </x:c>
      <x:c r="K71" s="194" t="str">
        <x:f>IF(D71="","",IF(MAX(ABS(SUM(L71:M71)),ABS(SUM(N71:P71)),ABS(Q71),ABS(SUM(R71:T71)),ABS(SUM(U71:V71)),ABS(SUM(W71:Y71)),ABS(SUM(Z71:AB71)),ABS(SUM(AC71:AE71)))=ABS(SUM(L71:M71)),"订单流",IF(MAX(ABS(SUM(L71:M71)),ABS(SUM(N71:P71)),ABS(Q71),ABS(SUM(R71:T71)),ABS(SUM(U71:V71)),ABS(SUM(W71:Y71)),ABS(SUM(Z71:AB71)),ABS(SUM(AC71:AE71)))=ABS(SUM(N71:P71)),"流动性",IF(MAX(ABS(SUM(L71:M71)),ABS(SUM(N71:P71)),ABS(Q71),ABS(SUM(R71:T71)),ABS(SUM(U71:V71)),ABS(SUM(W71:Y71)),ABS(SUM(Z71:AB71)),ABS(SUM(AC71:AE71)))=ABS(Q71),"价格行为",IF(MAX(ABS(SUM(L71:M71)),ABS(SUM(N71:P71)),ABS(Q71),ABS(SUM(R71:T71)),ABS(SUM(U71:V71)),ABS(SUM(W71:Y71)),ABS(SUM(Z71:AB71)),ABS(SUM(AC71:AE71)))=ABS(SUM(R71:T71)),"杠杆/清算",IF(MAX(ABS(SUM(L71:M71)),ABS(SUM(N71:P71)),ABS(Q71),ABS(SUM(R71:T71)),ABS(SUM(U71:V71)),ABS(SUM(W71:Y71)),ABS(SUM(Z71:AB71)),ABS(SUM(AC71:AE71)))=ABS(SUM(U71:V71)),"衍生品",IF(MAX(ABS(SUM(L71:M71)),ABS(SUM(N71:P71)),ABS(Q71),ABS(SUM(R71:T71)),ABS(SUM(U71:V71)),ABS(SUM(W71:Y71)),ABS(SUM(Z71:AB71)),ABS(SUM(AC71:AE71)))=ABS(SUM(W71:Y71)),"跨市场",IF(MAX(ABS(SUM(L71:M71)),ABS(SUM(N71:P71)),ABS(Q71),ABS(SUM(R71:T71)),ABS(SUM(U71:V71)),ABS(SUM(W71:Y71)),ABS(SUM(Z71:AB71)),ABS(SUM(AC71:AE71)))=ABS(SUM(Z71:AB71)),"宏观代理","事件"))))))))</x:f>
      </x:c>
      <x:c r="L71" s="198"/>
      <x:c r="M71" s="198"/>
      <x:c r="N71" s="198"/>
      <x:c r="O71" s="198"/>
      <x:c r="P71" s="198"/>
      <x:c r="Q71" s="198"/>
      <x:c r="R71" s="198"/>
      <x:c r="S71" s="198"/>
      <x:c r="T71" s="198"/>
      <x:c r="U71" s="198"/>
      <x:c r="V71" s="198"/>
      <x:c r="W71" s="198"/>
      <x:c r="X71" s="198"/>
      <x:c r="Y71" s="198"/>
      <x:c r="Z71" s="198"/>
      <x:c r="AA71" s="198"/>
      <x:c r="AB71" s="198"/>
      <x:c r="AC71" s="198"/>
      <x:c r="AD71" s="198"/>
      <x:c r="AE71" s="198"/>
      <x:c r="AF71" s="215"/>
    </x:row>
    <x:row r="72">
      <x:c r="A72" s="238"/>
      <x:c r="B72" s="215" t="str">
        <x:v>正常</x:v>
      </x:c>
      <x:c r="C72" s="199"/>
      <x:c r="D72" s="223" t="str">
        <x:f>IF(COUNTA(L72:AE72)=0,"",SUMPRODUCT(L72:AE72,'参数'!$C$6:$C$25,'参数'!$D$6:$D$25,INDEX('参数'!$E$6:$J$25,0,MATCH(B72,'参数'!$E$5:$J$5,0)),'参数'!$K$6:$K$25)/SUMPRODUCT('参数'!$C$6:$C$25,'参数'!$D$6:$D$25,INDEX('参数'!$E$6:$J$25,0,MATCH(B72,'参数'!$E$5:$J$5,0)),'参数'!$K$6:$K$25))</x:f>
      </x:c>
      <x:c r="E72" s="223" t="str">
        <x:f>IF(D72="","",SUMPRODUCT(ABS(L72:AE72),'参数'!$C$6:$C$25,'参数'!$D$6:$D$25,INDEX('参数'!$E$6:$J$25,0,MATCH(B72,'参数'!$E$5:$J$5,0)))/SUMPRODUCT('参数'!$C$6:$C$25,'参数'!$D$6:$D$25,INDEX('参数'!$E$6:$J$25,0,MATCH(B72,'参数'!$E$5:$J$5,0))))</x:f>
      </x:c>
      <x:c r="F72" s="194" t="str">
        <x:f>IF(D72="","",IF(D72&gt;='参数'!$B$30,1,IF(D72&lt;=-'参数'!$B$30,-1,0)))</x:f>
      </x:c>
      <x:c r="G72" s="194" t="str">
        <x:f>IF(C72="","",IF(C72&gt;='参数'!$B$37,1,IF(C72&lt;=-'参数'!$B$37,-1,0)))</x:f>
      </x:c>
      <x:c r="H72" s="194" t="str">
        <x:f>IF(OR(F72="",G72=""),"",--(F72=G72))</x:f>
      </x:c>
      <x:c r="I72" s="214" t="str">
        <x:f>IF(D72="","",D72*'参数'!$B$34)</x:f>
      </x:c>
      <x:c r="J72" s="214" t="str">
        <x:f>IF(OR(C72="",I72=""),"",ABS(C72-I72))</x:f>
      </x:c>
      <x:c r="K72" s="194" t="str">
        <x:f>IF(D72="","",IF(MAX(ABS(SUM(L72:M72)),ABS(SUM(N72:P72)),ABS(Q72),ABS(SUM(R72:T72)),ABS(SUM(U72:V72)),ABS(SUM(W72:Y72)),ABS(SUM(Z72:AB72)),ABS(SUM(AC72:AE72)))=ABS(SUM(L72:M72)),"订单流",IF(MAX(ABS(SUM(L72:M72)),ABS(SUM(N72:P72)),ABS(Q72),ABS(SUM(R72:T72)),ABS(SUM(U72:V72)),ABS(SUM(W72:Y72)),ABS(SUM(Z72:AB72)),ABS(SUM(AC72:AE72)))=ABS(SUM(N72:P72)),"流动性",IF(MAX(ABS(SUM(L72:M72)),ABS(SUM(N72:P72)),ABS(Q72),ABS(SUM(R72:T72)),ABS(SUM(U72:V72)),ABS(SUM(W72:Y72)),ABS(SUM(Z72:AB72)),ABS(SUM(AC72:AE72)))=ABS(Q72),"价格行为",IF(MAX(ABS(SUM(L72:M72)),ABS(SUM(N72:P72)),ABS(Q72),ABS(SUM(R72:T72)),ABS(SUM(U72:V72)),ABS(SUM(W72:Y72)),ABS(SUM(Z72:AB72)),ABS(SUM(AC72:AE72)))=ABS(SUM(R72:T72)),"杠杆/清算",IF(MAX(ABS(SUM(L72:M72)),ABS(SUM(N72:P72)),ABS(Q72),ABS(SUM(R72:T72)),ABS(SUM(U72:V72)),ABS(SUM(W72:Y72)),ABS(SUM(Z72:AB72)),ABS(SUM(AC72:AE72)))=ABS(SUM(U72:V72)),"衍生品",IF(MAX(ABS(SUM(L72:M72)),ABS(SUM(N72:P72)),ABS(Q72),ABS(SUM(R72:T72)),ABS(SUM(U72:V72)),ABS(SUM(W72:Y72)),ABS(SUM(Z72:AB72)),ABS(SUM(AC72:AE72)))=ABS(SUM(W72:Y72)),"跨市场",IF(MAX(ABS(SUM(L72:M72)),ABS(SUM(N72:P72)),ABS(Q72),ABS(SUM(R72:T72)),ABS(SUM(U72:V72)),ABS(SUM(W72:Y72)),ABS(SUM(Z72:AB72)),ABS(SUM(AC72:AE72)))=ABS(SUM(Z72:AB72)),"宏观代理","事件"))))))))</x:f>
      </x:c>
      <x:c r="L72" s="198"/>
      <x:c r="M72" s="198"/>
      <x:c r="N72" s="198"/>
      <x:c r="O72" s="198"/>
      <x:c r="P72" s="198"/>
      <x:c r="Q72" s="198"/>
      <x:c r="R72" s="198"/>
      <x:c r="S72" s="198"/>
      <x:c r="T72" s="198"/>
      <x:c r="U72" s="198"/>
      <x:c r="V72" s="198"/>
      <x:c r="W72" s="198"/>
      <x:c r="X72" s="198"/>
      <x:c r="Y72" s="198"/>
      <x:c r="Z72" s="198"/>
      <x:c r="AA72" s="198"/>
      <x:c r="AB72" s="198"/>
      <x:c r="AC72" s="198"/>
      <x:c r="AD72" s="198"/>
      <x:c r="AE72" s="198"/>
      <x:c r="AF72" s="215"/>
    </x:row>
    <x:row r="73">
      <x:c r="A73" s="238"/>
      <x:c r="B73" s="215" t="str">
        <x:v>正常</x:v>
      </x:c>
      <x:c r="C73" s="199"/>
      <x:c r="D73" s="223" t="str">
        <x:f>IF(COUNTA(L73:AE73)=0,"",SUMPRODUCT(L73:AE73,'参数'!$C$6:$C$25,'参数'!$D$6:$D$25,INDEX('参数'!$E$6:$J$25,0,MATCH(B73,'参数'!$E$5:$J$5,0)),'参数'!$K$6:$K$25)/SUMPRODUCT('参数'!$C$6:$C$25,'参数'!$D$6:$D$25,INDEX('参数'!$E$6:$J$25,0,MATCH(B73,'参数'!$E$5:$J$5,0)),'参数'!$K$6:$K$25))</x:f>
      </x:c>
      <x:c r="E73" s="223" t="str">
        <x:f>IF(D73="","",SUMPRODUCT(ABS(L73:AE73),'参数'!$C$6:$C$25,'参数'!$D$6:$D$25,INDEX('参数'!$E$6:$J$25,0,MATCH(B73,'参数'!$E$5:$J$5,0)))/SUMPRODUCT('参数'!$C$6:$C$25,'参数'!$D$6:$D$25,INDEX('参数'!$E$6:$J$25,0,MATCH(B73,'参数'!$E$5:$J$5,0))))</x:f>
      </x:c>
      <x:c r="F73" s="194" t="str">
        <x:f>IF(D73="","",IF(D73&gt;='参数'!$B$30,1,IF(D73&lt;=-'参数'!$B$30,-1,0)))</x:f>
      </x:c>
      <x:c r="G73" s="194" t="str">
        <x:f>IF(C73="","",IF(C73&gt;='参数'!$B$37,1,IF(C73&lt;=-'参数'!$B$37,-1,0)))</x:f>
      </x:c>
      <x:c r="H73" s="194" t="str">
        <x:f>IF(OR(F73="",G73=""),"",--(F73=G73))</x:f>
      </x:c>
      <x:c r="I73" s="214" t="str">
        <x:f>IF(D73="","",D73*'参数'!$B$34)</x:f>
      </x:c>
      <x:c r="J73" s="214" t="str">
        <x:f>IF(OR(C73="",I73=""),"",ABS(C73-I73))</x:f>
      </x:c>
      <x:c r="K73" s="194" t="str">
        <x:f>IF(D73="","",IF(MAX(ABS(SUM(L73:M73)),ABS(SUM(N73:P73)),ABS(Q73),ABS(SUM(R73:T73)),ABS(SUM(U73:V73)),ABS(SUM(W73:Y73)),ABS(SUM(Z73:AB73)),ABS(SUM(AC73:AE73)))=ABS(SUM(L73:M73)),"订单流",IF(MAX(ABS(SUM(L73:M73)),ABS(SUM(N73:P73)),ABS(Q73),ABS(SUM(R73:T73)),ABS(SUM(U73:V73)),ABS(SUM(W73:Y73)),ABS(SUM(Z73:AB73)),ABS(SUM(AC73:AE73)))=ABS(SUM(N73:P73)),"流动性",IF(MAX(ABS(SUM(L73:M73)),ABS(SUM(N73:P73)),ABS(Q73),ABS(SUM(R73:T73)),ABS(SUM(U73:V73)),ABS(SUM(W73:Y73)),ABS(SUM(Z73:AB73)),ABS(SUM(AC73:AE73)))=ABS(Q73),"价格行为",IF(MAX(ABS(SUM(L73:M73)),ABS(SUM(N73:P73)),ABS(Q73),ABS(SUM(R73:T73)),ABS(SUM(U73:V73)),ABS(SUM(W73:Y73)),ABS(SUM(Z73:AB73)),ABS(SUM(AC73:AE73)))=ABS(SUM(R73:T73)),"杠杆/清算",IF(MAX(ABS(SUM(L73:M73)),ABS(SUM(N73:P73)),ABS(Q73),ABS(SUM(R73:T73)),ABS(SUM(U73:V73)),ABS(SUM(W73:Y73)),ABS(SUM(Z73:AB73)),ABS(SUM(AC73:AE73)))=ABS(SUM(U73:V73)),"衍生品",IF(MAX(ABS(SUM(L73:M73)),ABS(SUM(N73:P73)),ABS(Q73),ABS(SUM(R73:T73)),ABS(SUM(U73:V73)),ABS(SUM(W73:Y73)),ABS(SUM(Z73:AB73)),ABS(SUM(AC73:AE73)))=ABS(SUM(W73:Y73)),"跨市场",IF(MAX(ABS(SUM(L73:M73)),ABS(SUM(N73:P73)),ABS(Q73),ABS(SUM(R73:T73)),ABS(SUM(U73:V73)),ABS(SUM(W73:Y73)),ABS(SUM(Z73:AB73)),ABS(SUM(AC73:AE73)))=ABS(SUM(Z73:AB73)),"宏观代理","事件"))))))))</x:f>
      </x:c>
      <x:c r="L73" s="198"/>
      <x:c r="M73" s="198"/>
      <x:c r="N73" s="198"/>
      <x:c r="O73" s="198"/>
      <x:c r="P73" s="198"/>
      <x:c r="Q73" s="198"/>
      <x:c r="R73" s="198"/>
      <x:c r="S73" s="198"/>
      <x:c r="T73" s="198"/>
      <x:c r="U73" s="198"/>
      <x:c r="V73" s="198"/>
      <x:c r="W73" s="198"/>
      <x:c r="X73" s="198"/>
      <x:c r="Y73" s="198"/>
      <x:c r="Z73" s="198"/>
      <x:c r="AA73" s="198"/>
      <x:c r="AB73" s="198"/>
      <x:c r="AC73" s="198"/>
      <x:c r="AD73" s="198"/>
      <x:c r="AE73" s="198"/>
      <x:c r="AF73" s="215"/>
    </x:row>
    <x:row r="74">
      <x:c r="A74" s="238"/>
      <x:c r="B74" s="215" t="str">
        <x:v>正常</x:v>
      </x:c>
      <x:c r="C74" s="199"/>
      <x:c r="D74" s="223" t="str">
        <x:f>IF(COUNTA(L74:AE74)=0,"",SUMPRODUCT(L74:AE74,'参数'!$C$6:$C$25,'参数'!$D$6:$D$25,INDEX('参数'!$E$6:$J$25,0,MATCH(B74,'参数'!$E$5:$J$5,0)),'参数'!$K$6:$K$25)/SUMPRODUCT('参数'!$C$6:$C$25,'参数'!$D$6:$D$25,INDEX('参数'!$E$6:$J$25,0,MATCH(B74,'参数'!$E$5:$J$5,0)),'参数'!$K$6:$K$25))</x:f>
      </x:c>
      <x:c r="E74" s="223" t="str">
        <x:f>IF(D74="","",SUMPRODUCT(ABS(L74:AE74),'参数'!$C$6:$C$25,'参数'!$D$6:$D$25,INDEX('参数'!$E$6:$J$25,0,MATCH(B74,'参数'!$E$5:$J$5,0)))/SUMPRODUCT('参数'!$C$6:$C$25,'参数'!$D$6:$D$25,INDEX('参数'!$E$6:$J$25,0,MATCH(B74,'参数'!$E$5:$J$5,0))))</x:f>
      </x:c>
      <x:c r="F74" s="194" t="str">
        <x:f>IF(D74="","",IF(D74&gt;='参数'!$B$30,1,IF(D74&lt;=-'参数'!$B$30,-1,0)))</x:f>
      </x:c>
      <x:c r="G74" s="194" t="str">
        <x:f>IF(C74="","",IF(C74&gt;='参数'!$B$37,1,IF(C74&lt;=-'参数'!$B$37,-1,0)))</x:f>
      </x:c>
      <x:c r="H74" s="194" t="str">
        <x:f>IF(OR(F74="",G74=""),"",--(F74=G74))</x:f>
      </x:c>
      <x:c r="I74" s="214" t="str">
        <x:f>IF(D74="","",D74*'参数'!$B$34)</x:f>
      </x:c>
      <x:c r="J74" s="214" t="str">
        <x:f>IF(OR(C74="",I74=""),"",ABS(C74-I74))</x:f>
      </x:c>
      <x:c r="K74" s="194" t="str">
        <x:f>IF(D74="","",IF(MAX(ABS(SUM(L74:M74)),ABS(SUM(N74:P74)),ABS(Q74),ABS(SUM(R74:T74)),ABS(SUM(U74:V74)),ABS(SUM(W74:Y74)),ABS(SUM(Z74:AB74)),ABS(SUM(AC74:AE74)))=ABS(SUM(L74:M74)),"订单流",IF(MAX(ABS(SUM(L74:M74)),ABS(SUM(N74:P74)),ABS(Q74),ABS(SUM(R74:T74)),ABS(SUM(U74:V74)),ABS(SUM(W74:Y74)),ABS(SUM(Z74:AB74)),ABS(SUM(AC74:AE74)))=ABS(SUM(N74:P74)),"流动性",IF(MAX(ABS(SUM(L74:M74)),ABS(SUM(N74:P74)),ABS(Q74),ABS(SUM(R74:T74)),ABS(SUM(U74:V74)),ABS(SUM(W74:Y74)),ABS(SUM(Z74:AB74)),ABS(SUM(AC74:AE74)))=ABS(Q74),"价格行为",IF(MAX(ABS(SUM(L74:M74)),ABS(SUM(N74:P74)),ABS(Q74),ABS(SUM(R74:T74)),ABS(SUM(U74:V74)),ABS(SUM(W74:Y74)),ABS(SUM(Z74:AB74)),ABS(SUM(AC74:AE74)))=ABS(SUM(R74:T74)),"杠杆/清算",IF(MAX(ABS(SUM(L74:M74)),ABS(SUM(N74:P74)),ABS(Q74),ABS(SUM(R74:T74)),ABS(SUM(U74:V74)),ABS(SUM(W74:Y74)),ABS(SUM(Z74:AB74)),ABS(SUM(AC74:AE74)))=ABS(SUM(U74:V74)),"衍生品",IF(MAX(ABS(SUM(L74:M74)),ABS(SUM(N74:P74)),ABS(Q74),ABS(SUM(R74:T74)),ABS(SUM(U74:V74)),ABS(SUM(W74:Y74)),ABS(SUM(Z74:AB74)),ABS(SUM(AC74:AE74)))=ABS(SUM(W74:Y74)),"跨市场",IF(MAX(ABS(SUM(L74:M74)),ABS(SUM(N74:P74)),ABS(Q74),ABS(SUM(R74:T74)),ABS(SUM(U74:V74)),ABS(SUM(W74:Y74)),ABS(SUM(Z74:AB74)),ABS(SUM(AC74:AE74)))=ABS(SUM(Z74:AB74)),"宏观代理","事件"))))))))</x:f>
      </x:c>
      <x:c r="L74" s="198"/>
      <x:c r="M74" s="198"/>
      <x:c r="N74" s="198"/>
      <x:c r="O74" s="198"/>
      <x:c r="P74" s="198"/>
      <x:c r="Q74" s="198"/>
      <x:c r="R74" s="198"/>
      <x:c r="S74" s="198"/>
      <x:c r="T74" s="198"/>
      <x:c r="U74" s="198"/>
      <x:c r="V74" s="198"/>
      <x:c r="W74" s="198"/>
      <x:c r="X74" s="198"/>
      <x:c r="Y74" s="198"/>
      <x:c r="Z74" s="198"/>
      <x:c r="AA74" s="198"/>
      <x:c r="AB74" s="198"/>
      <x:c r="AC74" s="198"/>
      <x:c r="AD74" s="198"/>
      <x:c r="AE74" s="198"/>
      <x:c r="AF74" s="215"/>
    </x:row>
    <x:row r="75">
      <x:c r="A75" s="238"/>
      <x:c r="B75" s="215" t="str">
        <x:v>正常</x:v>
      </x:c>
      <x:c r="C75" s="199"/>
      <x:c r="D75" s="223" t="str">
        <x:f>IF(COUNTA(L75:AE75)=0,"",SUMPRODUCT(L75:AE75,'参数'!$C$6:$C$25,'参数'!$D$6:$D$25,INDEX('参数'!$E$6:$J$25,0,MATCH(B75,'参数'!$E$5:$J$5,0)),'参数'!$K$6:$K$25)/SUMPRODUCT('参数'!$C$6:$C$25,'参数'!$D$6:$D$25,INDEX('参数'!$E$6:$J$25,0,MATCH(B75,'参数'!$E$5:$J$5,0)),'参数'!$K$6:$K$25))</x:f>
      </x:c>
      <x:c r="E75" s="223" t="str">
        <x:f>IF(D75="","",SUMPRODUCT(ABS(L75:AE75),'参数'!$C$6:$C$25,'参数'!$D$6:$D$25,INDEX('参数'!$E$6:$J$25,0,MATCH(B75,'参数'!$E$5:$J$5,0)))/SUMPRODUCT('参数'!$C$6:$C$25,'参数'!$D$6:$D$25,INDEX('参数'!$E$6:$J$25,0,MATCH(B75,'参数'!$E$5:$J$5,0))))</x:f>
      </x:c>
      <x:c r="F75" s="194" t="str">
        <x:f>IF(D75="","",IF(D75&gt;='参数'!$B$30,1,IF(D75&lt;=-'参数'!$B$30,-1,0)))</x:f>
      </x:c>
      <x:c r="G75" s="194" t="str">
        <x:f>IF(C75="","",IF(C75&gt;='参数'!$B$37,1,IF(C75&lt;=-'参数'!$B$37,-1,0)))</x:f>
      </x:c>
      <x:c r="H75" s="194" t="str">
        <x:f>IF(OR(F75="",G75=""),"",--(F75=G75))</x:f>
      </x:c>
      <x:c r="I75" s="214" t="str">
        <x:f>IF(D75="","",D75*'参数'!$B$34)</x:f>
      </x:c>
      <x:c r="J75" s="214" t="str">
        <x:f>IF(OR(C75="",I75=""),"",ABS(C75-I75))</x:f>
      </x:c>
      <x:c r="K75" s="194" t="str">
        <x:f>IF(D75="","",IF(MAX(ABS(SUM(L75:M75)),ABS(SUM(N75:P75)),ABS(Q75),ABS(SUM(R75:T75)),ABS(SUM(U75:V75)),ABS(SUM(W75:Y75)),ABS(SUM(Z75:AB75)),ABS(SUM(AC75:AE75)))=ABS(SUM(L75:M75)),"订单流",IF(MAX(ABS(SUM(L75:M75)),ABS(SUM(N75:P75)),ABS(Q75),ABS(SUM(R75:T75)),ABS(SUM(U75:V75)),ABS(SUM(W75:Y75)),ABS(SUM(Z75:AB75)),ABS(SUM(AC75:AE75)))=ABS(SUM(N75:P75)),"流动性",IF(MAX(ABS(SUM(L75:M75)),ABS(SUM(N75:P75)),ABS(Q75),ABS(SUM(R75:T75)),ABS(SUM(U75:V75)),ABS(SUM(W75:Y75)),ABS(SUM(Z75:AB75)),ABS(SUM(AC75:AE75)))=ABS(Q75),"价格行为",IF(MAX(ABS(SUM(L75:M75)),ABS(SUM(N75:P75)),ABS(Q75),ABS(SUM(R75:T75)),ABS(SUM(U75:V75)),ABS(SUM(W75:Y75)),ABS(SUM(Z75:AB75)),ABS(SUM(AC75:AE75)))=ABS(SUM(R75:T75)),"杠杆/清算",IF(MAX(ABS(SUM(L75:M75)),ABS(SUM(N75:P75)),ABS(Q75),ABS(SUM(R75:T75)),ABS(SUM(U75:V75)),ABS(SUM(W75:Y75)),ABS(SUM(Z75:AB75)),ABS(SUM(AC75:AE75)))=ABS(SUM(U75:V75)),"衍生品",IF(MAX(ABS(SUM(L75:M75)),ABS(SUM(N75:P75)),ABS(Q75),ABS(SUM(R75:T75)),ABS(SUM(U75:V75)),ABS(SUM(W75:Y75)),ABS(SUM(Z75:AB75)),ABS(SUM(AC75:AE75)))=ABS(SUM(W75:Y75)),"跨市场",IF(MAX(ABS(SUM(L75:M75)),ABS(SUM(N75:P75)),ABS(Q75),ABS(SUM(R75:T75)),ABS(SUM(U75:V75)),ABS(SUM(W75:Y75)),ABS(SUM(Z75:AB75)),ABS(SUM(AC75:AE75)))=ABS(SUM(Z75:AB75)),"宏观代理","事件"))))))))</x:f>
      </x:c>
      <x:c r="L75" s="198"/>
      <x:c r="M75" s="198"/>
      <x:c r="N75" s="198"/>
      <x:c r="O75" s="198"/>
      <x:c r="P75" s="198"/>
      <x:c r="Q75" s="198"/>
      <x:c r="R75" s="198"/>
      <x:c r="S75" s="198"/>
      <x:c r="T75" s="198"/>
      <x:c r="U75" s="198"/>
      <x:c r="V75" s="198"/>
      <x:c r="W75" s="198"/>
      <x:c r="X75" s="198"/>
      <x:c r="Y75" s="198"/>
      <x:c r="Z75" s="198"/>
      <x:c r="AA75" s="198"/>
      <x:c r="AB75" s="198"/>
      <x:c r="AC75" s="198"/>
      <x:c r="AD75" s="198"/>
      <x:c r="AE75" s="198"/>
      <x:c r="AF75" s="215"/>
    </x:row>
    <x:row r="76">
      <x:c r="A76" s="238"/>
      <x:c r="B76" s="215" t="str">
        <x:v>正常</x:v>
      </x:c>
      <x:c r="C76" s="199"/>
      <x:c r="D76" s="223" t="str">
        <x:f>IF(COUNTA(L76:AE76)=0,"",SUMPRODUCT(L76:AE76,'参数'!$C$6:$C$25,'参数'!$D$6:$D$25,INDEX('参数'!$E$6:$J$25,0,MATCH(B76,'参数'!$E$5:$J$5,0)),'参数'!$K$6:$K$25)/SUMPRODUCT('参数'!$C$6:$C$25,'参数'!$D$6:$D$25,INDEX('参数'!$E$6:$J$25,0,MATCH(B76,'参数'!$E$5:$J$5,0)),'参数'!$K$6:$K$25))</x:f>
      </x:c>
      <x:c r="E76" s="223" t="str">
        <x:f>IF(D76="","",SUMPRODUCT(ABS(L76:AE76),'参数'!$C$6:$C$25,'参数'!$D$6:$D$25,INDEX('参数'!$E$6:$J$25,0,MATCH(B76,'参数'!$E$5:$J$5,0)))/SUMPRODUCT('参数'!$C$6:$C$25,'参数'!$D$6:$D$25,INDEX('参数'!$E$6:$J$25,0,MATCH(B76,'参数'!$E$5:$J$5,0))))</x:f>
      </x:c>
      <x:c r="F76" s="194" t="str">
        <x:f>IF(D76="","",IF(D76&gt;='参数'!$B$30,1,IF(D76&lt;=-'参数'!$B$30,-1,0)))</x:f>
      </x:c>
      <x:c r="G76" s="194" t="str">
        <x:f>IF(C76="","",IF(C76&gt;='参数'!$B$37,1,IF(C76&lt;=-'参数'!$B$37,-1,0)))</x:f>
      </x:c>
      <x:c r="H76" s="194" t="str">
        <x:f>IF(OR(F76="",G76=""),"",--(F76=G76))</x:f>
      </x:c>
      <x:c r="I76" s="214" t="str">
        <x:f>IF(D76="","",D76*'参数'!$B$34)</x:f>
      </x:c>
      <x:c r="J76" s="214" t="str">
        <x:f>IF(OR(C76="",I76=""),"",ABS(C76-I76))</x:f>
      </x:c>
      <x:c r="K76" s="194" t="str">
        <x:f>IF(D76="","",IF(MAX(ABS(SUM(L76:M76)),ABS(SUM(N76:P76)),ABS(Q76),ABS(SUM(R76:T76)),ABS(SUM(U76:V76)),ABS(SUM(W76:Y76)),ABS(SUM(Z76:AB76)),ABS(SUM(AC76:AE76)))=ABS(SUM(L76:M76)),"订单流",IF(MAX(ABS(SUM(L76:M76)),ABS(SUM(N76:P76)),ABS(Q76),ABS(SUM(R76:T76)),ABS(SUM(U76:V76)),ABS(SUM(W76:Y76)),ABS(SUM(Z76:AB76)),ABS(SUM(AC76:AE76)))=ABS(SUM(N76:P76)),"流动性",IF(MAX(ABS(SUM(L76:M76)),ABS(SUM(N76:P76)),ABS(Q76),ABS(SUM(R76:T76)),ABS(SUM(U76:V76)),ABS(SUM(W76:Y76)),ABS(SUM(Z76:AB76)),ABS(SUM(AC76:AE76)))=ABS(Q76),"价格行为",IF(MAX(ABS(SUM(L76:M76)),ABS(SUM(N76:P76)),ABS(Q76),ABS(SUM(R76:T76)),ABS(SUM(U76:V76)),ABS(SUM(W76:Y76)),ABS(SUM(Z76:AB76)),ABS(SUM(AC76:AE76)))=ABS(SUM(R76:T76)),"杠杆/清算",IF(MAX(ABS(SUM(L76:M76)),ABS(SUM(N76:P76)),ABS(Q76),ABS(SUM(R76:T76)),ABS(SUM(U76:V76)),ABS(SUM(W76:Y76)),ABS(SUM(Z76:AB76)),ABS(SUM(AC76:AE76)))=ABS(SUM(U76:V76)),"衍生品",IF(MAX(ABS(SUM(L76:M76)),ABS(SUM(N76:P76)),ABS(Q76),ABS(SUM(R76:T76)),ABS(SUM(U76:V76)),ABS(SUM(W76:Y76)),ABS(SUM(Z76:AB76)),ABS(SUM(AC76:AE76)))=ABS(SUM(W76:Y76)),"跨市场",IF(MAX(ABS(SUM(L76:M76)),ABS(SUM(N76:P76)),ABS(Q76),ABS(SUM(R76:T76)),ABS(SUM(U76:V76)),ABS(SUM(W76:Y76)),ABS(SUM(Z76:AB76)),ABS(SUM(AC76:AE76)))=ABS(SUM(Z76:AB76)),"宏观代理","事件"))))))))</x:f>
      </x:c>
      <x:c r="L76" s="198"/>
      <x:c r="M76" s="198"/>
      <x:c r="N76" s="198"/>
      <x:c r="O76" s="198"/>
      <x:c r="P76" s="198"/>
      <x:c r="Q76" s="198"/>
      <x:c r="R76" s="198"/>
      <x:c r="S76" s="198"/>
      <x:c r="T76" s="198"/>
      <x:c r="U76" s="198"/>
      <x:c r="V76" s="198"/>
      <x:c r="W76" s="198"/>
      <x:c r="X76" s="198"/>
      <x:c r="Y76" s="198"/>
      <x:c r="Z76" s="198"/>
      <x:c r="AA76" s="198"/>
      <x:c r="AB76" s="198"/>
      <x:c r="AC76" s="198"/>
      <x:c r="AD76" s="198"/>
      <x:c r="AE76" s="198"/>
      <x:c r="AF76" s="215"/>
    </x:row>
    <x:row r="77">
      <x:c r="A77" s="238"/>
      <x:c r="B77" s="215" t="str">
        <x:v>正常</x:v>
      </x:c>
      <x:c r="C77" s="199"/>
      <x:c r="D77" s="223" t="str">
        <x:f>IF(COUNTA(L77:AE77)=0,"",SUMPRODUCT(L77:AE77,'参数'!$C$6:$C$25,'参数'!$D$6:$D$25,INDEX('参数'!$E$6:$J$25,0,MATCH(B77,'参数'!$E$5:$J$5,0)),'参数'!$K$6:$K$25)/SUMPRODUCT('参数'!$C$6:$C$25,'参数'!$D$6:$D$25,INDEX('参数'!$E$6:$J$25,0,MATCH(B77,'参数'!$E$5:$J$5,0)),'参数'!$K$6:$K$25))</x:f>
      </x:c>
      <x:c r="E77" s="223" t="str">
        <x:f>IF(D77="","",SUMPRODUCT(ABS(L77:AE77),'参数'!$C$6:$C$25,'参数'!$D$6:$D$25,INDEX('参数'!$E$6:$J$25,0,MATCH(B77,'参数'!$E$5:$J$5,0)))/SUMPRODUCT('参数'!$C$6:$C$25,'参数'!$D$6:$D$25,INDEX('参数'!$E$6:$J$25,0,MATCH(B77,'参数'!$E$5:$J$5,0))))</x:f>
      </x:c>
      <x:c r="F77" s="194" t="str">
        <x:f>IF(D77="","",IF(D77&gt;='参数'!$B$30,1,IF(D77&lt;=-'参数'!$B$30,-1,0)))</x:f>
      </x:c>
      <x:c r="G77" s="194" t="str">
        <x:f>IF(C77="","",IF(C77&gt;='参数'!$B$37,1,IF(C77&lt;=-'参数'!$B$37,-1,0)))</x:f>
      </x:c>
      <x:c r="H77" s="194" t="str">
        <x:f>IF(OR(F77="",G77=""),"",--(F77=G77))</x:f>
      </x:c>
      <x:c r="I77" s="214" t="str">
        <x:f>IF(D77="","",D77*'参数'!$B$34)</x:f>
      </x:c>
      <x:c r="J77" s="214" t="str">
        <x:f>IF(OR(C77="",I77=""),"",ABS(C77-I77))</x:f>
      </x:c>
      <x:c r="K77" s="194" t="str">
        <x:f>IF(D77="","",IF(MAX(ABS(SUM(L77:M77)),ABS(SUM(N77:P77)),ABS(Q77),ABS(SUM(R77:T77)),ABS(SUM(U77:V77)),ABS(SUM(W77:Y77)),ABS(SUM(Z77:AB77)),ABS(SUM(AC77:AE77)))=ABS(SUM(L77:M77)),"订单流",IF(MAX(ABS(SUM(L77:M77)),ABS(SUM(N77:P77)),ABS(Q77),ABS(SUM(R77:T77)),ABS(SUM(U77:V77)),ABS(SUM(W77:Y77)),ABS(SUM(Z77:AB77)),ABS(SUM(AC77:AE77)))=ABS(SUM(N77:P77)),"流动性",IF(MAX(ABS(SUM(L77:M77)),ABS(SUM(N77:P77)),ABS(Q77),ABS(SUM(R77:T77)),ABS(SUM(U77:V77)),ABS(SUM(W77:Y77)),ABS(SUM(Z77:AB77)),ABS(SUM(AC77:AE77)))=ABS(Q77),"价格行为",IF(MAX(ABS(SUM(L77:M77)),ABS(SUM(N77:P77)),ABS(Q77),ABS(SUM(R77:T77)),ABS(SUM(U77:V77)),ABS(SUM(W77:Y77)),ABS(SUM(Z77:AB77)),ABS(SUM(AC77:AE77)))=ABS(SUM(R77:T77)),"杠杆/清算",IF(MAX(ABS(SUM(L77:M77)),ABS(SUM(N77:P77)),ABS(Q77),ABS(SUM(R77:T77)),ABS(SUM(U77:V77)),ABS(SUM(W77:Y77)),ABS(SUM(Z77:AB77)),ABS(SUM(AC77:AE77)))=ABS(SUM(U77:V77)),"衍生品",IF(MAX(ABS(SUM(L77:M77)),ABS(SUM(N77:P77)),ABS(Q77),ABS(SUM(R77:T77)),ABS(SUM(U77:V77)),ABS(SUM(W77:Y77)),ABS(SUM(Z77:AB77)),ABS(SUM(AC77:AE77)))=ABS(SUM(W77:Y77)),"跨市场",IF(MAX(ABS(SUM(L77:M77)),ABS(SUM(N77:P77)),ABS(Q77),ABS(SUM(R77:T77)),ABS(SUM(U77:V77)),ABS(SUM(W77:Y77)),ABS(SUM(Z77:AB77)),ABS(SUM(AC77:AE77)))=ABS(SUM(Z77:AB77)),"宏观代理","事件"))))))))</x:f>
      </x:c>
      <x:c r="L77" s="198"/>
      <x:c r="M77" s="198"/>
      <x:c r="N77" s="198"/>
      <x:c r="O77" s="198"/>
      <x:c r="P77" s="198"/>
      <x:c r="Q77" s="198"/>
      <x:c r="R77" s="198"/>
      <x:c r="S77" s="198"/>
      <x:c r="T77" s="198"/>
      <x:c r="U77" s="198"/>
      <x:c r="V77" s="198"/>
      <x:c r="W77" s="198"/>
      <x:c r="X77" s="198"/>
      <x:c r="Y77" s="198"/>
      <x:c r="Z77" s="198"/>
      <x:c r="AA77" s="198"/>
      <x:c r="AB77" s="198"/>
      <x:c r="AC77" s="198"/>
      <x:c r="AD77" s="198"/>
      <x:c r="AE77" s="198"/>
      <x:c r="AF77" s="215"/>
    </x:row>
    <x:row r="78">
      <x:c r="A78" s="238"/>
      <x:c r="B78" s="215" t="str">
        <x:v>正常</x:v>
      </x:c>
      <x:c r="C78" s="199"/>
      <x:c r="D78" s="223" t="str">
        <x:f>IF(COUNTA(L78:AE78)=0,"",SUMPRODUCT(L78:AE78,'参数'!$C$6:$C$25,'参数'!$D$6:$D$25,INDEX('参数'!$E$6:$J$25,0,MATCH(B78,'参数'!$E$5:$J$5,0)),'参数'!$K$6:$K$25)/SUMPRODUCT('参数'!$C$6:$C$25,'参数'!$D$6:$D$25,INDEX('参数'!$E$6:$J$25,0,MATCH(B78,'参数'!$E$5:$J$5,0)),'参数'!$K$6:$K$25))</x:f>
      </x:c>
      <x:c r="E78" s="223" t="str">
        <x:f>IF(D78="","",SUMPRODUCT(ABS(L78:AE78),'参数'!$C$6:$C$25,'参数'!$D$6:$D$25,INDEX('参数'!$E$6:$J$25,0,MATCH(B78,'参数'!$E$5:$J$5,0)))/SUMPRODUCT('参数'!$C$6:$C$25,'参数'!$D$6:$D$25,INDEX('参数'!$E$6:$J$25,0,MATCH(B78,'参数'!$E$5:$J$5,0))))</x:f>
      </x:c>
      <x:c r="F78" s="194" t="str">
        <x:f>IF(D78="","",IF(D78&gt;='参数'!$B$30,1,IF(D78&lt;=-'参数'!$B$30,-1,0)))</x:f>
      </x:c>
      <x:c r="G78" s="194" t="str">
        <x:f>IF(C78="","",IF(C78&gt;='参数'!$B$37,1,IF(C78&lt;=-'参数'!$B$37,-1,0)))</x:f>
      </x:c>
      <x:c r="H78" s="194" t="str">
        <x:f>IF(OR(F78="",G78=""),"",--(F78=G78))</x:f>
      </x:c>
      <x:c r="I78" s="214" t="str">
        <x:f>IF(D78="","",D78*'参数'!$B$34)</x:f>
      </x:c>
      <x:c r="J78" s="214" t="str">
        <x:f>IF(OR(C78="",I78=""),"",ABS(C78-I78))</x:f>
      </x:c>
      <x:c r="K78" s="194" t="str">
        <x:f>IF(D78="","",IF(MAX(ABS(SUM(L78:M78)),ABS(SUM(N78:P78)),ABS(Q78),ABS(SUM(R78:T78)),ABS(SUM(U78:V78)),ABS(SUM(W78:Y78)),ABS(SUM(Z78:AB78)),ABS(SUM(AC78:AE78)))=ABS(SUM(L78:M78)),"订单流",IF(MAX(ABS(SUM(L78:M78)),ABS(SUM(N78:P78)),ABS(Q78),ABS(SUM(R78:T78)),ABS(SUM(U78:V78)),ABS(SUM(W78:Y78)),ABS(SUM(Z78:AB78)),ABS(SUM(AC78:AE78)))=ABS(SUM(N78:P78)),"流动性",IF(MAX(ABS(SUM(L78:M78)),ABS(SUM(N78:P78)),ABS(Q78),ABS(SUM(R78:T78)),ABS(SUM(U78:V78)),ABS(SUM(W78:Y78)),ABS(SUM(Z78:AB78)),ABS(SUM(AC78:AE78)))=ABS(Q78),"价格行为",IF(MAX(ABS(SUM(L78:M78)),ABS(SUM(N78:P78)),ABS(Q78),ABS(SUM(R78:T78)),ABS(SUM(U78:V78)),ABS(SUM(W78:Y78)),ABS(SUM(Z78:AB78)),ABS(SUM(AC78:AE78)))=ABS(SUM(R78:T78)),"杠杆/清算",IF(MAX(ABS(SUM(L78:M78)),ABS(SUM(N78:P78)),ABS(Q78),ABS(SUM(R78:T78)),ABS(SUM(U78:V78)),ABS(SUM(W78:Y78)),ABS(SUM(Z78:AB78)),ABS(SUM(AC78:AE78)))=ABS(SUM(U78:V78)),"衍生品",IF(MAX(ABS(SUM(L78:M78)),ABS(SUM(N78:P78)),ABS(Q78),ABS(SUM(R78:T78)),ABS(SUM(U78:V78)),ABS(SUM(W78:Y78)),ABS(SUM(Z78:AB78)),ABS(SUM(AC78:AE78)))=ABS(SUM(W78:Y78)),"跨市场",IF(MAX(ABS(SUM(L78:M78)),ABS(SUM(N78:P78)),ABS(Q78),ABS(SUM(R78:T78)),ABS(SUM(U78:V78)),ABS(SUM(W78:Y78)),ABS(SUM(Z78:AB78)),ABS(SUM(AC78:AE78)))=ABS(SUM(Z78:AB78)),"宏观代理","事件"))))))))</x:f>
      </x:c>
      <x:c r="L78" s="198"/>
      <x:c r="M78" s="198"/>
      <x:c r="N78" s="198"/>
      <x:c r="O78" s="198"/>
      <x:c r="P78" s="198"/>
      <x:c r="Q78" s="198"/>
      <x:c r="R78" s="198"/>
      <x:c r="S78" s="198"/>
      <x:c r="T78" s="198"/>
      <x:c r="U78" s="198"/>
      <x:c r="V78" s="198"/>
      <x:c r="W78" s="198"/>
      <x:c r="X78" s="198"/>
      <x:c r="Y78" s="198"/>
      <x:c r="Z78" s="198"/>
      <x:c r="AA78" s="198"/>
      <x:c r="AB78" s="198"/>
      <x:c r="AC78" s="198"/>
      <x:c r="AD78" s="198"/>
      <x:c r="AE78" s="198"/>
      <x:c r="AF78" s="215"/>
    </x:row>
    <x:row r="79">
      <x:c r="A79" s="238"/>
      <x:c r="B79" s="215" t="str">
        <x:v>正常</x:v>
      </x:c>
      <x:c r="C79" s="199"/>
      <x:c r="D79" s="223" t="str">
        <x:f>IF(COUNTA(L79:AE79)=0,"",SUMPRODUCT(L79:AE79,'参数'!$C$6:$C$25,'参数'!$D$6:$D$25,INDEX('参数'!$E$6:$J$25,0,MATCH(B79,'参数'!$E$5:$J$5,0)),'参数'!$K$6:$K$25)/SUMPRODUCT('参数'!$C$6:$C$25,'参数'!$D$6:$D$25,INDEX('参数'!$E$6:$J$25,0,MATCH(B79,'参数'!$E$5:$J$5,0)),'参数'!$K$6:$K$25))</x:f>
      </x:c>
      <x:c r="E79" s="223" t="str">
        <x:f>IF(D79="","",SUMPRODUCT(ABS(L79:AE79),'参数'!$C$6:$C$25,'参数'!$D$6:$D$25,INDEX('参数'!$E$6:$J$25,0,MATCH(B79,'参数'!$E$5:$J$5,0)))/SUMPRODUCT('参数'!$C$6:$C$25,'参数'!$D$6:$D$25,INDEX('参数'!$E$6:$J$25,0,MATCH(B79,'参数'!$E$5:$J$5,0))))</x:f>
      </x:c>
      <x:c r="F79" s="194" t="str">
        <x:f>IF(D79="","",IF(D79&gt;='参数'!$B$30,1,IF(D79&lt;=-'参数'!$B$30,-1,0)))</x:f>
      </x:c>
      <x:c r="G79" s="194" t="str">
        <x:f>IF(C79="","",IF(C79&gt;='参数'!$B$37,1,IF(C79&lt;=-'参数'!$B$37,-1,0)))</x:f>
      </x:c>
      <x:c r="H79" s="194" t="str">
        <x:f>IF(OR(F79="",G79=""),"",--(F79=G79))</x:f>
      </x:c>
      <x:c r="I79" s="214" t="str">
        <x:f>IF(D79="","",D79*'参数'!$B$34)</x:f>
      </x:c>
      <x:c r="J79" s="214" t="str">
        <x:f>IF(OR(C79="",I79=""),"",ABS(C79-I79))</x:f>
      </x:c>
      <x:c r="K79" s="194" t="str">
        <x:f>IF(D79="","",IF(MAX(ABS(SUM(L79:M79)),ABS(SUM(N79:P79)),ABS(Q79),ABS(SUM(R79:T79)),ABS(SUM(U79:V79)),ABS(SUM(W79:Y79)),ABS(SUM(Z79:AB79)),ABS(SUM(AC79:AE79)))=ABS(SUM(L79:M79)),"订单流",IF(MAX(ABS(SUM(L79:M79)),ABS(SUM(N79:P79)),ABS(Q79),ABS(SUM(R79:T79)),ABS(SUM(U79:V79)),ABS(SUM(W79:Y79)),ABS(SUM(Z79:AB79)),ABS(SUM(AC79:AE79)))=ABS(SUM(N79:P79)),"流动性",IF(MAX(ABS(SUM(L79:M79)),ABS(SUM(N79:P79)),ABS(Q79),ABS(SUM(R79:T79)),ABS(SUM(U79:V79)),ABS(SUM(W79:Y79)),ABS(SUM(Z79:AB79)),ABS(SUM(AC79:AE79)))=ABS(Q79),"价格行为",IF(MAX(ABS(SUM(L79:M79)),ABS(SUM(N79:P79)),ABS(Q79),ABS(SUM(R79:T79)),ABS(SUM(U79:V79)),ABS(SUM(W79:Y79)),ABS(SUM(Z79:AB79)),ABS(SUM(AC79:AE79)))=ABS(SUM(R79:T79)),"杠杆/清算",IF(MAX(ABS(SUM(L79:M79)),ABS(SUM(N79:P79)),ABS(Q79),ABS(SUM(R79:T79)),ABS(SUM(U79:V79)),ABS(SUM(W79:Y79)),ABS(SUM(Z79:AB79)),ABS(SUM(AC79:AE79)))=ABS(SUM(U79:V79)),"衍生品",IF(MAX(ABS(SUM(L79:M79)),ABS(SUM(N79:P79)),ABS(Q79),ABS(SUM(R79:T79)),ABS(SUM(U79:V79)),ABS(SUM(W79:Y79)),ABS(SUM(Z79:AB79)),ABS(SUM(AC79:AE79)))=ABS(SUM(W79:Y79)),"跨市场",IF(MAX(ABS(SUM(L79:M79)),ABS(SUM(N79:P79)),ABS(Q79),ABS(SUM(R79:T79)),ABS(SUM(U79:V79)),ABS(SUM(W79:Y79)),ABS(SUM(Z79:AB79)),ABS(SUM(AC79:AE79)))=ABS(SUM(Z79:AB79)),"宏观代理","事件"))))))))</x:f>
      </x:c>
      <x:c r="L79" s="198"/>
      <x:c r="M79" s="198"/>
      <x:c r="N79" s="198"/>
      <x:c r="O79" s="198"/>
      <x:c r="P79" s="198"/>
      <x:c r="Q79" s="198"/>
      <x:c r="R79" s="198"/>
      <x:c r="S79" s="198"/>
      <x:c r="T79" s="198"/>
      <x:c r="U79" s="198"/>
      <x:c r="V79" s="198"/>
      <x:c r="W79" s="198"/>
      <x:c r="X79" s="198"/>
      <x:c r="Y79" s="198"/>
      <x:c r="Z79" s="198"/>
      <x:c r="AA79" s="198"/>
      <x:c r="AB79" s="198"/>
      <x:c r="AC79" s="198"/>
      <x:c r="AD79" s="198"/>
      <x:c r="AE79" s="198"/>
      <x:c r="AF79" s="215"/>
    </x:row>
    <x:row r="80">
      <x:c r="A80" s="238"/>
      <x:c r="B80" s="215" t="str">
        <x:v>正常</x:v>
      </x:c>
      <x:c r="C80" s="199"/>
      <x:c r="D80" s="223" t="str">
        <x:f>IF(COUNTA(L80:AE80)=0,"",SUMPRODUCT(L80:AE80,'参数'!$C$6:$C$25,'参数'!$D$6:$D$25,INDEX('参数'!$E$6:$J$25,0,MATCH(B80,'参数'!$E$5:$J$5,0)),'参数'!$K$6:$K$25)/SUMPRODUCT('参数'!$C$6:$C$25,'参数'!$D$6:$D$25,INDEX('参数'!$E$6:$J$25,0,MATCH(B80,'参数'!$E$5:$J$5,0)),'参数'!$K$6:$K$25))</x:f>
      </x:c>
      <x:c r="E80" s="223" t="str">
        <x:f>IF(D80="","",SUMPRODUCT(ABS(L80:AE80),'参数'!$C$6:$C$25,'参数'!$D$6:$D$25,INDEX('参数'!$E$6:$J$25,0,MATCH(B80,'参数'!$E$5:$J$5,0)))/SUMPRODUCT('参数'!$C$6:$C$25,'参数'!$D$6:$D$25,INDEX('参数'!$E$6:$J$25,0,MATCH(B80,'参数'!$E$5:$J$5,0))))</x:f>
      </x:c>
      <x:c r="F80" s="194" t="str">
        <x:f>IF(D80="","",IF(D80&gt;='参数'!$B$30,1,IF(D80&lt;=-'参数'!$B$30,-1,0)))</x:f>
      </x:c>
      <x:c r="G80" s="194" t="str">
        <x:f>IF(C80="","",IF(C80&gt;='参数'!$B$37,1,IF(C80&lt;=-'参数'!$B$37,-1,0)))</x:f>
      </x:c>
      <x:c r="H80" s="194" t="str">
        <x:f>IF(OR(F80="",G80=""),"",--(F80=G80))</x:f>
      </x:c>
      <x:c r="I80" s="214" t="str">
        <x:f>IF(D80="","",D80*'参数'!$B$34)</x:f>
      </x:c>
      <x:c r="J80" s="214" t="str">
        <x:f>IF(OR(C80="",I80=""),"",ABS(C80-I80))</x:f>
      </x:c>
      <x:c r="K80" s="194" t="str">
        <x:f>IF(D80="","",IF(MAX(ABS(SUM(L80:M80)),ABS(SUM(N80:P80)),ABS(Q80),ABS(SUM(R80:T80)),ABS(SUM(U80:V80)),ABS(SUM(W80:Y80)),ABS(SUM(Z80:AB80)),ABS(SUM(AC80:AE80)))=ABS(SUM(L80:M80)),"订单流",IF(MAX(ABS(SUM(L80:M80)),ABS(SUM(N80:P80)),ABS(Q80),ABS(SUM(R80:T80)),ABS(SUM(U80:V80)),ABS(SUM(W80:Y80)),ABS(SUM(Z80:AB80)),ABS(SUM(AC80:AE80)))=ABS(SUM(N80:P80)),"流动性",IF(MAX(ABS(SUM(L80:M80)),ABS(SUM(N80:P80)),ABS(Q80),ABS(SUM(R80:T80)),ABS(SUM(U80:V80)),ABS(SUM(W80:Y80)),ABS(SUM(Z80:AB80)),ABS(SUM(AC80:AE80)))=ABS(Q80),"价格行为",IF(MAX(ABS(SUM(L80:M80)),ABS(SUM(N80:P80)),ABS(Q80),ABS(SUM(R80:T80)),ABS(SUM(U80:V80)),ABS(SUM(W80:Y80)),ABS(SUM(Z80:AB80)),ABS(SUM(AC80:AE80)))=ABS(SUM(R80:T80)),"杠杆/清算",IF(MAX(ABS(SUM(L80:M80)),ABS(SUM(N80:P80)),ABS(Q80),ABS(SUM(R80:T80)),ABS(SUM(U80:V80)),ABS(SUM(W80:Y80)),ABS(SUM(Z80:AB80)),ABS(SUM(AC80:AE80)))=ABS(SUM(U80:V80)),"衍生品",IF(MAX(ABS(SUM(L80:M80)),ABS(SUM(N80:P80)),ABS(Q80),ABS(SUM(R80:T80)),ABS(SUM(U80:V80)),ABS(SUM(W80:Y80)),ABS(SUM(Z80:AB80)),ABS(SUM(AC80:AE80)))=ABS(SUM(W80:Y80)),"跨市场",IF(MAX(ABS(SUM(L80:M80)),ABS(SUM(N80:P80)),ABS(Q80),ABS(SUM(R80:T80)),ABS(SUM(U80:V80)),ABS(SUM(W80:Y80)),ABS(SUM(Z80:AB80)),ABS(SUM(AC80:AE80)))=ABS(SUM(Z80:AB80)),"宏观代理","事件"))))))))</x:f>
      </x:c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  <x:c r="V80" s="198"/>
      <x:c r="W80" s="198"/>
      <x:c r="X80" s="198"/>
      <x:c r="Y80" s="198"/>
      <x:c r="Z80" s="198"/>
      <x:c r="AA80" s="198"/>
      <x:c r="AB80" s="198"/>
      <x:c r="AC80" s="198"/>
      <x:c r="AD80" s="198"/>
      <x:c r="AE80" s="198"/>
      <x:c r="AF80" s="215"/>
    </x:row>
    <x:row r="81">
      <x:c r="A81" s="238"/>
      <x:c r="B81" s="215" t="str">
        <x:v>正常</x:v>
      </x:c>
      <x:c r="C81" s="199"/>
      <x:c r="D81" s="223" t="str">
        <x:f>IF(COUNTA(L81:AE81)=0,"",SUMPRODUCT(L81:AE81,'参数'!$C$6:$C$25,'参数'!$D$6:$D$25,INDEX('参数'!$E$6:$J$25,0,MATCH(B81,'参数'!$E$5:$J$5,0)),'参数'!$K$6:$K$25)/SUMPRODUCT('参数'!$C$6:$C$25,'参数'!$D$6:$D$25,INDEX('参数'!$E$6:$J$25,0,MATCH(B81,'参数'!$E$5:$J$5,0)),'参数'!$K$6:$K$25))</x:f>
      </x:c>
      <x:c r="E81" s="223" t="str">
        <x:f>IF(D81="","",SUMPRODUCT(ABS(L81:AE81),'参数'!$C$6:$C$25,'参数'!$D$6:$D$25,INDEX('参数'!$E$6:$J$25,0,MATCH(B81,'参数'!$E$5:$J$5,0)))/SUMPRODUCT('参数'!$C$6:$C$25,'参数'!$D$6:$D$25,INDEX('参数'!$E$6:$J$25,0,MATCH(B81,'参数'!$E$5:$J$5,0))))</x:f>
      </x:c>
      <x:c r="F81" s="194" t="str">
        <x:f>IF(D81="","",IF(D81&gt;='参数'!$B$30,1,IF(D81&lt;=-'参数'!$B$30,-1,0)))</x:f>
      </x:c>
      <x:c r="G81" s="194" t="str">
        <x:f>IF(C81="","",IF(C81&gt;='参数'!$B$37,1,IF(C81&lt;=-'参数'!$B$37,-1,0)))</x:f>
      </x:c>
      <x:c r="H81" s="194" t="str">
        <x:f>IF(OR(F81="",G81=""),"",--(F81=G81))</x:f>
      </x:c>
      <x:c r="I81" s="214" t="str">
        <x:f>IF(D81="","",D81*'参数'!$B$34)</x:f>
      </x:c>
      <x:c r="J81" s="214" t="str">
        <x:f>IF(OR(C81="",I81=""),"",ABS(C81-I81))</x:f>
      </x:c>
      <x:c r="K81" s="194" t="str">
        <x:f>IF(D81="","",IF(MAX(ABS(SUM(L81:M81)),ABS(SUM(N81:P81)),ABS(Q81),ABS(SUM(R81:T81)),ABS(SUM(U81:V81)),ABS(SUM(W81:Y81)),ABS(SUM(Z81:AB81)),ABS(SUM(AC81:AE81)))=ABS(SUM(L81:M81)),"订单流",IF(MAX(ABS(SUM(L81:M81)),ABS(SUM(N81:P81)),ABS(Q81),ABS(SUM(R81:T81)),ABS(SUM(U81:V81)),ABS(SUM(W81:Y81)),ABS(SUM(Z81:AB81)),ABS(SUM(AC81:AE81)))=ABS(SUM(N81:P81)),"流动性",IF(MAX(ABS(SUM(L81:M81)),ABS(SUM(N81:P81)),ABS(Q81),ABS(SUM(R81:T81)),ABS(SUM(U81:V81)),ABS(SUM(W81:Y81)),ABS(SUM(Z81:AB81)),ABS(SUM(AC81:AE81)))=ABS(Q81),"价格行为",IF(MAX(ABS(SUM(L81:M81)),ABS(SUM(N81:P81)),ABS(Q81),ABS(SUM(R81:T81)),ABS(SUM(U81:V81)),ABS(SUM(W81:Y81)),ABS(SUM(Z81:AB81)),ABS(SUM(AC81:AE81)))=ABS(SUM(R81:T81)),"杠杆/清算",IF(MAX(ABS(SUM(L81:M81)),ABS(SUM(N81:P81)),ABS(Q81),ABS(SUM(R81:T81)),ABS(SUM(U81:V81)),ABS(SUM(W81:Y81)),ABS(SUM(Z81:AB81)),ABS(SUM(AC81:AE81)))=ABS(SUM(U81:V81)),"衍生品",IF(MAX(ABS(SUM(L81:M81)),ABS(SUM(N81:P81)),ABS(Q81),ABS(SUM(R81:T81)),ABS(SUM(U81:V81)),ABS(SUM(W81:Y81)),ABS(SUM(Z81:AB81)),ABS(SUM(AC81:AE81)))=ABS(SUM(W81:Y81)),"跨市场",IF(MAX(ABS(SUM(L81:M81)),ABS(SUM(N81:P81)),ABS(Q81),ABS(SUM(R81:T81)),ABS(SUM(U81:V81)),ABS(SUM(W81:Y81)),ABS(SUM(Z81:AB81)),ABS(SUM(AC81:AE81)))=ABS(SUM(Z81:AB81)),"宏观代理","事件"))))))))</x:f>
      </x:c>
      <x:c r="L81" s="198"/>
      <x:c r="M81" s="198"/>
      <x:c r="N81" s="198"/>
      <x:c r="O81" s="198"/>
      <x:c r="P81" s="198"/>
      <x:c r="Q81" s="198"/>
      <x:c r="R81" s="198"/>
      <x:c r="S81" s="198"/>
      <x:c r="T81" s="198"/>
      <x:c r="U81" s="198"/>
      <x:c r="V81" s="198"/>
      <x:c r="W81" s="198"/>
      <x:c r="X81" s="198"/>
      <x:c r="Y81" s="198"/>
      <x:c r="Z81" s="198"/>
      <x:c r="AA81" s="198"/>
      <x:c r="AB81" s="198"/>
      <x:c r="AC81" s="198"/>
      <x:c r="AD81" s="198"/>
      <x:c r="AE81" s="198"/>
      <x:c r="AF81" s="215"/>
    </x:row>
    <x:row r="82">
      <x:c r="A82" s="238"/>
      <x:c r="B82" s="215" t="str">
        <x:v>正常</x:v>
      </x:c>
      <x:c r="C82" s="199"/>
      <x:c r="D82" s="223" t="str">
        <x:f>IF(COUNTA(L82:AE82)=0,"",SUMPRODUCT(L82:AE82,'参数'!$C$6:$C$25,'参数'!$D$6:$D$25,INDEX('参数'!$E$6:$J$25,0,MATCH(B82,'参数'!$E$5:$J$5,0)),'参数'!$K$6:$K$25)/SUMPRODUCT('参数'!$C$6:$C$25,'参数'!$D$6:$D$25,INDEX('参数'!$E$6:$J$25,0,MATCH(B82,'参数'!$E$5:$J$5,0)),'参数'!$K$6:$K$25))</x:f>
      </x:c>
      <x:c r="E82" s="223" t="str">
        <x:f>IF(D82="","",SUMPRODUCT(ABS(L82:AE82),'参数'!$C$6:$C$25,'参数'!$D$6:$D$25,INDEX('参数'!$E$6:$J$25,0,MATCH(B82,'参数'!$E$5:$J$5,0)))/SUMPRODUCT('参数'!$C$6:$C$25,'参数'!$D$6:$D$25,INDEX('参数'!$E$6:$J$25,0,MATCH(B82,'参数'!$E$5:$J$5,0))))</x:f>
      </x:c>
      <x:c r="F82" s="194" t="str">
        <x:f>IF(D82="","",IF(D82&gt;='参数'!$B$30,1,IF(D82&lt;=-'参数'!$B$30,-1,0)))</x:f>
      </x:c>
      <x:c r="G82" s="194" t="str">
        <x:f>IF(C82="","",IF(C82&gt;='参数'!$B$37,1,IF(C82&lt;=-'参数'!$B$37,-1,0)))</x:f>
      </x:c>
      <x:c r="H82" s="194" t="str">
        <x:f>IF(OR(F82="",G82=""),"",--(F82=G82))</x:f>
      </x:c>
      <x:c r="I82" s="214" t="str">
        <x:f>IF(D82="","",D82*'参数'!$B$34)</x:f>
      </x:c>
      <x:c r="J82" s="214" t="str">
        <x:f>IF(OR(C82="",I82=""),"",ABS(C82-I82))</x:f>
      </x:c>
      <x:c r="K82" s="194" t="str">
        <x:f>IF(D82="","",IF(MAX(ABS(SUM(L82:M82)),ABS(SUM(N82:P82)),ABS(Q82),ABS(SUM(R82:T82)),ABS(SUM(U82:V82)),ABS(SUM(W82:Y82)),ABS(SUM(Z82:AB82)),ABS(SUM(AC82:AE82)))=ABS(SUM(L82:M82)),"订单流",IF(MAX(ABS(SUM(L82:M82)),ABS(SUM(N82:P82)),ABS(Q82),ABS(SUM(R82:T82)),ABS(SUM(U82:V82)),ABS(SUM(W82:Y82)),ABS(SUM(Z82:AB82)),ABS(SUM(AC82:AE82)))=ABS(SUM(N82:P82)),"流动性",IF(MAX(ABS(SUM(L82:M82)),ABS(SUM(N82:P82)),ABS(Q82),ABS(SUM(R82:T82)),ABS(SUM(U82:V82)),ABS(SUM(W82:Y82)),ABS(SUM(Z82:AB82)),ABS(SUM(AC82:AE82)))=ABS(Q82),"价格行为",IF(MAX(ABS(SUM(L82:M82)),ABS(SUM(N82:P82)),ABS(Q82),ABS(SUM(R82:T82)),ABS(SUM(U82:V82)),ABS(SUM(W82:Y82)),ABS(SUM(Z82:AB82)),ABS(SUM(AC82:AE82)))=ABS(SUM(R82:T82)),"杠杆/清算",IF(MAX(ABS(SUM(L82:M82)),ABS(SUM(N82:P82)),ABS(Q82),ABS(SUM(R82:T82)),ABS(SUM(U82:V82)),ABS(SUM(W82:Y82)),ABS(SUM(Z82:AB82)),ABS(SUM(AC82:AE82)))=ABS(SUM(U82:V82)),"衍生品",IF(MAX(ABS(SUM(L82:M82)),ABS(SUM(N82:P82)),ABS(Q82),ABS(SUM(R82:T82)),ABS(SUM(U82:V82)),ABS(SUM(W82:Y82)),ABS(SUM(Z82:AB82)),ABS(SUM(AC82:AE82)))=ABS(SUM(W82:Y82)),"跨市场",IF(MAX(ABS(SUM(L82:M82)),ABS(SUM(N82:P82)),ABS(Q82),ABS(SUM(R82:T82)),ABS(SUM(U82:V82)),ABS(SUM(W82:Y82)),ABS(SUM(Z82:AB82)),ABS(SUM(AC82:AE82)))=ABS(SUM(Z82:AB82)),"宏观代理","事件"))))))))</x:f>
      </x:c>
      <x:c r="L82" s="198"/>
      <x:c r="M82" s="198"/>
      <x:c r="N82" s="198"/>
      <x:c r="O82" s="198"/>
      <x:c r="P82" s="198"/>
      <x:c r="Q82" s="198"/>
      <x:c r="R82" s="198"/>
      <x:c r="S82" s="198"/>
      <x:c r="T82" s="198"/>
      <x:c r="U82" s="198"/>
      <x:c r="V82" s="198"/>
      <x:c r="W82" s="198"/>
      <x:c r="X82" s="198"/>
      <x:c r="Y82" s="198"/>
      <x:c r="Z82" s="198"/>
      <x:c r="AA82" s="198"/>
      <x:c r="AB82" s="198"/>
      <x:c r="AC82" s="198"/>
      <x:c r="AD82" s="198"/>
      <x:c r="AE82" s="198"/>
      <x:c r="AF82" s="215"/>
    </x:row>
    <x:row r="83">
      <x:c r="A83" s="238"/>
      <x:c r="B83" s="215" t="str">
        <x:v>正常</x:v>
      </x:c>
      <x:c r="C83" s="199"/>
      <x:c r="D83" s="223" t="str">
        <x:f>IF(COUNTA(L83:AE83)=0,"",SUMPRODUCT(L83:AE83,'参数'!$C$6:$C$25,'参数'!$D$6:$D$25,INDEX('参数'!$E$6:$J$25,0,MATCH(B83,'参数'!$E$5:$J$5,0)),'参数'!$K$6:$K$25)/SUMPRODUCT('参数'!$C$6:$C$25,'参数'!$D$6:$D$25,INDEX('参数'!$E$6:$J$25,0,MATCH(B83,'参数'!$E$5:$J$5,0)),'参数'!$K$6:$K$25))</x:f>
      </x:c>
      <x:c r="E83" s="223" t="str">
        <x:f>IF(D83="","",SUMPRODUCT(ABS(L83:AE83),'参数'!$C$6:$C$25,'参数'!$D$6:$D$25,INDEX('参数'!$E$6:$J$25,0,MATCH(B83,'参数'!$E$5:$J$5,0)))/SUMPRODUCT('参数'!$C$6:$C$25,'参数'!$D$6:$D$25,INDEX('参数'!$E$6:$J$25,0,MATCH(B83,'参数'!$E$5:$J$5,0))))</x:f>
      </x:c>
      <x:c r="F83" s="194" t="str">
        <x:f>IF(D83="","",IF(D83&gt;='参数'!$B$30,1,IF(D83&lt;=-'参数'!$B$30,-1,0)))</x:f>
      </x:c>
      <x:c r="G83" s="194" t="str">
        <x:f>IF(C83="","",IF(C83&gt;='参数'!$B$37,1,IF(C83&lt;=-'参数'!$B$37,-1,0)))</x:f>
      </x:c>
      <x:c r="H83" s="194" t="str">
        <x:f>IF(OR(F83="",G83=""),"",--(F83=G83))</x:f>
      </x:c>
      <x:c r="I83" s="214" t="str">
        <x:f>IF(D83="","",D83*'参数'!$B$34)</x:f>
      </x:c>
      <x:c r="J83" s="214" t="str">
        <x:f>IF(OR(C83="",I83=""),"",ABS(C83-I83))</x:f>
      </x:c>
      <x:c r="K83" s="194" t="str">
        <x:f>IF(D83="","",IF(MAX(ABS(SUM(L83:M83)),ABS(SUM(N83:P83)),ABS(Q83),ABS(SUM(R83:T83)),ABS(SUM(U83:V83)),ABS(SUM(W83:Y83)),ABS(SUM(Z83:AB83)),ABS(SUM(AC83:AE83)))=ABS(SUM(L83:M83)),"订单流",IF(MAX(ABS(SUM(L83:M83)),ABS(SUM(N83:P83)),ABS(Q83),ABS(SUM(R83:T83)),ABS(SUM(U83:V83)),ABS(SUM(W83:Y83)),ABS(SUM(Z83:AB83)),ABS(SUM(AC83:AE83)))=ABS(SUM(N83:P83)),"流动性",IF(MAX(ABS(SUM(L83:M83)),ABS(SUM(N83:P83)),ABS(Q83),ABS(SUM(R83:T83)),ABS(SUM(U83:V83)),ABS(SUM(W83:Y83)),ABS(SUM(Z83:AB83)),ABS(SUM(AC83:AE83)))=ABS(Q83),"价格行为",IF(MAX(ABS(SUM(L83:M83)),ABS(SUM(N83:P83)),ABS(Q83),ABS(SUM(R83:T83)),ABS(SUM(U83:V83)),ABS(SUM(W83:Y83)),ABS(SUM(Z83:AB83)),ABS(SUM(AC83:AE83)))=ABS(SUM(R83:T83)),"杠杆/清算",IF(MAX(ABS(SUM(L83:M83)),ABS(SUM(N83:P83)),ABS(Q83),ABS(SUM(R83:T83)),ABS(SUM(U83:V83)),ABS(SUM(W83:Y83)),ABS(SUM(Z83:AB83)),ABS(SUM(AC83:AE83)))=ABS(SUM(U83:V83)),"衍生品",IF(MAX(ABS(SUM(L83:M83)),ABS(SUM(N83:P83)),ABS(Q83),ABS(SUM(R83:T83)),ABS(SUM(U83:V83)),ABS(SUM(W83:Y83)),ABS(SUM(Z83:AB83)),ABS(SUM(AC83:AE83)))=ABS(SUM(W83:Y83)),"跨市场",IF(MAX(ABS(SUM(L83:M83)),ABS(SUM(N83:P83)),ABS(Q83),ABS(SUM(R83:T83)),ABS(SUM(U83:V83)),ABS(SUM(W83:Y83)),ABS(SUM(Z83:AB83)),ABS(SUM(AC83:AE83)))=ABS(SUM(Z83:AB83)),"宏观代理","事件"))))))))</x:f>
      </x:c>
      <x:c r="L83" s="198"/>
      <x:c r="M83" s="198"/>
      <x:c r="N83" s="198"/>
      <x:c r="O83" s="198"/>
      <x:c r="P83" s="198"/>
      <x:c r="Q83" s="198"/>
      <x:c r="R83" s="198"/>
      <x:c r="S83" s="198"/>
      <x:c r="T83" s="198"/>
      <x:c r="U83" s="198"/>
      <x:c r="V83" s="198"/>
      <x:c r="W83" s="198"/>
      <x:c r="X83" s="198"/>
      <x:c r="Y83" s="198"/>
      <x:c r="Z83" s="198"/>
      <x:c r="AA83" s="198"/>
      <x:c r="AB83" s="198"/>
      <x:c r="AC83" s="198"/>
      <x:c r="AD83" s="198"/>
      <x:c r="AE83" s="198"/>
      <x:c r="AF83" s="215"/>
    </x:row>
    <x:row r="84">
      <x:c r="A84" s="238"/>
      <x:c r="B84" s="215" t="str">
        <x:v>正常</x:v>
      </x:c>
      <x:c r="C84" s="199"/>
      <x:c r="D84" s="223" t="str">
        <x:f>IF(COUNTA(L84:AE84)=0,"",SUMPRODUCT(L84:AE84,'参数'!$C$6:$C$25,'参数'!$D$6:$D$25,INDEX('参数'!$E$6:$J$25,0,MATCH(B84,'参数'!$E$5:$J$5,0)),'参数'!$K$6:$K$25)/SUMPRODUCT('参数'!$C$6:$C$25,'参数'!$D$6:$D$25,INDEX('参数'!$E$6:$J$25,0,MATCH(B84,'参数'!$E$5:$J$5,0)),'参数'!$K$6:$K$25))</x:f>
      </x:c>
      <x:c r="E84" s="223" t="str">
        <x:f>IF(D84="","",SUMPRODUCT(ABS(L84:AE84),'参数'!$C$6:$C$25,'参数'!$D$6:$D$25,INDEX('参数'!$E$6:$J$25,0,MATCH(B84,'参数'!$E$5:$J$5,0)))/SUMPRODUCT('参数'!$C$6:$C$25,'参数'!$D$6:$D$25,INDEX('参数'!$E$6:$J$25,0,MATCH(B84,'参数'!$E$5:$J$5,0))))</x:f>
      </x:c>
      <x:c r="F84" s="194" t="str">
        <x:f>IF(D84="","",IF(D84&gt;='参数'!$B$30,1,IF(D84&lt;=-'参数'!$B$30,-1,0)))</x:f>
      </x:c>
      <x:c r="G84" s="194" t="str">
        <x:f>IF(C84="","",IF(C84&gt;='参数'!$B$37,1,IF(C84&lt;=-'参数'!$B$37,-1,0)))</x:f>
      </x:c>
      <x:c r="H84" s="194" t="str">
        <x:f>IF(OR(F84="",G84=""),"",--(F84=G84))</x:f>
      </x:c>
      <x:c r="I84" s="214" t="str">
        <x:f>IF(D84="","",D84*'参数'!$B$34)</x:f>
      </x:c>
      <x:c r="J84" s="214" t="str">
        <x:f>IF(OR(C84="",I84=""),"",ABS(C84-I84))</x:f>
      </x:c>
      <x:c r="K84" s="194" t="str">
        <x:f>IF(D84="","",IF(MAX(ABS(SUM(L84:M84)),ABS(SUM(N84:P84)),ABS(Q84),ABS(SUM(R84:T84)),ABS(SUM(U84:V84)),ABS(SUM(W84:Y84)),ABS(SUM(Z84:AB84)),ABS(SUM(AC84:AE84)))=ABS(SUM(L84:M84)),"订单流",IF(MAX(ABS(SUM(L84:M84)),ABS(SUM(N84:P84)),ABS(Q84),ABS(SUM(R84:T84)),ABS(SUM(U84:V84)),ABS(SUM(W84:Y84)),ABS(SUM(Z84:AB84)),ABS(SUM(AC84:AE84)))=ABS(SUM(N84:P84)),"流动性",IF(MAX(ABS(SUM(L84:M84)),ABS(SUM(N84:P84)),ABS(Q84),ABS(SUM(R84:T84)),ABS(SUM(U84:V84)),ABS(SUM(W84:Y84)),ABS(SUM(Z84:AB84)),ABS(SUM(AC84:AE84)))=ABS(Q84),"价格行为",IF(MAX(ABS(SUM(L84:M84)),ABS(SUM(N84:P84)),ABS(Q84),ABS(SUM(R84:T84)),ABS(SUM(U84:V84)),ABS(SUM(W84:Y84)),ABS(SUM(Z84:AB84)),ABS(SUM(AC84:AE84)))=ABS(SUM(R84:T84)),"杠杆/清算",IF(MAX(ABS(SUM(L84:M84)),ABS(SUM(N84:P84)),ABS(Q84),ABS(SUM(R84:T84)),ABS(SUM(U84:V84)),ABS(SUM(W84:Y84)),ABS(SUM(Z84:AB84)),ABS(SUM(AC84:AE84)))=ABS(SUM(U84:V84)),"衍生品",IF(MAX(ABS(SUM(L84:M84)),ABS(SUM(N84:P84)),ABS(Q84),ABS(SUM(R84:T84)),ABS(SUM(U84:V84)),ABS(SUM(W84:Y84)),ABS(SUM(Z84:AB84)),ABS(SUM(AC84:AE84)))=ABS(SUM(W84:Y84)),"跨市场",IF(MAX(ABS(SUM(L84:M84)),ABS(SUM(N84:P84)),ABS(Q84),ABS(SUM(R84:T84)),ABS(SUM(U84:V84)),ABS(SUM(W84:Y84)),ABS(SUM(Z84:AB84)),ABS(SUM(AC84:AE84)))=ABS(SUM(Z84:AB84)),"宏观代理","事件"))))))))</x:f>
      </x:c>
      <x:c r="L84" s="198"/>
      <x:c r="M84" s="198"/>
      <x:c r="N84" s="198"/>
      <x:c r="O84" s="198"/>
      <x:c r="P84" s="198"/>
      <x:c r="Q84" s="198"/>
      <x:c r="R84" s="198"/>
      <x:c r="S84" s="198"/>
      <x:c r="T84" s="198"/>
      <x:c r="U84" s="198"/>
      <x:c r="V84" s="198"/>
      <x:c r="W84" s="198"/>
      <x:c r="X84" s="198"/>
      <x:c r="Y84" s="198"/>
      <x:c r="Z84" s="198"/>
      <x:c r="AA84" s="198"/>
      <x:c r="AB84" s="198"/>
      <x:c r="AC84" s="198"/>
      <x:c r="AD84" s="198"/>
      <x:c r="AE84" s="198"/>
      <x:c r="AF84" s="215"/>
    </x:row>
    <x:row r="85">
      <x:c r="A85" s="238"/>
      <x:c r="B85" s="215" t="str">
        <x:v>正常</x:v>
      </x:c>
      <x:c r="C85" s="199"/>
      <x:c r="D85" s="223" t="str">
        <x:f>IF(COUNTA(L85:AE85)=0,"",SUMPRODUCT(L85:AE85,'参数'!$C$6:$C$25,'参数'!$D$6:$D$25,INDEX('参数'!$E$6:$J$25,0,MATCH(B85,'参数'!$E$5:$J$5,0)),'参数'!$K$6:$K$25)/SUMPRODUCT('参数'!$C$6:$C$25,'参数'!$D$6:$D$25,INDEX('参数'!$E$6:$J$25,0,MATCH(B85,'参数'!$E$5:$J$5,0)),'参数'!$K$6:$K$25))</x:f>
      </x:c>
      <x:c r="E85" s="223" t="str">
        <x:f>IF(D85="","",SUMPRODUCT(ABS(L85:AE85),'参数'!$C$6:$C$25,'参数'!$D$6:$D$25,INDEX('参数'!$E$6:$J$25,0,MATCH(B85,'参数'!$E$5:$J$5,0)))/SUMPRODUCT('参数'!$C$6:$C$25,'参数'!$D$6:$D$25,INDEX('参数'!$E$6:$J$25,0,MATCH(B85,'参数'!$E$5:$J$5,0))))</x:f>
      </x:c>
      <x:c r="F85" s="194" t="str">
        <x:f>IF(D85="","",IF(D85&gt;='参数'!$B$30,1,IF(D85&lt;=-'参数'!$B$30,-1,0)))</x:f>
      </x:c>
      <x:c r="G85" s="194" t="str">
        <x:f>IF(C85="","",IF(C85&gt;='参数'!$B$37,1,IF(C85&lt;=-'参数'!$B$37,-1,0)))</x:f>
      </x:c>
      <x:c r="H85" s="194" t="str">
        <x:f>IF(OR(F85="",G85=""),"",--(F85=G85))</x:f>
      </x:c>
      <x:c r="I85" s="214" t="str">
        <x:f>IF(D85="","",D85*'参数'!$B$34)</x:f>
      </x:c>
      <x:c r="J85" s="214" t="str">
        <x:f>IF(OR(C85="",I85=""),"",ABS(C85-I85))</x:f>
      </x:c>
      <x:c r="K85" s="194" t="str">
        <x:f>IF(D85="","",IF(MAX(ABS(SUM(L85:M85)),ABS(SUM(N85:P85)),ABS(Q85),ABS(SUM(R85:T85)),ABS(SUM(U85:V85)),ABS(SUM(W85:Y85)),ABS(SUM(Z85:AB85)),ABS(SUM(AC85:AE85)))=ABS(SUM(L85:M85)),"订单流",IF(MAX(ABS(SUM(L85:M85)),ABS(SUM(N85:P85)),ABS(Q85),ABS(SUM(R85:T85)),ABS(SUM(U85:V85)),ABS(SUM(W85:Y85)),ABS(SUM(Z85:AB85)),ABS(SUM(AC85:AE85)))=ABS(SUM(N85:P85)),"流动性",IF(MAX(ABS(SUM(L85:M85)),ABS(SUM(N85:P85)),ABS(Q85),ABS(SUM(R85:T85)),ABS(SUM(U85:V85)),ABS(SUM(W85:Y85)),ABS(SUM(Z85:AB85)),ABS(SUM(AC85:AE85)))=ABS(Q85),"价格行为",IF(MAX(ABS(SUM(L85:M85)),ABS(SUM(N85:P85)),ABS(Q85),ABS(SUM(R85:T85)),ABS(SUM(U85:V85)),ABS(SUM(W85:Y85)),ABS(SUM(Z85:AB85)),ABS(SUM(AC85:AE85)))=ABS(SUM(R85:T85)),"杠杆/清算",IF(MAX(ABS(SUM(L85:M85)),ABS(SUM(N85:P85)),ABS(Q85),ABS(SUM(R85:T85)),ABS(SUM(U85:V85)),ABS(SUM(W85:Y85)),ABS(SUM(Z85:AB85)),ABS(SUM(AC85:AE85)))=ABS(SUM(U85:V85)),"衍生品",IF(MAX(ABS(SUM(L85:M85)),ABS(SUM(N85:P85)),ABS(Q85),ABS(SUM(R85:T85)),ABS(SUM(U85:V85)),ABS(SUM(W85:Y85)),ABS(SUM(Z85:AB85)),ABS(SUM(AC85:AE85)))=ABS(SUM(W85:Y85)),"跨市场",IF(MAX(ABS(SUM(L85:M85)),ABS(SUM(N85:P85)),ABS(Q85),ABS(SUM(R85:T85)),ABS(SUM(U85:V85)),ABS(SUM(W85:Y85)),ABS(SUM(Z85:AB85)),ABS(SUM(AC85:AE85)))=ABS(SUM(Z85:AB85)),"宏观代理","事件"))))))))</x:f>
      </x:c>
      <x:c r="L85" s="198"/>
      <x:c r="M85" s="198"/>
      <x:c r="N85" s="198"/>
      <x:c r="O85" s="198"/>
      <x:c r="P85" s="198"/>
      <x:c r="Q85" s="198"/>
      <x:c r="R85" s="198"/>
      <x:c r="S85" s="198"/>
      <x:c r="T85" s="198"/>
      <x:c r="U85" s="198"/>
      <x:c r="V85" s="198"/>
      <x:c r="W85" s="198"/>
      <x:c r="X85" s="198"/>
      <x:c r="Y85" s="198"/>
      <x:c r="Z85" s="198"/>
      <x:c r="AA85" s="198"/>
      <x:c r="AB85" s="198"/>
      <x:c r="AC85" s="198"/>
      <x:c r="AD85" s="198"/>
      <x:c r="AE85" s="198"/>
      <x:c r="AF85" s="215"/>
    </x:row>
    <x:row r="86">
      <x:c r="A86" s="238"/>
      <x:c r="B86" s="215" t="str">
        <x:v>正常</x:v>
      </x:c>
      <x:c r="C86" s="199"/>
      <x:c r="D86" s="223" t="str">
        <x:f>IF(COUNTA(L86:AE86)=0,"",SUMPRODUCT(L86:AE86,'参数'!$C$6:$C$25,'参数'!$D$6:$D$25,INDEX('参数'!$E$6:$J$25,0,MATCH(B86,'参数'!$E$5:$J$5,0)),'参数'!$K$6:$K$25)/SUMPRODUCT('参数'!$C$6:$C$25,'参数'!$D$6:$D$25,INDEX('参数'!$E$6:$J$25,0,MATCH(B86,'参数'!$E$5:$J$5,0)),'参数'!$K$6:$K$25))</x:f>
      </x:c>
      <x:c r="E86" s="223" t="str">
        <x:f>IF(D86="","",SUMPRODUCT(ABS(L86:AE86),'参数'!$C$6:$C$25,'参数'!$D$6:$D$25,INDEX('参数'!$E$6:$J$25,0,MATCH(B86,'参数'!$E$5:$J$5,0)))/SUMPRODUCT('参数'!$C$6:$C$25,'参数'!$D$6:$D$25,INDEX('参数'!$E$6:$J$25,0,MATCH(B86,'参数'!$E$5:$J$5,0))))</x:f>
      </x:c>
      <x:c r="F86" s="194" t="str">
        <x:f>IF(D86="","",IF(D86&gt;='参数'!$B$30,1,IF(D86&lt;=-'参数'!$B$30,-1,0)))</x:f>
      </x:c>
      <x:c r="G86" s="194" t="str">
        <x:f>IF(C86="","",IF(C86&gt;='参数'!$B$37,1,IF(C86&lt;=-'参数'!$B$37,-1,0)))</x:f>
      </x:c>
      <x:c r="H86" s="194" t="str">
        <x:f>IF(OR(F86="",G86=""),"",--(F86=G86))</x:f>
      </x:c>
      <x:c r="I86" s="214" t="str">
        <x:f>IF(D86="","",D86*'参数'!$B$34)</x:f>
      </x:c>
      <x:c r="J86" s="214" t="str">
        <x:f>IF(OR(C86="",I86=""),"",ABS(C86-I86))</x:f>
      </x:c>
      <x:c r="K86" s="194" t="str">
        <x:f>IF(D86="","",IF(MAX(ABS(SUM(L86:M86)),ABS(SUM(N86:P86)),ABS(Q86),ABS(SUM(R86:T86)),ABS(SUM(U86:V86)),ABS(SUM(W86:Y86)),ABS(SUM(Z86:AB86)),ABS(SUM(AC86:AE86)))=ABS(SUM(L86:M86)),"订单流",IF(MAX(ABS(SUM(L86:M86)),ABS(SUM(N86:P86)),ABS(Q86),ABS(SUM(R86:T86)),ABS(SUM(U86:V86)),ABS(SUM(W86:Y86)),ABS(SUM(Z86:AB86)),ABS(SUM(AC86:AE86)))=ABS(SUM(N86:P86)),"流动性",IF(MAX(ABS(SUM(L86:M86)),ABS(SUM(N86:P86)),ABS(Q86),ABS(SUM(R86:T86)),ABS(SUM(U86:V86)),ABS(SUM(W86:Y86)),ABS(SUM(Z86:AB86)),ABS(SUM(AC86:AE86)))=ABS(Q86),"价格行为",IF(MAX(ABS(SUM(L86:M86)),ABS(SUM(N86:P86)),ABS(Q86),ABS(SUM(R86:T86)),ABS(SUM(U86:V86)),ABS(SUM(W86:Y86)),ABS(SUM(Z86:AB86)),ABS(SUM(AC86:AE86)))=ABS(SUM(R86:T86)),"杠杆/清算",IF(MAX(ABS(SUM(L86:M86)),ABS(SUM(N86:P86)),ABS(Q86),ABS(SUM(R86:T86)),ABS(SUM(U86:V86)),ABS(SUM(W86:Y86)),ABS(SUM(Z86:AB86)),ABS(SUM(AC86:AE86)))=ABS(SUM(U86:V86)),"衍生品",IF(MAX(ABS(SUM(L86:M86)),ABS(SUM(N86:P86)),ABS(Q86),ABS(SUM(R86:T86)),ABS(SUM(U86:V86)),ABS(SUM(W86:Y86)),ABS(SUM(Z86:AB86)),ABS(SUM(AC86:AE86)))=ABS(SUM(W86:Y86)),"跨市场",IF(MAX(ABS(SUM(L86:M86)),ABS(SUM(N86:P86)),ABS(Q86),ABS(SUM(R86:T86)),ABS(SUM(U86:V86)),ABS(SUM(W86:Y86)),ABS(SUM(Z86:AB86)),ABS(SUM(AC86:AE86)))=ABS(SUM(Z86:AB86)),"宏观代理","事件"))))))))</x:f>
      </x:c>
      <x:c r="L86" s="198"/>
      <x:c r="M86" s="198"/>
      <x:c r="N86" s="198"/>
      <x:c r="O86" s="198"/>
      <x:c r="P86" s="198"/>
      <x:c r="Q86" s="198"/>
      <x:c r="R86" s="198"/>
      <x:c r="S86" s="198"/>
      <x:c r="T86" s="198"/>
      <x:c r="U86" s="198"/>
      <x:c r="V86" s="198"/>
      <x:c r="W86" s="198"/>
      <x:c r="X86" s="198"/>
      <x:c r="Y86" s="198"/>
      <x:c r="Z86" s="198"/>
      <x:c r="AA86" s="198"/>
      <x:c r="AB86" s="198"/>
      <x:c r="AC86" s="198"/>
      <x:c r="AD86" s="198"/>
      <x:c r="AE86" s="198"/>
      <x:c r="AF86" s="215"/>
    </x:row>
    <x:row r="87">
      <x:c r="A87" s="238"/>
      <x:c r="B87" s="215" t="str">
        <x:v>正常</x:v>
      </x:c>
      <x:c r="C87" s="199"/>
      <x:c r="D87" s="223" t="str">
        <x:f>IF(COUNTA(L87:AE87)=0,"",SUMPRODUCT(L87:AE87,'参数'!$C$6:$C$25,'参数'!$D$6:$D$25,INDEX('参数'!$E$6:$J$25,0,MATCH(B87,'参数'!$E$5:$J$5,0)),'参数'!$K$6:$K$25)/SUMPRODUCT('参数'!$C$6:$C$25,'参数'!$D$6:$D$25,INDEX('参数'!$E$6:$J$25,0,MATCH(B87,'参数'!$E$5:$J$5,0)),'参数'!$K$6:$K$25))</x:f>
      </x:c>
      <x:c r="E87" s="223" t="str">
        <x:f>IF(D87="","",SUMPRODUCT(ABS(L87:AE87),'参数'!$C$6:$C$25,'参数'!$D$6:$D$25,INDEX('参数'!$E$6:$J$25,0,MATCH(B87,'参数'!$E$5:$J$5,0)))/SUMPRODUCT('参数'!$C$6:$C$25,'参数'!$D$6:$D$25,INDEX('参数'!$E$6:$J$25,0,MATCH(B87,'参数'!$E$5:$J$5,0))))</x:f>
      </x:c>
      <x:c r="F87" s="194" t="str">
        <x:f>IF(D87="","",IF(D87&gt;='参数'!$B$30,1,IF(D87&lt;=-'参数'!$B$30,-1,0)))</x:f>
      </x:c>
      <x:c r="G87" s="194" t="str">
        <x:f>IF(C87="","",IF(C87&gt;='参数'!$B$37,1,IF(C87&lt;=-'参数'!$B$37,-1,0)))</x:f>
      </x:c>
      <x:c r="H87" s="194" t="str">
        <x:f>IF(OR(F87="",G87=""),"",--(F87=G87))</x:f>
      </x:c>
      <x:c r="I87" s="214" t="str">
        <x:f>IF(D87="","",D87*'参数'!$B$34)</x:f>
      </x:c>
      <x:c r="J87" s="214" t="str">
        <x:f>IF(OR(C87="",I87=""),"",ABS(C87-I87))</x:f>
      </x:c>
      <x:c r="K87" s="194" t="str">
        <x:f>IF(D87="","",IF(MAX(ABS(SUM(L87:M87)),ABS(SUM(N87:P87)),ABS(Q87),ABS(SUM(R87:T87)),ABS(SUM(U87:V87)),ABS(SUM(W87:Y87)),ABS(SUM(Z87:AB87)),ABS(SUM(AC87:AE87)))=ABS(SUM(L87:M87)),"订单流",IF(MAX(ABS(SUM(L87:M87)),ABS(SUM(N87:P87)),ABS(Q87),ABS(SUM(R87:T87)),ABS(SUM(U87:V87)),ABS(SUM(W87:Y87)),ABS(SUM(Z87:AB87)),ABS(SUM(AC87:AE87)))=ABS(SUM(N87:P87)),"流动性",IF(MAX(ABS(SUM(L87:M87)),ABS(SUM(N87:P87)),ABS(Q87),ABS(SUM(R87:T87)),ABS(SUM(U87:V87)),ABS(SUM(W87:Y87)),ABS(SUM(Z87:AB87)),ABS(SUM(AC87:AE87)))=ABS(Q87),"价格行为",IF(MAX(ABS(SUM(L87:M87)),ABS(SUM(N87:P87)),ABS(Q87),ABS(SUM(R87:T87)),ABS(SUM(U87:V87)),ABS(SUM(W87:Y87)),ABS(SUM(Z87:AB87)),ABS(SUM(AC87:AE87)))=ABS(SUM(R87:T87)),"杠杆/清算",IF(MAX(ABS(SUM(L87:M87)),ABS(SUM(N87:P87)),ABS(Q87),ABS(SUM(R87:T87)),ABS(SUM(U87:V87)),ABS(SUM(W87:Y87)),ABS(SUM(Z87:AB87)),ABS(SUM(AC87:AE87)))=ABS(SUM(U87:V87)),"衍生品",IF(MAX(ABS(SUM(L87:M87)),ABS(SUM(N87:P87)),ABS(Q87),ABS(SUM(R87:T87)),ABS(SUM(U87:V87)),ABS(SUM(W87:Y87)),ABS(SUM(Z87:AB87)),ABS(SUM(AC87:AE87)))=ABS(SUM(W87:Y87)),"跨市场",IF(MAX(ABS(SUM(L87:M87)),ABS(SUM(N87:P87)),ABS(Q87),ABS(SUM(R87:T87)),ABS(SUM(U87:V87)),ABS(SUM(W87:Y87)),ABS(SUM(Z87:AB87)),ABS(SUM(AC87:AE87)))=ABS(SUM(Z87:AB87)),"宏观代理","事件"))))))))</x:f>
      </x:c>
      <x:c r="L87" s="198"/>
      <x:c r="M87" s="198"/>
      <x:c r="N87" s="198"/>
      <x:c r="O87" s="198"/>
      <x:c r="P87" s="198"/>
      <x:c r="Q87" s="198"/>
      <x:c r="R87" s="198"/>
      <x:c r="S87" s="198"/>
      <x:c r="T87" s="198"/>
      <x:c r="U87" s="198"/>
      <x:c r="V87" s="198"/>
      <x:c r="W87" s="198"/>
      <x:c r="X87" s="198"/>
      <x:c r="Y87" s="198"/>
      <x:c r="Z87" s="198"/>
      <x:c r="AA87" s="198"/>
      <x:c r="AB87" s="198"/>
      <x:c r="AC87" s="198"/>
      <x:c r="AD87" s="198"/>
      <x:c r="AE87" s="198"/>
      <x:c r="AF87" s="215"/>
    </x:row>
    <x:row r="88">
      <x:c r="A88" s="238"/>
      <x:c r="B88" s="215" t="str">
        <x:v>正常</x:v>
      </x:c>
      <x:c r="C88" s="199"/>
      <x:c r="D88" s="223" t="str">
        <x:f>IF(COUNTA(L88:AE88)=0,"",SUMPRODUCT(L88:AE88,'参数'!$C$6:$C$25,'参数'!$D$6:$D$25,INDEX('参数'!$E$6:$J$25,0,MATCH(B88,'参数'!$E$5:$J$5,0)),'参数'!$K$6:$K$25)/SUMPRODUCT('参数'!$C$6:$C$25,'参数'!$D$6:$D$25,INDEX('参数'!$E$6:$J$25,0,MATCH(B88,'参数'!$E$5:$J$5,0)),'参数'!$K$6:$K$25))</x:f>
      </x:c>
      <x:c r="E88" s="223" t="str">
        <x:f>IF(D88="","",SUMPRODUCT(ABS(L88:AE88),'参数'!$C$6:$C$25,'参数'!$D$6:$D$25,INDEX('参数'!$E$6:$J$25,0,MATCH(B88,'参数'!$E$5:$J$5,0)))/SUMPRODUCT('参数'!$C$6:$C$25,'参数'!$D$6:$D$25,INDEX('参数'!$E$6:$J$25,0,MATCH(B88,'参数'!$E$5:$J$5,0))))</x:f>
      </x:c>
      <x:c r="F88" s="194" t="str">
        <x:f>IF(D88="","",IF(D88&gt;='参数'!$B$30,1,IF(D88&lt;=-'参数'!$B$30,-1,0)))</x:f>
      </x:c>
      <x:c r="G88" s="194" t="str">
        <x:f>IF(C88="","",IF(C88&gt;='参数'!$B$37,1,IF(C88&lt;=-'参数'!$B$37,-1,0)))</x:f>
      </x:c>
      <x:c r="H88" s="194" t="str">
        <x:f>IF(OR(F88="",G88=""),"",--(F88=G88))</x:f>
      </x:c>
      <x:c r="I88" s="214" t="str">
        <x:f>IF(D88="","",D88*'参数'!$B$34)</x:f>
      </x:c>
      <x:c r="J88" s="214" t="str">
        <x:f>IF(OR(C88="",I88=""),"",ABS(C88-I88))</x:f>
      </x:c>
      <x:c r="K88" s="194" t="str">
        <x:f>IF(D88="","",IF(MAX(ABS(SUM(L88:M88)),ABS(SUM(N88:P88)),ABS(Q88),ABS(SUM(R88:T88)),ABS(SUM(U88:V88)),ABS(SUM(W88:Y88)),ABS(SUM(Z88:AB88)),ABS(SUM(AC88:AE88)))=ABS(SUM(L88:M88)),"订单流",IF(MAX(ABS(SUM(L88:M88)),ABS(SUM(N88:P88)),ABS(Q88),ABS(SUM(R88:T88)),ABS(SUM(U88:V88)),ABS(SUM(W88:Y88)),ABS(SUM(Z88:AB88)),ABS(SUM(AC88:AE88)))=ABS(SUM(N88:P88)),"流动性",IF(MAX(ABS(SUM(L88:M88)),ABS(SUM(N88:P88)),ABS(Q88),ABS(SUM(R88:T88)),ABS(SUM(U88:V88)),ABS(SUM(W88:Y88)),ABS(SUM(Z88:AB88)),ABS(SUM(AC88:AE88)))=ABS(Q88),"价格行为",IF(MAX(ABS(SUM(L88:M88)),ABS(SUM(N88:P88)),ABS(Q88),ABS(SUM(R88:T88)),ABS(SUM(U88:V88)),ABS(SUM(W88:Y88)),ABS(SUM(Z88:AB88)),ABS(SUM(AC88:AE88)))=ABS(SUM(R88:T88)),"杠杆/清算",IF(MAX(ABS(SUM(L88:M88)),ABS(SUM(N88:P88)),ABS(Q88),ABS(SUM(R88:T88)),ABS(SUM(U88:V88)),ABS(SUM(W88:Y88)),ABS(SUM(Z88:AB88)),ABS(SUM(AC88:AE88)))=ABS(SUM(U88:V88)),"衍生品",IF(MAX(ABS(SUM(L88:M88)),ABS(SUM(N88:P88)),ABS(Q88),ABS(SUM(R88:T88)),ABS(SUM(U88:V88)),ABS(SUM(W88:Y88)),ABS(SUM(Z88:AB88)),ABS(SUM(AC88:AE88)))=ABS(SUM(W88:Y88)),"跨市场",IF(MAX(ABS(SUM(L88:M88)),ABS(SUM(N88:P88)),ABS(Q88),ABS(SUM(R88:T88)),ABS(SUM(U88:V88)),ABS(SUM(W88:Y88)),ABS(SUM(Z88:AB88)),ABS(SUM(AC88:AE88)))=ABS(SUM(Z88:AB88)),"宏观代理","事件"))))))))</x:f>
      </x:c>
      <x:c r="L88" s="198"/>
      <x:c r="M88" s="198"/>
      <x:c r="N88" s="198"/>
      <x:c r="O88" s="198"/>
      <x:c r="P88" s="198"/>
      <x:c r="Q88" s="198"/>
      <x:c r="R88" s="198"/>
      <x:c r="S88" s="198"/>
      <x:c r="T88" s="198"/>
      <x:c r="U88" s="198"/>
      <x:c r="V88" s="198"/>
      <x:c r="W88" s="198"/>
      <x:c r="X88" s="198"/>
      <x:c r="Y88" s="198"/>
      <x:c r="Z88" s="198"/>
      <x:c r="AA88" s="198"/>
      <x:c r="AB88" s="198"/>
      <x:c r="AC88" s="198"/>
      <x:c r="AD88" s="198"/>
      <x:c r="AE88" s="198"/>
      <x:c r="AF88" s="215"/>
    </x:row>
    <x:row r="89">
      <x:c r="A89" s="238"/>
      <x:c r="B89" s="215" t="str">
        <x:v>正常</x:v>
      </x:c>
      <x:c r="C89" s="199"/>
      <x:c r="D89" s="223" t="str">
        <x:f>IF(COUNTA(L89:AE89)=0,"",SUMPRODUCT(L89:AE89,'参数'!$C$6:$C$25,'参数'!$D$6:$D$25,INDEX('参数'!$E$6:$J$25,0,MATCH(B89,'参数'!$E$5:$J$5,0)),'参数'!$K$6:$K$25)/SUMPRODUCT('参数'!$C$6:$C$25,'参数'!$D$6:$D$25,INDEX('参数'!$E$6:$J$25,0,MATCH(B89,'参数'!$E$5:$J$5,0)),'参数'!$K$6:$K$25))</x:f>
      </x:c>
      <x:c r="E89" s="223" t="str">
        <x:f>IF(D89="","",SUMPRODUCT(ABS(L89:AE89),'参数'!$C$6:$C$25,'参数'!$D$6:$D$25,INDEX('参数'!$E$6:$J$25,0,MATCH(B89,'参数'!$E$5:$J$5,0)))/SUMPRODUCT('参数'!$C$6:$C$25,'参数'!$D$6:$D$25,INDEX('参数'!$E$6:$J$25,0,MATCH(B89,'参数'!$E$5:$J$5,0))))</x:f>
      </x:c>
      <x:c r="F89" s="194" t="str">
        <x:f>IF(D89="","",IF(D89&gt;='参数'!$B$30,1,IF(D89&lt;=-'参数'!$B$30,-1,0)))</x:f>
      </x:c>
      <x:c r="G89" s="194" t="str">
        <x:f>IF(C89="","",IF(C89&gt;='参数'!$B$37,1,IF(C89&lt;=-'参数'!$B$37,-1,0)))</x:f>
      </x:c>
      <x:c r="H89" s="194" t="str">
        <x:f>IF(OR(F89="",G89=""),"",--(F89=G89))</x:f>
      </x:c>
      <x:c r="I89" s="214" t="str">
        <x:f>IF(D89="","",D89*'参数'!$B$34)</x:f>
      </x:c>
      <x:c r="J89" s="214" t="str">
        <x:f>IF(OR(C89="",I89=""),"",ABS(C89-I89))</x:f>
      </x:c>
      <x:c r="K89" s="194" t="str">
        <x:f>IF(D89="","",IF(MAX(ABS(SUM(L89:M89)),ABS(SUM(N89:P89)),ABS(Q89),ABS(SUM(R89:T89)),ABS(SUM(U89:V89)),ABS(SUM(W89:Y89)),ABS(SUM(Z89:AB89)),ABS(SUM(AC89:AE89)))=ABS(SUM(L89:M89)),"订单流",IF(MAX(ABS(SUM(L89:M89)),ABS(SUM(N89:P89)),ABS(Q89),ABS(SUM(R89:T89)),ABS(SUM(U89:V89)),ABS(SUM(W89:Y89)),ABS(SUM(Z89:AB89)),ABS(SUM(AC89:AE89)))=ABS(SUM(N89:P89)),"流动性",IF(MAX(ABS(SUM(L89:M89)),ABS(SUM(N89:P89)),ABS(Q89),ABS(SUM(R89:T89)),ABS(SUM(U89:V89)),ABS(SUM(W89:Y89)),ABS(SUM(Z89:AB89)),ABS(SUM(AC89:AE89)))=ABS(Q89),"价格行为",IF(MAX(ABS(SUM(L89:M89)),ABS(SUM(N89:P89)),ABS(Q89),ABS(SUM(R89:T89)),ABS(SUM(U89:V89)),ABS(SUM(W89:Y89)),ABS(SUM(Z89:AB89)),ABS(SUM(AC89:AE89)))=ABS(SUM(R89:T89)),"杠杆/清算",IF(MAX(ABS(SUM(L89:M89)),ABS(SUM(N89:P89)),ABS(Q89),ABS(SUM(R89:T89)),ABS(SUM(U89:V89)),ABS(SUM(W89:Y89)),ABS(SUM(Z89:AB89)),ABS(SUM(AC89:AE89)))=ABS(SUM(U89:V89)),"衍生品",IF(MAX(ABS(SUM(L89:M89)),ABS(SUM(N89:P89)),ABS(Q89),ABS(SUM(R89:T89)),ABS(SUM(U89:V89)),ABS(SUM(W89:Y89)),ABS(SUM(Z89:AB89)),ABS(SUM(AC89:AE89)))=ABS(SUM(W89:Y89)),"跨市场",IF(MAX(ABS(SUM(L89:M89)),ABS(SUM(N89:P89)),ABS(Q89),ABS(SUM(R89:T89)),ABS(SUM(U89:V89)),ABS(SUM(W89:Y89)),ABS(SUM(Z89:AB89)),ABS(SUM(AC89:AE89)))=ABS(SUM(Z89:AB89)),"宏观代理","事件"))))))))</x:f>
      </x:c>
      <x:c r="L89" s="198"/>
      <x:c r="M89" s="198"/>
      <x:c r="N89" s="198"/>
      <x:c r="O89" s="198"/>
      <x:c r="P89" s="198"/>
      <x:c r="Q89" s="198"/>
      <x:c r="R89" s="198"/>
      <x:c r="S89" s="198"/>
      <x:c r="T89" s="198"/>
      <x:c r="U89" s="198"/>
      <x:c r="V89" s="198"/>
      <x:c r="W89" s="198"/>
      <x:c r="X89" s="198"/>
      <x:c r="Y89" s="198"/>
      <x:c r="Z89" s="198"/>
      <x:c r="AA89" s="198"/>
      <x:c r="AB89" s="198"/>
      <x:c r="AC89" s="198"/>
      <x:c r="AD89" s="198"/>
      <x:c r="AE89" s="198"/>
      <x:c r="AF89" s="215"/>
    </x:row>
    <x:row r="90">
      <x:c r="A90" s="238"/>
      <x:c r="B90" s="215" t="str">
        <x:v>正常</x:v>
      </x:c>
      <x:c r="C90" s="199"/>
      <x:c r="D90" s="223" t="str">
        <x:f>IF(COUNTA(L90:AE90)=0,"",SUMPRODUCT(L90:AE90,'参数'!$C$6:$C$25,'参数'!$D$6:$D$25,INDEX('参数'!$E$6:$J$25,0,MATCH(B90,'参数'!$E$5:$J$5,0)),'参数'!$K$6:$K$25)/SUMPRODUCT('参数'!$C$6:$C$25,'参数'!$D$6:$D$25,INDEX('参数'!$E$6:$J$25,0,MATCH(B90,'参数'!$E$5:$J$5,0)),'参数'!$K$6:$K$25))</x:f>
      </x:c>
      <x:c r="E90" s="223" t="str">
        <x:f>IF(D90="","",SUMPRODUCT(ABS(L90:AE90),'参数'!$C$6:$C$25,'参数'!$D$6:$D$25,INDEX('参数'!$E$6:$J$25,0,MATCH(B90,'参数'!$E$5:$J$5,0)))/SUMPRODUCT('参数'!$C$6:$C$25,'参数'!$D$6:$D$25,INDEX('参数'!$E$6:$J$25,0,MATCH(B90,'参数'!$E$5:$J$5,0))))</x:f>
      </x:c>
      <x:c r="F90" s="194" t="str">
        <x:f>IF(D90="","",IF(D90&gt;='参数'!$B$30,1,IF(D90&lt;=-'参数'!$B$30,-1,0)))</x:f>
      </x:c>
      <x:c r="G90" s="194" t="str">
        <x:f>IF(C90="","",IF(C90&gt;='参数'!$B$37,1,IF(C90&lt;=-'参数'!$B$37,-1,0)))</x:f>
      </x:c>
      <x:c r="H90" s="194" t="str">
        <x:f>IF(OR(F90="",G90=""),"",--(F90=G90))</x:f>
      </x:c>
      <x:c r="I90" s="214" t="str">
        <x:f>IF(D90="","",D90*'参数'!$B$34)</x:f>
      </x:c>
      <x:c r="J90" s="214" t="str">
        <x:f>IF(OR(C90="",I90=""),"",ABS(C90-I90))</x:f>
      </x:c>
      <x:c r="K90" s="194" t="str">
        <x:f>IF(D90="","",IF(MAX(ABS(SUM(L90:M90)),ABS(SUM(N90:P90)),ABS(Q90),ABS(SUM(R90:T90)),ABS(SUM(U90:V90)),ABS(SUM(W90:Y90)),ABS(SUM(Z90:AB90)),ABS(SUM(AC90:AE90)))=ABS(SUM(L90:M90)),"订单流",IF(MAX(ABS(SUM(L90:M90)),ABS(SUM(N90:P90)),ABS(Q90),ABS(SUM(R90:T90)),ABS(SUM(U90:V90)),ABS(SUM(W90:Y90)),ABS(SUM(Z90:AB90)),ABS(SUM(AC90:AE90)))=ABS(SUM(N90:P90)),"流动性",IF(MAX(ABS(SUM(L90:M90)),ABS(SUM(N90:P90)),ABS(Q90),ABS(SUM(R90:T90)),ABS(SUM(U90:V90)),ABS(SUM(W90:Y90)),ABS(SUM(Z90:AB90)),ABS(SUM(AC90:AE90)))=ABS(Q90),"价格行为",IF(MAX(ABS(SUM(L90:M90)),ABS(SUM(N90:P90)),ABS(Q90),ABS(SUM(R90:T90)),ABS(SUM(U90:V90)),ABS(SUM(W90:Y90)),ABS(SUM(Z90:AB90)),ABS(SUM(AC90:AE90)))=ABS(SUM(R90:T90)),"杠杆/清算",IF(MAX(ABS(SUM(L90:M90)),ABS(SUM(N90:P90)),ABS(Q90),ABS(SUM(R90:T90)),ABS(SUM(U90:V90)),ABS(SUM(W90:Y90)),ABS(SUM(Z90:AB90)),ABS(SUM(AC90:AE90)))=ABS(SUM(U90:V90)),"衍生品",IF(MAX(ABS(SUM(L90:M90)),ABS(SUM(N90:P90)),ABS(Q90),ABS(SUM(R90:T90)),ABS(SUM(U90:V90)),ABS(SUM(W90:Y90)),ABS(SUM(Z90:AB90)),ABS(SUM(AC90:AE90)))=ABS(SUM(W90:Y90)),"跨市场",IF(MAX(ABS(SUM(L90:M90)),ABS(SUM(N90:P90)),ABS(Q90),ABS(SUM(R90:T90)),ABS(SUM(U90:V90)),ABS(SUM(W90:Y90)),ABS(SUM(Z90:AB90)),ABS(SUM(AC90:AE90)))=ABS(SUM(Z90:AB90)),"宏观代理","事件"))))))))</x:f>
      </x:c>
      <x:c r="L90" s="198"/>
      <x:c r="M90" s="198"/>
      <x:c r="N90" s="198"/>
      <x:c r="O90" s="198"/>
      <x:c r="P90" s="198"/>
      <x:c r="Q90" s="198"/>
      <x:c r="R90" s="198"/>
      <x:c r="S90" s="198"/>
      <x:c r="T90" s="198"/>
      <x:c r="U90" s="198"/>
      <x:c r="V90" s="198"/>
      <x:c r="W90" s="198"/>
      <x:c r="X90" s="198"/>
      <x:c r="Y90" s="198"/>
      <x:c r="Z90" s="198"/>
      <x:c r="AA90" s="198"/>
      <x:c r="AB90" s="198"/>
      <x:c r="AC90" s="198"/>
      <x:c r="AD90" s="198"/>
      <x:c r="AE90" s="198"/>
      <x:c r="AF90" s="215"/>
    </x:row>
    <x:row r="91">
      <x:c r="A91" s="238"/>
      <x:c r="B91" s="215" t="str">
        <x:v>正常</x:v>
      </x:c>
      <x:c r="C91" s="199"/>
      <x:c r="D91" s="223" t="str">
        <x:f>IF(COUNTA(L91:AE91)=0,"",SUMPRODUCT(L91:AE91,'参数'!$C$6:$C$25,'参数'!$D$6:$D$25,INDEX('参数'!$E$6:$J$25,0,MATCH(B91,'参数'!$E$5:$J$5,0)),'参数'!$K$6:$K$25)/SUMPRODUCT('参数'!$C$6:$C$25,'参数'!$D$6:$D$25,INDEX('参数'!$E$6:$J$25,0,MATCH(B91,'参数'!$E$5:$J$5,0)),'参数'!$K$6:$K$25))</x:f>
      </x:c>
      <x:c r="E91" s="223" t="str">
        <x:f>IF(D91="","",SUMPRODUCT(ABS(L91:AE91),'参数'!$C$6:$C$25,'参数'!$D$6:$D$25,INDEX('参数'!$E$6:$J$25,0,MATCH(B91,'参数'!$E$5:$J$5,0)))/SUMPRODUCT('参数'!$C$6:$C$25,'参数'!$D$6:$D$25,INDEX('参数'!$E$6:$J$25,0,MATCH(B91,'参数'!$E$5:$J$5,0))))</x:f>
      </x:c>
      <x:c r="F91" s="194" t="str">
        <x:f>IF(D91="","",IF(D91&gt;='参数'!$B$30,1,IF(D91&lt;=-'参数'!$B$30,-1,0)))</x:f>
      </x:c>
      <x:c r="G91" s="194" t="str">
        <x:f>IF(C91="","",IF(C91&gt;='参数'!$B$37,1,IF(C91&lt;=-'参数'!$B$37,-1,0)))</x:f>
      </x:c>
      <x:c r="H91" s="194" t="str">
        <x:f>IF(OR(F91="",G91=""),"",--(F91=G91))</x:f>
      </x:c>
      <x:c r="I91" s="214" t="str">
        <x:f>IF(D91="","",D91*'参数'!$B$34)</x:f>
      </x:c>
      <x:c r="J91" s="214" t="str">
        <x:f>IF(OR(C91="",I91=""),"",ABS(C91-I91))</x:f>
      </x:c>
      <x:c r="K91" s="194" t="str">
        <x:f>IF(D91="","",IF(MAX(ABS(SUM(L91:M91)),ABS(SUM(N91:P91)),ABS(Q91),ABS(SUM(R91:T91)),ABS(SUM(U91:V91)),ABS(SUM(W91:Y91)),ABS(SUM(Z91:AB91)),ABS(SUM(AC91:AE91)))=ABS(SUM(L91:M91)),"订单流",IF(MAX(ABS(SUM(L91:M91)),ABS(SUM(N91:P91)),ABS(Q91),ABS(SUM(R91:T91)),ABS(SUM(U91:V91)),ABS(SUM(W91:Y91)),ABS(SUM(Z91:AB91)),ABS(SUM(AC91:AE91)))=ABS(SUM(N91:P91)),"流动性",IF(MAX(ABS(SUM(L91:M91)),ABS(SUM(N91:P91)),ABS(Q91),ABS(SUM(R91:T91)),ABS(SUM(U91:V91)),ABS(SUM(W91:Y91)),ABS(SUM(Z91:AB91)),ABS(SUM(AC91:AE91)))=ABS(Q91),"价格行为",IF(MAX(ABS(SUM(L91:M91)),ABS(SUM(N91:P91)),ABS(Q91),ABS(SUM(R91:T91)),ABS(SUM(U91:V91)),ABS(SUM(W91:Y91)),ABS(SUM(Z91:AB91)),ABS(SUM(AC91:AE91)))=ABS(SUM(R91:T91)),"杠杆/清算",IF(MAX(ABS(SUM(L91:M91)),ABS(SUM(N91:P91)),ABS(Q91),ABS(SUM(R91:T91)),ABS(SUM(U91:V91)),ABS(SUM(W91:Y91)),ABS(SUM(Z91:AB91)),ABS(SUM(AC91:AE91)))=ABS(SUM(U91:V91)),"衍生品",IF(MAX(ABS(SUM(L91:M91)),ABS(SUM(N91:P91)),ABS(Q91),ABS(SUM(R91:T91)),ABS(SUM(U91:V91)),ABS(SUM(W91:Y91)),ABS(SUM(Z91:AB91)),ABS(SUM(AC91:AE91)))=ABS(SUM(W91:Y91)),"跨市场",IF(MAX(ABS(SUM(L91:M91)),ABS(SUM(N91:P91)),ABS(Q91),ABS(SUM(R91:T91)),ABS(SUM(U91:V91)),ABS(SUM(W91:Y91)),ABS(SUM(Z91:AB91)),ABS(SUM(AC91:AE91)))=ABS(SUM(Z91:AB91)),"宏观代理","事件"))))))))</x:f>
      </x:c>
      <x:c r="L91" s="198"/>
      <x:c r="M91" s="198"/>
      <x:c r="N91" s="198"/>
      <x:c r="O91" s="198"/>
      <x:c r="P91" s="198"/>
      <x:c r="Q91" s="198"/>
      <x:c r="R91" s="198"/>
      <x:c r="S91" s="198"/>
      <x:c r="T91" s="198"/>
      <x:c r="U91" s="198"/>
      <x:c r="V91" s="198"/>
      <x:c r="W91" s="198"/>
      <x:c r="X91" s="198"/>
      <x:c r="Y91" s="198"/>
      <x:c r="Z91" s="198"/>
      <x:c r="AA91" s="198"/>
      <x:c r="AB91" s="198"/>
      <x:c r="AC91" s="198"/>
      <x:c r="AD91" s="198"/>
      <x:c r="AE91" s="198"/>
      <x:c r="AF91" s="215"/>
    </x:row>
    <x:row r="92">
      <x:c r="A92" s="238"/>
      <x:c r="B92" s="215" t="str">
        <x:v>正常</x:v>
      </x:c>
      <x:c r="C92" s="199"/>
      <x:c r="D92" s="223" t="str">
        <x:f>IF(COUNTA(L92:AE92)=0,"",SUMPRODUCT(L92:AE92,'参数'!$C$6:$C$25,'参数'!$D$6:$D$25,INDEX('参数'!$E$6:$J$25,0,MATCH(B92,'参数'!$E$5:$J$5,0)),'参数'!$K$6:$K$25)/SUMPRODUCT('参数'!$C$6:$C$25,'参数'!$D$6:$D$25,INDEX('参数'!$E$6:$J$25,0,MATCH(B92,'参数'!$E$5:$J$5,0)),'参数'!$K$6:$K$25))</x:f>
      </x:c>
      <x:c r="E92" s="223" t="str">
        <x:f>IF(D92="","",SUMPRODUCT(ABS(L92:AE92),'参数'!$C$6:$C$25,'参数'!$D$6:$D$25,INDEX('参数'!$E$6:$J$25,0,MATCH(B92,'参数'!$E$5:$J$5,0)))/SUMPRODUCT('参数'!$C$6:$C$25,'参数'!$D$6:$D$25,INDEX('参数'!$E$6:$J$25,0,MATCH(B92,'参数'!$E$5:$J$5,0))))</x:f>
      </x:c>
      <x:c r="F92" s="194" t="str">
        <x:f>IF(D92="","",IF(D92&gt;='参数'!$B$30,1,IF(D92&lt;=-'参数'!$B$30,-1,0)))</x:f>
      </x:c>
      <x:c r="G92" s="194" t="str">
        <x:f>IF(C92="","",IF(C92&gt;='参数'!$B$37,1,IF(C92&lt;=-'参数'!$B$37,-1,0)))</x:f>
      </x:c>
      <x:c r="H92" s="194" t="str">
        <x:f>IF(OR(F92="",G92=""),"",--(F92=G92))</x:f>
      </x:c>
      <x:c r="I92" s="214" t="str">
        <x:f>IF(D92="","",D92*'参数'!$B$34)</x:f>
      </x:c>
      <x:c r="J92" s="214" t="str">
        <x:f>IF(OR(C92="",I92=""),"",ABS(C92-I92))</x:f>
      </x:c>
      <x:c r="K92" s="194" t="str">
        <x:f>IF(D92="","",IF(MAX(ABS(SUM(L92:M92)),ABS(SUM(N92:P92)),ABS(Q92),ABS(SUM(R92:T92)),ABS(SUM(U92:V92)),ABS(SUM(W92:Y92)),ABS(SUM(Z92:AB92)),ABS(SUM(AC92:AE92)))=ABS(SUM(L92:M92)),"订单流",IF(MAX(ABS(SUM(L92:M92)),ABS(SUM(N92:P92)),ABS(Q92),ABS(SUM(R92:T92)),ABS(SUM(U92:V92)),ABS(SUM(W92:Y92)),ABS(SUM(Z92:AB92)),ABS(SUM(AC92:AE92)))=ABS(SUM(N92:P92)),"流动性",IF(MAX(ABS(SUM(L92:M92)),ABS(SUM(N92:P92)),ABS(Q92),ABS(SUM(R92:T92)),ABS(SUM(U92:V92)),ABS(SUM(W92:Y92)),ABS(SUM(Z92:AB92)),ABS(SUM(AC92:AE92)))=ABS(Q92),"价格行为",IF(MAX(ABS(SUM(L92:M92)),ABS(SUM(N92:P92)),ABS(Q92),ABS(SUM(R92:T92)),ABS(SUM(U92:V92)),ABS(SUM(W92:Y92)),ABS(SUM(Z92:AB92)),ABS(SUM(AC92:AE92)))=ABS(SUM(R92:T92)),"杠杆/清算",IF(MAX(ABS(SUM(L92:M92)),ABS(SUM(N92:P92)),ABS(Q92),ABS(SUM(R92:T92)),ABS(SUM(U92:V92)),ABS(SUM(W92:Y92)),ABS(SUM(Z92:AB92)),ABS(SUM(AC92:AE92)))=ABS(SUM(U92:V92)),"衍生品",IF(MAX(ABS(SUM(L92:M92)),ABS(SUM(N92:P92)),ABS(Q92),ABS(SUM(R92:T92)),ABS(SUM(U92:V92)),ABS(SUM(W92:Y92)),ABS(SUM(Z92:AB92)),ABS(SUM(AC92:AE92)))=ABS(SUM(W92:Y92)),"跨市场",IF(MAX(ABS(SUM(L92:M92)),ABS(SUM(N92:P92)),ABS(Q92),ABS(SUM(R92:T92)),ABS(SUM(U92:V92)),ABS(SUM(W92:Y92)),ABS(SUM(Z92:AB92)),ABS(SUM(AC92:AE92)))=ABS(SUM(Z92:AB92)),"宏观代理","事件"))))))))</x:f>
      </x:c>
      <x:c r="L92" s="198"/>
      <x:c r="M92" s="198"/>
      <x:c r="N92" s="198"/>
      <x:c r="O92" s="198"/>
      <x:c r="P92" s="198"/>
      <x:c r="Q92" s="198"/>
      <x:c r="R92" s="198"/>
      <x:c r="S92" s="198"/>
      <x:c r="T92" s="198"/>
      <x:c r="U92" s="198"/>
      <x:c r="V92" s="198"/>
      <x:c r="W92" s="198"/>
      <x:c r="X92" s="198"/>
      <x:c r="Y92" s="198"/>
      <x:c r="Z92" s="198"/>
      <x:c r="AA92" s="198"/>
      <x:c r="AB92" s="198"/>
      <x:c r="AC92" s="198"/>
      <x:c r="AD92" s="198"/>
      <x:c r="AE92" s="198"/>
      <x:c r="AF92" s="215"/>
    </x:row>
    <x:row r="93">
      <x:c r="A93" s="238"/>
      <x:c r="B93" s="215" t="str">
        <x:v>正常</x:v>
      </x:c>
      <x:c r="C93" s="199"/>
      <x:c r="D93" s="223" t="str">
        <x:f>IF(COUNTA(L93:AE93)=0,"",SUMPRODUCT(L93:AE93,'参数'!$C$6:$C$25,'参数'!$D$6:$D$25,INDEX('参数'!$E$6:$J$25,0,MATCH(B93,'参数'!$E$5:$J$5,0)),'参数'!$K$6:$K$25)/SUMPRODUCT('参数'!$C$6:$C$25,'参数'!$D$6:$D$25,INDEX('参数'!$E$6:$J$25,0,MATCH(B93,'参数'!$E$5:$J$5,0)),'参数'!$K$6:$K$25))</x:f>
      </x:c>
      <x:c r="E93" s="223" t="str">
        <x:f>IF(D93="","",SUMPRODUCT(ABS(L93:AE93),'参数'!$C$6:$C$25,'参数'!$D$6:$D$25,INDEX('参数'!$E$6:$J$25,0,MATCH(B93,'参数'!$E$5:$J$5,0)))/SUMPRODUCT('参数'!$C$6:$C$25,'参数'!$D$6:$D$25,INDEX('参数'!$E$6:$J$25,0,MATCH(B93,'参数'!$E$5:$J$5,0))))</x:f>
      </x:c>
      <x:c r="F93" s="194" t="str">
        <x:f>IF(D93="","",IF(D93&gt;='参数'!$B$30,1,IF(D93&lt;=-'参数'!$B$30,-1,0)))</x:f>
      </x:c>
      <x:c r="G93" s="194" t="str">
        <x:f>IF(C93="","",IF(C93&gt;='参数'!$B$37,1,IF(C93&lt;=-'参数'!$B$37,-1,0)))</x:f>
      </x:c>
      <x:c r="H93" s="194" t="str">
        <x:f>IF(OR(F93="",G93=""),"",--(F93=G93))</x:f>
      </x:c>
      <x:c r="I93" s="214" t="str">
        <x:f>IF(D93="","",D93*'参数'!$B$34)</x:f>
      </x:c>
      <x:c r="J93" s="214" t="str">
        <x:f>IF(OR(C93="",I93=""),"",ABS(C93-I93))</x:f>
      </x:c>
      <x:c r="K93" s="194" t="str">
        <x:f>IF(D93="","",IF(MAX(ABS(SUM(L93:M93)),ABS(SUM(N93:P93)),ABS(Q93),ABS(SUM(R93:T93)),ABS(SUM(U93:V93)),ABS(SUM(W93:Y93)),ABS(SUM(Z93:AB93)),ABS(SUM(AC93:AE93)))=ABS(SUM(L93:M93)),"订单流",IF(MAX(ABS(SUM(L93:M93)),ABS(SUM(N93:P93)),ABS(Q93),ABS(SUM(R93:T93)),ABS(SUM(U93:V93)),ABS(SUM(W93:Y93)),ABS(SUM(Z93:AB93)),ABS(SUM(AC93:AE93)))=ABS(SUM(N93:P93)),"流动性",IF(MAX(ABS(SUM(L93:M93)),ABS(SUM(N93:P93)),ABS(Q93),ABS(SUM(R93:T93)),ABS(SUM(U93:V93)),ABS(SUM(W93:Y93)),ABS(SUM(Z93:AB93)),ABS(SUM(AC93:AE93)))=ABS(Q93),"价格行为",IF(MAX(ABS(SUM(L93:M93)),ABS(SUM(N93:P93)),ABS(Q93),ABS(SUM(R93:T93)),ABS(SUM(U93:V93)),ABS(SUM(W93:Y93)),ABS(SUM(Z93:AB93)),ABS(SUM(AC93:AE93)))=ABS(SUM(R93:T93)),"杠杆/清算",IF(MAX(ABS(SUM(L93:M93)),ABS(SUM(N93:P93)),ABS(Q93),ABS(SUM(R93:T93)),ABS(SUM(U93:V93)),ABS(SUM(W93:Y93)),ABS(SUM(Z93:AB93)),ABS(SUM(AC93:AE93)))=ABS(SUM(U93:V93)),"衍生品",IF(MAX(ABS(SUM(L93:M93)),ABS(SUM(N93:P93)),ABS(Q93),ABS(SUM(R93:T93)),ABS(SUM(U93:V93)),ABS(SUM(W93:Y93)),ABS(SUM(Z93:AB93)),ABS(SUM(AC93:AE93)))=ABS(SUM(W93:Y93)),"跨市场",IF(MAX(ABS(SUM(L93:M93)),ABS(SUM(N93:P93)),ABS(Q93),ABS(SUM(R93:T93)),ABS(SUM(U93:V93)),ABS(SUM(W93:Y93)),ABS(SUM(Z93:AB93)),ABS(SUM(AC93:AE93)))=ABS(SUM(Z93:AB93)),"宏观代理","事件"))))))))</x:f>
      </x:c>
      <x:c r="L93" s="198"/>
      <x:c r="M93" s="198"/>
      <x:c r="N93" s="198"/>
      <x:c r="O93" s="198"/>
      <x:c r="P93" s="198"/>
      <x:c r="Q93" s="198"/>
      <x:c r="R93" s="198"/>
      <x:c r="S93" s="198"/>
      <x:c r="T93" s="198"/>
      <x:c r="U93" s="198"/>
      <x:c r="V93" s="198"/>
      <x:c r="W93" s="198"/>
      <x:c r="X93" s="198"/>
      <x:c r="Y93" s="198"/>
      <x:c r="Z93" s="198"/>
      <x:c r="AA93" s="198"/>
      <x:c r="AB93" s="198"/>
      <x:c r="AC93" s="198"/>
      <x:c r="AD93" s="198"/>
      <x:c r="AE93" s="198"/>
      <x:c r="AF93" s="215"/>
    </x:row>
    <x:row r="94">
      <x:c r="A94" s="238"/>
      <x:c r="B94" s="215" t="str">
        <x:v>正常</x:v>
      </x:c>
      <x:c r="C94" s="199"/>
      <x:c r="D94" s="223" t="str">
        <x:f>IF(COUNTA(L94:AE94)=0,"",SUMPRODUCT(L94:AE94,'参数'!$C$6:$C$25,'参数'!$D$6:$D$25,INDEX('参数'!$E$6:$J$25,0,MATCH(B94,'参数'!$E$5:$J$5,0)),'参数'!$K$6:$K$25)/SUMPRODUCT('参数'!$C$6:$C$25,'参数'!$D$6:$D$25,INDEX('参数'!$E$6:$J$25,0,MATCH(B94,'参数'!$E$5:$J$5,0)),'参数'!$K$6:$K$25))</x:f>
      </x:c>
      <x:c r="E94" s="223" t="str">
        <x:f>IF(D94="","",SUMPRODUCT(ABS(L94:AE94),'参数'!$C$6:$C$25,'参数'!$D$6:$D$25,INDEX('参数'!$E$6:$J$25,0,MATCH(B94,'参数'!$E$5:$J$5,0)))/SUMPRODUCT('参数'!$C$6:$C$25,'参数'!$D$6:$D$25,INDEX('参数'!$E$6:$J$25,0,MATCH(B94,'参数'!$E$5:$J$5,0))))</x:f>
      </x:c>
      <x:c r="F94" s="194" t="str">
        <x:f>IF(D94="","",IF(D94&gt;='参数'!$B$30,1,IF(D94&lt;=-'参数'!$B$30,-1,0)))</x:f>
      </x:c>
      <x:c r="G94" s="194" t="str">
        <x:f>IF(C94="","",IF(C94&gt;='参数'!$B$37,1,IF(C94&lt;=-'参数'!$B$37,-1,0)))</x:f>
      </x:c>
      <x:c r="H94" s="194" t="str">
        <x:f>IF(OR(F94="",G94=""),"",--(F94=G94))</x:f>
      </x:c>
      <x:c r="I94" s="214" t="str">
        <x:f>IF(D94="","",D94*'参数'!$B$34)</x:f>
      </x:c>
      <x:c r="J94" s="214" t="str">
        <x:f>IF(OR(C94="",I94=""),"",ABS(C94-I94))</x:f>
      </x:c>
      <x:c r="K94" s="194" t="str">
        <x:f>IF(D94="","",IF(MAX(ABS(SUM(L94:M94)),ABS(SUM(N94:P94)),ABS(Q94),ABS(SUM(R94:T94)),ABS(SUM(U94:V94)),ABS(SUM(W94:Y94)),ABS(SUM(Z94:AB94)),ABS(SUM(AC94:AE94)))=ABS(SUM(L94:M94)),"订单流",IF(MAX(ABS(SUM(L94:M94)),ABS(SUM(N94:P94)),ABS(Q94),ABS(SUM(R94:T94)),ABS(SUM(U94:V94)),ABS(SUM(W94:Y94)),ABS(SUM(Z94:AB94)),ABS(SUM(AC94:AE94)))=ABS(SUM(N94:P94)),"流动性",IF(MAX(ABS(SUM(L94:M94)),ABS(SUM(N94:P94)),ABS(Q94),ABS(SUM(R94:T94)),ABS(SUM(U94:V94)),ABS(SUM(W94:Y94)),ABS(SUM(Z94:AB94)),ABS(SUM(AC94:AE94)))=ABS(Q94),"价格行为",IF(MAX(ABS(SUM(L94:M94)),ABS(SUM(N94:P94)),ABS(Q94),ABS(SUM(R94:T94)),ABS(SUM(U94:V94)),ABS(SUM(W94:Y94)),ABS(SUM(Z94:AB94)),ABS(SUM(AC94:AE94)))=ABS(SUM(R94:T94)),"杠杆/清算",IF(MAX(ABS(SUM(L94:M94)),ABS(SUM(N94:P94)),ABS(Q94),ABS(SUM(R94:T94)),ABS(SUM(U94:V94)),ABS(SUM(W94:Y94)),ABS(SUM(Z94:AB94)),ABS(SUM(AC94:AE94)))=ABS(SUM(U94:V94)),"衍生品",IF(MAX(ABS(SUM(L94:M94)),ABS(SUM(N94:P94)),ABS(Q94),ABS(SUM(R94:T94)),ABS(SUM(U94:V94)),ABS(SUM(W94:Y94)),ABS(SUM(Z94:AB94)),ABS(SUM(AC94:AE94)))=ABS(SUM(W94:Y94)),"跨市场",IF(MAX(ABS(SUM(L94:M94)),ABS(SUM(N94:P94)),ABS(Q94),ABS(SUM(R94:T94)),ABS(SUM(U94:V94)),ABS(SUM(W94:Y94)),ABS(SUM(Z94:AB94)),ABS(SUM(AC94:AE94)))=ABS(SUM(Z94:AB94)),"宏观代理","事件"))))))))</x:f>
      </x:c>
      <x:c r="L94" s="198"/>
      <x:c r="M94" s="198"/>
      <x:c r="N94" s="198"/>
      <x:c r="O94" s="198"/>
      <x:c r="P94" s="198"/>
      <x:c r="Q94" s="198"/>
      <x:c r="R94" s="198"/>
      <x:c r="S94" s="198"/>
      <x:c r="T94" s="198"/>
      <x:c r="U94" s="198"/>
      <x:c r="V94" s="198"/>
      <x:c r="W94" s="198"/>
      <x:c r="X94" s="198"/>
      <x:c r="Y94" s="198"/>
      <x:c r="Z94" s="198"/>
      <x:c r="AA94" s="198"/>
      <x:c r="AB94" s="198"/>
      <x:c r="AC94" s="198"/>
      <x:c r="AD94" s="198"/>
      <x:c r="AE94" s="198"/>
      <x:c r="AF94" s="215"/>
    </x:row>
    <x:row r="95">
      <x:c r="A95" s="238"/>
      <x:c r="B95" s="215" t="str">
        <x:v>正常</x:v>
      </x:c>
      <x:c r="C95" s="199"/>
      <x:c r="D95" s="223" t="str">
        <x:f>IF(COUNTA(L95:AE95)=0,"",SUMPRODUCT(L95:AE95,'参数'!$C$6:$C$25,'参数'!$D$6:$D$25,INDEX('参数'!$E$6:$J$25,0,MATCH(B95,'参数'!$E$5:$J$5,0)),'参数'!$K$6:$K$25)/SUMPRODUCT('参数'!$C$6:$C$25,'参数'!$D$6:$D$25,INDEX('参数'!$E$6:$J$25,0,MATCH(B95,'参数'!$E$5:$J$5,0)),'参数'!$K$6:$K$25))</x:f>
      </x:c>
      <x:c r="E95" s="223" t="str">
        <x:f>IF(D95="","",SUMPRODUCT(ABS(L95:AE95),'参数'!$C$6:$C$25,'参数'!$D$6:$D$25,INDEX('参数'!$E$6:$J$25,0,MATCH(B95,'参数'!$E$5:$J$5,0)))/SUMPRODUCT('参数'!$C$6:$C$25,'参数'!$D$6:$D$25,INDEX('参数'!$E$6:$J$25,0,MATCH(B95,'参数'!$E$5:$J$5,0))))</x:f>
      </x:c>
      <x:c r="F95" s="194" t="str">
        <x:f>IF(D95="","",IF(D95&gt;='参数'!$B$30,1,IF(D95&lt;=-'参数'!$B$30,-1,0)))</x:f>
      </x:c>
      <x:c r="G95" s="194" t="str">
        <x:f>IF(C95="","",IF(C95&gt;='参数'!$B$37,1,IF(C95&lt;=-'参数'!$B$37,-1,0)))</x:f>
      </x:c>
      <x:c r="H95" s="194" t="str">
        <x:f>IF(OR(F95="",G95=""),"",--(F95=G95))</x:f>
      </x:c>
      <x:c r="I95" s="214" t="str">
        <x:f>IF(D95="","",D95*'参数'!$B$34)</x:f>
      </x:c>
      <x:c r="J95" s="214" t="str">
        <x:f>IF(OR(C95="",I95=""),"",ABS(C95-I95))</x:f>
      </x:c>
      <x:c r="K95" s="194" t="str">
        <x:f>IF(D95="","",IF(MAX(ABS(SUM(L95:M95)),ABS(SUM(N95:P95)),ABS(Q95),ABS(SUM(R95:T95)),ABS(SUM(U95:V95)),ABS(SUM(W95:Y95)),ABS(SUM(Z95:AB95)),ABS(SUM(AC95:AE95)))=ABS(SUM(L95:M95)),"订单流",IF(MAX(ABS(SUM(L95:M95)),ABS(SUM(N95:P95)),ABS(Q95),ABS(SUM(R95:T95)),ABS(SUM(U95:V95)),ABS(SUM(W95:Y95)),ABS(SUM(Z95:AB95)),ABS(SUM(AC95:AE95)))=ABS(SUM(N95:P95)),"流动性",IF(MAX(ABS(SUM(L95:M95)),ABS(SUM(N95:P95)),ABS(Q95),ABS(SUM(R95:T95)),ABS(SUM(U95:V95)),ABS(SUM(W95:Y95)),ABS(SUM(Z95:AB95)),ABS(SUM(AC95:AE95)))=ABS(Q95),"价格行为",IF(MAX(ABS(SUM(L95:M95)),ABS(SUM(N95:P95)),ABS(Q95),ABS(SUM(R95:T95)),ABS(SUM(U95:V95)),ABS(SUM(W95:Y95)),ABS(SUM(Z95:AB95)),ABS(SUM(AC95:AE95)))=ABS(SUM(R95:T95)),"杠杆/清算",IF(MAX(ABS(SUM(L95:M95)),ABS(SUM(N95:P95)),ABS(Q95),ABS(SUM(R95:T95)),ABS(SUM(U95:V95)),ABS(SUM(W95:Y95)),ABS(SUM(Z95:AB95)),ABS(SUM(AC95:AE95)))=ABS(SUM(U95:V95)),"衍生品",IF(MAX(ABS(SUM(L95:M95)),ABS(SUM(N95:P95)),ABS(Q95),ABS(SUM(R95:T95)),ABS(SUM(U95:V95)),ABS(SUM(W95:Y95)),ABS(SUM(Z95:AB95)),ABS(SUM(AC95:AE95)))=ABS(SUM(W95:Y95)),"跨市场",IF(MAX(ABS(SUM(L95:M95)),ABS(SUM(N95:P95)),ABS(Q95),ABS(SUM(R95:T95)),ABS(SUM(U95:V95)),ABS(SUM(W95:Y95)),ABS(SUM(Z95:AB95)),ABS(SUM(AC95:AE95)))=ABS(SUM(Z95:AB95)),"宏观代理","事件"))))))))</x:f>
      </x:c>
      <x:c r="L95" s="198"/>
      <x:c r="M95" s="198"/>
      <x:c r="N95" s="198"/>
      <x:c r="O95" s="198"/>
      <x:c r="P95" s="198"/>
      <x:c r="Q95" s="198"/>
      <x:c r="R95" s="198"/>
      <x:c r="S95" s="198"/>
      <x:c r="T95" s="198"/>
      <x:c r="U95" s="198"/>
      <x:c r="V95" s="198"/>
      <x:c r="W95" s="198"/>
      <x:c r="X95" s="198"/>
      <x:c r="Y95" s="198"/>
      <x:c r="Z95" s="198"/>
      <x:c r="AA95" s="198"/>
      <x:c r="AB95" s="198"/>
      <x:c r="AC95" s="198"/>
      <x:c r="AD95" s="198"/>
      <x:c r="AE95" s="198"/>
      <x:c r="AF95" s="215"/>
    </x:row>
    <x:row r="96">
      <x:c r="A96" s="238"/>
      <x:c r="B96" s="215" t="str">
        <x:v>正常</x:v>
      </x:c>
      <x:c r="C96" s="199"/>
      <x:c r="D96" s="223" t="str">
        <x:f>IF(COUNTA(L96:AE96)=0,"",SUMPRODUCT(L96:AE96,'参数'!$C$6:$C$25,'参数'!$D$6:$D$25,INDEX('参数'!$E$6:$J$25,0,MATCH(B96,'参数'!$E$5:$J$5,0)),'参数'!$K$6:$K$25)/SUMPRODUCT('参数'!$C$6:$C$25,'参数'!$D$6:$D$25,INDEX('参数'!$E$6:$J$25,0,MATCH(B96,'参数'!$E$5:$J$5,0)),'参数'!$K$6:$K$25))</x:f>
      </x:c>
      <x:c r="E96" s="223" t="str">
        <x:f>IF(D96="","",SUMPRODUCT(ABS(L96:AE96),'参数'!$C$6:$C$25,'参数'!$D$6:$D$25,INDEX('参数'!$E$6:$J$25,0,MATCH(B96,'参数'!$E$5:$J$5,0)))/SUMPRODUCT('参数'!$C$6:$C$25,'参数'!$D$6:$D$25,INDEX('参数'!$E$6:$J$25,0,MATCH(B96,'参数'!$E$5:$J$5,0))))</x:f>
      </x:c>
      <x:c r="F96" s="194" t="str">
        <x:f>IF(D96="","",IF(D96&gt;='参数'!$B$30,1,IF(D96&lt;=-'参数'!$B$30,-1,0)))</x:f>
      </x:c>
      <x:c r="G96" s="194" t="str">
        <x:f>IF(C96="","",IF(C96&gt;='参数'!$B$37,1,IF(C96&lt;=-'参数'!$B$37,-1,0)))</x:f>
      </x:c>
      <x:c r="H96" s="194" t="str">
        <x:f>IF(OR(F96="",G96=""),"",--(F96=G96))</x:f>
      </x:c>
      <x:c r="I96" s="214" t="str">
        <x:f>IF(D96="","",D96*'参数'!$B$34)</x:f>
      </x:c>
      <x:c r="J96" s="214" t="str">
        <x:f>IF(OR(C96="",I96=""),"",ABS(C96-I96))</x:f>
      </x:c>
      <x:c r="K96" s="194" t="str">
        <x:f>IF(D96="","",IF(MAX(ABS(SUM(L96:M96)),ABS(SUM(N96:P96)),ABS(Q96),ABS(SUM(R96:T96)),ABS(SUM(U96:V96)),ABS(SUM(W96:Y96)),ABS(SUM(Z96:AB96)),ABS(SUM(AC96:AE96)))=ABS(SUM(L96:M96)),"订单流",IF(MAX(ABS(SUM(L96:M96)),ABS(SUM(N96:P96)),ABS(Q96),ABS(SUM(R96:T96)),ABS(SUM(U96:V96)),ABS(SUM(W96:Y96)),ABS(SUM(Z96:AB96)),ABS(SUM(AC96:AE96)))=ABS(SUM(N96:P96)),"流动性",IF(MAX(ABS(SUM(L96:M96)),ABS(SUM(N96:P96)),ABS(Q96),ABS(SUM(R96:T96)),ABS(SUM(U96:V96)),ABS(SUM(W96:Y96)),ABS(SUM(Z96:AB96)),ABS(SUM(AC96:AE96)))=ABS(Q96),"价格行为",IF(MAX(ABS(SUM(L96:M96)),ABS(SUM(N96:P96)),ABS(Q96),ABS(SUM(R96:T96)),ABS(SUM(U96:V96)),ABS(SUM(W96:Y96)),ABS(SUM(Z96:AB96)),ABS(SUM(AC96:AE96)))=ABS(SUM(R96:T96)),"杠杆/清算",IF(MAX(ABS(SUM(L96:M96)),ABS(SUM(N96:P96)),ABS(Q96),ABS(SUM(R96:T96)),ABS(SUM(U96:V96)),ABS(SUM(W96:Y96)),ABS(SUM(Z96:AB96)),ABS(SUM(AC96:AE96)))=ABS(SUM(U96:V96)),"衍生品",IF(MAX(ABS(SUM(L96:M96)),ABS(SUM(N96:P96)),ABS(Q96),ABS(SUM(R96:T96)),ABS(SUM(U96:V96)),ABS(SUM(W96:Y96)),ABS(SUM(Z96:AB96)),ABS(SUM(AC96:AE96)))=ABS(SUM(W96:Y96)),"跨市场",IF(MAX(ABS(SUM(L96:M96)),ABS(SUM(N96:P96)),ABS(Q96),ABS(SUM(R96:T96)),ABS(SUM(U96:V96)),ABS(SUM(W96:Y96)),ABS(SUM(Z96:AB96)),ABS(SUM(AC96:AE96)))=ABS(SUM(Z96:AB96)),"宏观代理","事件"))))))))</x:f>
      </x:c>
      <x:c r="L96" s="198"/>
      <x:c r="M96" s="198"/>
      <x:c r="N96" s="198"/>
      <x:c r="O96" s="198"/>
      <x:c r="P96" s="198"/>
      <x:c r="Q96" s="198"/>
      <x:c r="R96" s="198"/>
      <x:c r="S96" s="198"/>
      <x:c r="T96" s="198"/>
      <x:c r="U96" s="198"/>
      <x:c r="V96" s="198"/>
      <x:c r="W96" s="198"/>
      <x:c r="X96" s="198"/>
      <x:c r="Y96" s="198"/>
      <x:c r="Z96" s="198"/>
      <x:c r="AA96" s="198"/>
      <x:c r="AB96" s="198"/>
      <x:c r="AC96" s="198"/>
      <x:c r="AD96" s="198"/>
      <x:c r="AE96" s="198"/>
      <x:c r="AF96" s="215"/>
    </x:row>
    <x:row r="97">
      <x:c r="A97" s="238"/>
      <x:c r="B97" s="215" t="str">
        <x:v>正常</x:v>
      </x:c>
      <x:c r="C97" s="199"/>
      <x:c r="D97" s="223" t="str">
        <x:f>IF(COUNTA(L97:AE97)=0,"",SUMPRODUCT(L97:AE97,'参数'!$C$6:$C$25,'参数'!$D$6:$D$25,INDEX('参数'!$E$6:$J$25,0,MATCH(B97,'参数'!$E$5:$J$5,0)),'参数'!$K$6:$K$25)/SUMPRODUCT('参数'!$C$6:$C$25,'参数'!$D$6:$D$25,INDEX('参数'!$E$6:$J$25,0,MATCH(B97,'参数'!$E$5:$J$5,0)),'参数'!$K$6:$K$25))</x:f>
      </x:c>
      <x:c r="E97" s="223" t="str">
        <x:f>IF(D97="","",SUMPRODUCT(ABS(L97:AE97),'参数'!$C$6:$C$25,'参数'!$D$6:$D$25,INDEX('参数'!$E$6:$J$25,0,MATCH(B97,'参数'!$E$5:$J$5,0)))/SUMPRODUCT('参数'!$C$6:$C$25,'参数'!$D$6:$D$25,INDEX('参数'!$E$6:$J$25,0,MATCH(B97,'参数'!$E$5:$J$5,0))))</x:f>
      </x:c>
      <x:c r="F97" s="194" t="str">
        <x:f>IF(D97="","",IF(D97&gt;='参数'!$B$30,1,IF(D97&lt;=-'参数'!$B$30,-1,0)))</x:f>
      </x:c>
      <x:c r="G97" s="194" t="str">
        <x:f>IF(C97="","",IF(C97&gt;='参数'!$B$37,1,IF(C97&lt;=-'参数'!$B$37,-1,0)))</x:f>
      </x:c>
      <x:c r="H97" s="194" t="str">
        <x:f>IF(OR(F97="",G97=""),"",--(F97=G97))</x:f>
      </x:c>
      <x:c r="I97" s="214" t="str">
        <x:f>IF(D97="","",D97*'参数'!$B$34)</x:f>
      </x:c>
      <x:c r="J97" s="214" t="str">
        <x:f>IF(OR(C97="",I97=""),"",ABS(C97-I97))</x:f>
      </x:c>
      <x:c r="K97" s="194" t="str">
        <x:f>IF(D97="","",IF(MAX(ABS(SUM(L97:M97)),ABS(SUM(N97:P97)),ABS(Q97),ABS(SUM(R97:T97)),ABS(SUM(U97:V97)),ABS(SUM(W97:Y97)),ABS(SUM(Z97:AB97)),ABS(SUM(AC97:AE97)))=ABS(SUM(L97:M97)),"订单流",IF(MAX(ABS(SUM(L97:M97)),ABS(SUM(N97:P97)),ABS(Q97),ABS(SUM(R97:T97)),ABS(SUM(U97:V97)),ABS(SUM(W97:Y97)),ABS(SUM(Z97:AB97)),ABS(SUM(AC97:AE97)))=ABS(SUM(N97:P97)),"流动性",IF(MAX(ABS(SUM(L97:M97)),ABS(SUM(N97:P97)),ABS(Q97),ABS(SUM(R97:T97)),ABS(SUM(U97:V97)),ABS(SUM(W97:Y97)),ABS(SUM(Z97:AB97)),ABS(SUM(AC97:AE97)))=ABS(Q97),"价格行为",IF(MAX(ABS(SUM(L97:M97)),ABS(SUM(N97:P97)),ABS(Q97),ABS(SUM(R97:T97)),ABS(SUM(U97:V97)),ABS(SUM(W97:Y97)),ABS(SUM(Z97:AB97)),ABS(SUM(AC97:AE97)))=ABS(SUM(R97:T97)),"杠杆/清算",IF(MAX(ABS(SUM(L97:M97)),ABS(SUM(N97:P97)),ABS(Q97),ABS(SUM(R97:T97)),ABS(SUM(U97:V97)),ABS(SUM(W97:Y97)),ABS(SUM(Z97:AB97)),ABS(SUM(AC97:AE97)))=ABS(SUM(U97:V97)),"衍生品",IF(MAX(ABS(SUM(L97:M97)),ABS(SUM(N97:P97)),ABS(Q97),ABS(SUM(R97:T97)),ABS(SUM(U97:V97)),ABS(SUM(W97:Y97)),ABS(SUM(Z97:AB97)),ABS(SUM(AC97:AE97)))=ABS(SUM(W97:Y97)),"跨市场",IF(MAX(ABS(SUM(L97:M97)),ABS(SUM(N97:P97)),ABS(Q97),ABS(SUM(R97:T97)),ABS(SUM(U97:V97)),ABS(SUM(W97:Y97)),ABS(SUM(Z97:AB97)),ABS(SUM(AC97:AE97)))=ABS(SUM(Z97:AB97)),"宏观代理","事件"))))))))</x:f>
      </x:c>
      <x:c r="L97" s="198"/>
      <x:c r="M97" s="198"/>
      <x:c r="N97" s="198"/>
      <x:c r="O97" s="198"/>
      <x:c r="P97" s="198"/>
      <x:c r="Q97" s="198"/>
      <x:c r="R97" s="198"/>
      <x:c r="S97" s="198"/>
      <x:c r="T97" s="198"/>
      <x:c r="U97" s="198"/>
      <x:c r="V97" s="198"/>
      <x:c r="W97" s="198"/>
      <x:c r="X97" s="198"/>
      <x:c r="Y97" s="198"/>
      <x:c r="Z97" s="198"/>
      <x:c r="AA97" s="198"/>
      <x:c r="AB97" s="198"/>
      <x:c r="AC97" s="198"/>
      <x:c r="AD97" s="198"/>
      <x:c r="AE97" s="198"/>
      <x:c r="AF97" s="215"/>
    </x:row>
    <x:row r="98">
      <x:c r="A98" s="238"/>
      <x:c r="B98" s="215" t="str">
        <x:v>正常</x:v>
      </x:c>
      <x:c r="C98" s="199"/>
      <x:c r="D98" s="223" t="str">
        <x:f>IF(COUNTA(L98:AE98)=0,"",SUMPRODUCT(L98:AE98,'参数'!$C$6:$C$25,'参数'!$D$6:$D$25,INDEX('参数'!$E$6:$J$25,0,MATCH(B98,'参数'!$E$5:$J$5,0)),'参数'!$K$6:$K$25)/SUMPRODUCT('参数'!$C$6:$C$25,'参数'!$D$6:$D$25,INDEX('参数'!$E$6:$J$25,0,MATCH(B98,'参数'!$E$5:$J$5,0)),'参数'!$K$6:$K$25))</x:f>
      </x:c>
      <x:c r="E98" s="223" t="str">
        <x:f>IF(D98="","",SUMPRODUCT(ABS(L98:AE98),'参数'!$C$6:$C$25,'参数'!$D$6:$D$25,INDEX('参数'!$E$6:$J$25,0,MATCH(B98,'参数'!$E$5:$J$5,0)))/SUMPRODUCT('参数'!$C$6:$C$25,'参数'!$D$6:$D$25,INDEX('参数'!$E$6:$J$25,0,MATCH(B98,'参数'!$E$5:$J$5,0))))</x:f>
      </x:c>
      <x:c r="F98" s="194" t="str">
        <x:f>IF(D98="","",IF(D98&gt;='参数'!$B$30,1,IF(D98&lt;=-'参数'!$B$30,-1,0)))</x:f>
      </x:c>
      <x:c r="G98" s="194" t="str">
        <x:f>IF(C98="","",IF(C98&gt;='参数'!$B$37,1,IF(C98&lt;=-'参数'!$B$37,-1,0)))</x:f>
      </x:c>
      <x:c r="H98" s="194" t="str">
        <x:f>IF(OR(F98="",G98=""),"",--(F98=G98))</x:f>
      </x:c>
      <x:c r="I98" s="214" t="str">
        <x:f>IF(D98="","",D98*'参数'!$B$34)</x:f>
      </x:c>
      <x:c r="J98" s="214" t="str">
        <x:f>IF(OR(C98="",I98=""),"",ABS(C98-I98))</x:f>
      </x:c>
      <x:c r="K98" s="194" t="str">
        <x:f>IF(D98="","",IF(MAX(ABS(SUM(L98:M98)),ABS(SUM(N98:P98)),ABS(Q98),ABS(SUM(R98:T98)),ABS(SUM(U98:V98)),ABS(SUM(W98:Y98)),ABS(SUM(Z98:AB98)),ABS(SUM(AC98:AE98)))=ABS(SUM(L98:M98)),"订单流",IF(MAX(ABS(SUM(L98:M98)),ABS(SUM(N98:P98)),ABS(Q98),ABS(SUM(R98:T98)),ABS(SUM(U98:V98)),ABS(SUM(W98:Y98)),ABS(SUM(Z98:AB98)),ABS(SUM(AC98:AE98)))=ABS(SUM(N98:P98)),"流动性",IF(MAX(ABS(SUM(L98:M98)),ABS(SUM(N98:P98)),ABS(Q98),ABS(SUM(R98:T98)),ABS(SUM(U98:V98)),ABS(SUM(W98:Y98)),ABS(SUM(Z98:AB98)),ABS(SUM(AC98:AE98)))=ABS(Q98),"价格行为",IF(MAX(ABS(SUM(L98:M98)),ABS(SUM(N98:P98)),ABS(Q98),ABS(SUM(R98:T98)),ABS(SUM(U98:V98)),ABS(SUM(W98:Y98)),ABS(SUM(Z98:AB98)),ABS(SUM(AC98:AE98)))=ABS(SUM(R98:T98)),"杠杆/清算",IF(MAX(ABS(SUM(L98:M98)),ABS(SUM(N98:P98)),ABS(Q98),ABS(SUM(R98:T98)),ABS(SUM(U98:V98)),ABS(SUM(W98:Y98)),ABS(SUM(Z98:AB98)),ABS(SUM(AC98:AE98)))=ABS(SUM(U98:V98)),"衍生品",IF(MAX(ABS(SUM(L98:M98)),ABS(SUM(N98:P98)),ABS(Q98),ABS(SUM(R98:T98)),ABS(SUM(U98:V98)),ABS(SUM(W98:Y98)),ABS(SUM(Z98:AB98)),ABS(SUM(AC98:AE98)))=ABS(SUM(W98:Y98)),"跨市场",IF(MAX(ABS(SUM(L98:M98)),ABS(SUM(N98:P98)),ABS(Q98),ABS(SUM(R98:T98)),ABS(SUM(U98:V98)),ABS(SUM(W98:Y98)),ABS(SUM(Z98:AB98)),ABS(SUM(AC98:AE98)))=ABS(SUM(Z98:AB98)),"宏观代理","事件"))))))))</x:f>
      </x:c>
      <x:c r="L98" s="198"/>
      <x:c r="M98" s="198"/>
      <x:c r="N98" s="198"/>
      <x:c r="O98" s="198"/>
      <x:c r="P98" s="198"/>
      <x:c r="Q98" s="198"/>
      <x:c r="R98" s="198"/>
      <x:c r="S98" s="198"/>
      <x:c r="T98" s="198"/>
      <x:c r="U98" s="198"/>
      <x:c r="V98" s="198"/>
      <x:c r="W98" s="198"/>
      <x:c r="X98" s="198"/>
      <x:c r="Y98" s="198"/>
      <x:c r="Z98" s="198"/>
      <x:c r="AA98" s="198"/>
      <x:c r="AB98" s="198"/>
      <x:c r="AC98" s="198"/>
      <x:c r="AD98" s="198"/>
      <x:c r="AE98" s="198"/>
      <x:c r="AF98" s="215"/>
    </x:row>
    <x:row r="99">
      <x:c r="A99" s="238"/>
      <x:c r="B99" s="215" t="str">
        <x:v>正常</x:v>
      </x:c>
      <x:c r="C99" s="199"/>
      <x:c r="D99" s="223" t="str">
        <x:f>IF(COUNTA(L99:AE99)=0,"",SUMPRODUCT(L99:AE99,'参数'!$C$6:$C$25,'参数'!$D$6:$D$25,INDEX('参数'!$E$6:$J$25,0,MATCH(B99,'参数'!$E$5:$J$5,0)),'参数'!$K$6:$K$25)/SUMPRODUCT('参数'!$C$6:$C$25,'参数'!$D$6:$D$25,INDEX('参数'!$E$6:$J$25,0,MATCH(B99,'参数'!$E$5:$J$5,0)),'参数'!$K$6:$K$25))</x:f>
      </x:c>
      <x:c r="E99" s="223" t="str">
        <x:f>IF(D99="","",SUMPRODUCT(ABS(L99:AE99),'参数'!$C$6:$C$25,'参数'!$D$6:$D$25,INDEX('参数'!$E$6:$J$25,0,MATCH(B99,'参数'!$E$5:$J$5,0)))/SUMPRODUCT('参数'!$C$6:$C$25,'参数'!$D$6:$D$25,INDEX('参数'!$E$6:$J$25,0,MATCH(B99,'参数'!$E$5:$J$5,0))))</x:f>
      </x:c>
      <x:c r="F99" s="194" t="str">
        <x:f>IF(D99="","",IF(D99&gt;='参数'!$B$30,1,IF(D99&lt;=-'参数'!$B$30,-1,0)))</x:f>
      </x:c>
      <x:c r="G99" s="194" t="str">
        <x:f>IF(C99="","",IF(C99&gt;='参数'!$B$37,1,IF(C99&lt;=-'参数'!$B$37,-1,0)))</x:f>
      </x:c>
      <x:c r="H99" s="194" t="str">
        <x:f>IF(OR(F99="",G99=""),"",--(F99=G99))</x:f>
      </x:c>
      <x:c r="I99" s="214" t="str">
        <x:f>IF(D99="","",D99*'参数'!$B$34)</x:f>
      </x:c>
      <x:c r="J99" s="214" t="str">
        <x:f>IF(OR(C99="",I99=""),"",ABS(C99-I99))</x:f>
      </x:c>
      <x:c r="K99" s="194" t="str">
        <x:f>IF(D99="","",IF(MAX(ABS(SUM(L99:M99)),ABS(SUM(N99:P99)),ABS(Q99),ABS(SUM(R99:T99)),ABS(SUM(U99:V99)),ABS(SUM(W99:Y99)),ABS(SUM(Z99:AB99)),ABS(SUM(AC99:AE99)))=ABS(SUM(L99:M99)),"订单流",IF(MAX(ABS(SUM(L99:M99)),ABS(SUM(N99:P99)),ABS(Q99),ABS(SUM(R99:T99)),ABS(SUM(U99:V99)),ABS(SUM(W99:Y99)),ABS(SUM(Z99:AB99)),ABS(SUM(AC99:AE99)))=ABS(SUM(N99:P99)),"流动性",IF(MAX(ABS(SUM(L99:M99)),ABS(SUM(N99:P99)),ABS(Q99),ABS(SUM(R99:T99)),ABS(SUM(U99:V99)),ABS(SUM(W99:Y99)),ABS(SUM(Z99:AB99)),ABS(SUM(AC99:AE99)))=ABS(Q99),"价格行为",IF(MAX(ABS(SUM(L99:M99)),ABS(SUM(N99:P99)),ABS(Q99),ABS(SUM(R99:T99)),ABS(SUM(U99:V99)),ABS(SUM(W99:Y99)),ABS(SUM(Z99:AB99)),ABS(SUM(AC99:AE99)))=ABS(SUM(R99:T99)),"杠杆/清算",IF(MAX(ABS(SUM(L99:M99)),ABS(SUM(N99:P99)),ABS(Q99),ABS(SUM(R99:T99)),ABS(SUM(U99:V99)),ABS(SUM(W99:Y99)),ABS(SUM(Z99:AB99)),ABS(SUM(AC99:AE99)))=ABS(SUM(U99:V99)),"衍生品",IF(MAX(ABS(SUM(L99:M99)),ABS(SUM(N99:P99)),ABS(Q99),ABS(SUM(R99:T99)),ABS(SUM(U99:V99)),ABS(SUM(W99:Y99)),ABS(SUM(Z99:AB99)),ABS(SUM(AC99:AE99)))=ABS(SUM(W99:Y99)),"跨市场",IF(MAX(ABS(SUM(L99:M99)),ABS(SUM(N99:P99)),ABS(Q99),ABS(SUM(R99:T99)),ABS(SUM(U99:V99)),ABS(SUM(W99:Y99)),ABS(SUM(Z99:AB99)),ABS(SUM(AC99:AE99)))=ABS(SUM(Z99:AB99)),"宏观代理","事件"))))))))</x:f>
      </x:c>
      <x:c r="L99" s="198"/>
      <x:c r="M99" s="198"/>
      <x:c r="N99" s="198"/>
      <x:c r="O99" s="198"/>
      <x:c r="P99" s="198"/>
      <x:c r="Q99" s="198"/>
      <x:c r="R99" s="198"/>
      <x:c r="S99" s="198"/>
      <x:c r="T99" s="198"/>
      <x:c r="U99" s="198"/>
      <x:c r="V99" s="198"/>
      <x:c r="W99" s="198"/>
      <x:c r="X99" s="198"/>
      <x:c r="Y99" s="198"/>
      <x:c r="Z99" s="198"/>
      <x:c r="AA99" s="198"/>
      <x:c r="AB99" s="198"/>
      <x:c r="AC99" s="198"/>
      <x:c r="AD99" s="198"/>
      <x:c r="AE99" s="198"/>
      <x:c r="AF99" s="215"/>
    </x:row>
    <x:row r="100">
      <x:c r="A100" s="238"/>
      <x:c r="B100" s="215" t="str">
        <x:v>正常</x:v>
      </x:c>
      <x:c r="C100" s="199"/>
      <x:c r="D100" s="223" t="str">
        <x:f>IF(COUNTA(L100:AE100)=0,"",SUMPRODUCT(L100:AE100,'参数'!$C$6:$C$25,'参数'!$D$6:$D$25,INDEX('参数'!$E$6:$J$25,0,MATCH(B100,'参数'!$E$5:$J$5,0)),'参数'!$K$6:$K$25)/SUMPRODUCT('参数'!$C$6:$C$25,'参数'!$D$6:$D$25,INDEX('参数'!$E$6:$J$25,0,MATCH(B100,'参数'!$E$5:$J$5,0)),'参数'!$K$6:$K$25))</x:f>
      </x:c>
      <x:c r="E100" s="223" t="str">
        <x:f>IF(D100="","",SUMPRODUCT(ABS(L100:AE100),'参数'!$C$6:$C$25,'参数'!$D$6:$D$25,INDEX('参数'!$E$6:$J$25,0,MATCH(B100,'参数'!$E$5:$J$5,0)))/SUMPRODUCT('参数'!$C$6:$C$25,'参数'!$D$6:$D$25,INDEX('参数'!$E$6:$J$25,0,MATCH(B100,'参数'!$E$5:$J$5,0))))</x:f>
      </x:c>
      <x:c r="F100" s="194" t="str">
        <x:f>IF(D100="","",IF(D100&gt;='参数'!$B$30,1,IF(D100&lt;=-'参数'!$B$30,-1,0)))</x:f>
      </x:c>
      <x:c r="G100" s="194" t="str">
        <x:f>IF(C100="","",IF(C100&gt;='参数'!$B$37,1,IF(C100&lt;=-'参数'!$B$37,-1,0)))</x:f>
      </x:c>
      <x:c r="H100" s="194" t="str">
        <x:f>IF(OR(F100="",G100=""),"",--(F100=G100))</x:f>
      </x:c>
      <x:c r="I100" s="214" t="str">
        <x:f>IF(D100="","",D100*'参数'!$B$34)</x:f>
      </x:c>
      <x:c r="J100" s="214" t="str">
        <x:f>IF(OR(C100="",I100=""),"",ABS(C100-I100))</x:f>
      </x:c>
      <x:c r="K100" s="194" t="str">
        <x:f>IF(D100="","",IF(MAX(ABS(SUM(L100:M100)),ABS(SUM(N100:P100)),ABS(Q100),ABS(SUM(R100:T100)),ABS(SUM(U100:V100)),ABS(SUM(W100:Y100)),ABS(SUM(Z100:AB100)),ABS(SUM(AC100:AE100)))=ABS(SUM(L100:M100)),"订单流",IF(MAX(ABS(SUM(L100:M100)),ABS(SUM(N100:P100)),ABS(Q100),ABS(SUM(R100:T100)),ABS(SUM(U100:V100)),ABS(SUM(W100:Y100)),ABS(SUM(Z100:AB100)),ABS(SUM(AC100:AE100)))=ABS(SUM(N100:P100)),"流动性",IF(MAX(ABS(SUM(L100:M100)),ABS(SUM(N100:P100)),ABS(Q100),ABS(SUM(R100:T100)),ABS(SUM(U100:V100)),ABS(SUM(W100:Y100)),ABS(SUM(Z100:AB100)),ABS(SUM(AC100:AE100)))=ABS(Q100),"价格行为",IF(MAX(ABS(SUM(L100:M100)),ABS(SUM(N100:P100)),ABS(Q100),ABS(SUM(R100:T100)),ABS(SUM(U100:V100)),ABS(SUM(W100:Y100)),ABS(SUM(Z100:AB100)),ABS(SUM(AC100:AE100)))=ABS(SUM(R100:T100)),"杠杆/清算",IF(MAX(ABS(SUM(L100:M100)),ABS(SUM(N100:P100)),ABS(Q100),ABS(SUM(R100:T100)),ABS(SUM(U100:V100)),ABS(SUM(W100:Y100)),ABS(SUM(Z100:AB100)),ABS(SUM(AC100:AE100)))=ABS(SUM(U100:V100)),"衍生品",IF(MAX(ABS(SUM(L100:M100)),ABS(SUM(N100:P100)),ABS(Q100),ABS(SUM(R100:T100)),ABS(SUM(U100:V100)),ABS(SUM(W100:Y100)),ABS(SUM(Z100:AB100)),ABS(SUM(AC100:AE100)))=ABS(SUM(W100:Y100)),"跨市场",IF(MAX(ABS(SUM(L100:M100)),ABS(SUM(N100:P100)),ABS(Q100),ABS(SUM(R100:T100)),ABS(SUM(U100:V100)),ABS(SUM(W100:Y100)),ABS(SUM(Z100:AB100)),ABS(SUM(AC100:AE100)))=ABS(SUM(Z100:AB100)),"宏观代理","事件"))))))))</x:f>
      </x:c>
      <x:c r="L100" s="198"/>
      <x:c r="M100" s="198"/>
      <x:c r="N100" s="198"/>
      <x:c r="O100" s="198"/>
      <x:c r="P100" s="198"/>
      <x:c r="Q100" s="198"/>
      <x:c r="R100" s="198"/>
      <x:c r="S100" s="198"/>
      <x:c r="T100" s="198"/>
      <x:c r="U100" s="198"/>
      <x:c r="V100" s="198"/>
      <x:c r="W100" s="198"/>
      <x:c r="X100" s="198"/>
      <x:c r="Y100" s="198"/>
      <x:c r="Z100" s="198"/>
      <x:c r="AA100" s="198"/>
      <x:c r="AB100" s="198"/>
      <x:c r="AC100" s="198"/>
      <x:c r="AD100" s="198"/>
      <x:c r="AE100" s="198"/>
      <x:c r="AF100" s="215"/>
    </x:row>
    <x:row r="101">
      <x:c r="A101" s="238"/>
      <x:c r="B101" s="215" t="str">
        <x:v>正常</x:v>
      </x:c>
      <x:c r="C101" s="199"/>
      <x:c r="D101" s="223" t="str">
        <x:f>IF(COUNTA(L101:AE101)=0,"",SUMPRODUCT(L101:AE101,'参数'!$C$6:$C$25,'参数'!$D$6:$D$25,INDEX('参数'!$E$6:$J$25,0,MATCH(B101,'参数'!$E$5:$J$5,0)),'参数'!$K$6:$K$25)/SUMPRODUCT('参数'!$C$6:$C$25,'参数'!$D$6:$D$25,INDEX('参数'!$E$6:$J$25,0,MATCH(B101,'参数'!$E$5:$J$5,0)),'参数'!$K$6:$K$25))</x:f>
      </x:c>
      <x:c r="E101" s="223" t="str">
        <x:f>IF(D101="","",SUMPRODUCT(ABS(L101:AE101),'参数'!$C$6:$C$25,'参数'!$D$6:$D$25,INDEX('参数'!$E$6:$J$25,0,MATCH(B101,'参数'!$E$5:$J$5,0)))/SUMPRODUCT('参数'!$C$6:$C$25,'参数'!$D$6:$D$25,INDEX('参数'!$E$6:$J$25,0,MATCH(B101,'参数'!$E$5:$J$5,0))))</x:f>
      </x:c>
      <x:c r="F101" s="194" t="str">
        <x:f>IF(D101="","",IF(D101&gt;='参数'!$B$30,1,IF(D101&lt;=-'参数'!$B$30,-1,0)))</x:f>
      </x:c>
      <x:c r="G101" s="194" t="str">
        <x:f>IF(C101="","",IF(C101&gt;='参数'!$B$37,1,IF(C101&lt;=-'参数'!$B$37,-1,0)))</x:f>
      </x:c>
      <x:c r="H101" s="194" t="str">
        <x:f>IF(OR(F101="",G101=""),"",--(F101=G101))</x:f>
      </x:c>
      <x:c r="I101" s="214" t="str">
        <x:f>IF(D101="","",D101*'参数'!$B$34)</x:f>
      </x:c>
      <x:c r="J101" s="214" t="str">
        <x:f>IF(OR(C101="",I101=""),"",ABS(C101-I101))</x:f>
      </x:c>
      <x:c r="K101" s="194" t="str">
        <x:f>IF(D101="","",IF(MAX(ABS(SUM(L101:M101)),ABS(SUM(N101:P101)),ABS(Q101),ABS(SUM(R101:T101)),ABS(SUM(U101:V101)),ABS(SUM(W101:Y101)),ABS(SUM(Z101:AB101)),ABS(SUM(AC101:AE101)))=ABS(SUM(L101:M101)),"订单流",IF(MAX(ABS(SUM(L101:M101)),ABS(SUM(N101:P101)),ABS(Q101),ABS(SUM(R101:T101)),ABS(SUM(U101:V101)),ABS(SUM(W101:Y101)),ABS(SUM(Z101:AB101)),ABS(SUM(AC101:AE101)))=ABS(SUM(N101:P101)),"流动性",IF(MAX(ABS(SUM(L101:M101)),ABS(SUM(N101:P101)),ABS(Q101),ABS(SUM(R101:T101)),ABS(SUM(U101:V101)),ABS(SUM(W101:Y101)),ABS(SUM(Z101:AB101)),ABS(SUM(AC101:AE101)))=ABS(Q101),"价格行为",IF(MAX(ABS(SUM(L101:M101)),ABS(SUM(N101:P101)),ABS(Q101),ABS(SUM(R101:T101)),ABS(SUM(U101:V101)),ABS(SUM(W101:Y101)),ABS(SUM(Z101:AB101)),ABS(SUM(AC101:AE101)))=ABS(SUM(R101:T101)),"杠杆/清算",IF(MAX(ABS(SUM(L101:M101)),ABS(SUM(N101:P101)),ABS(Q101),ABS(SUM(R101:T101)),ABS(SUM(U101:V101)),ABS(SUM(W101:Y101)),ABS(SUM(Z101:AB101)),ABS(SUM(AC101:AE101)))=ABS(SUM(U101:V101)),"衍生品",IF(MAX(ABS(SUM(L101:M101)),ABS(SUM(N101:P101)),ABS(Q101),ABS(SUM(R101:T101)),ABS(SUM(U101:V101)),ABS(SUM(W101:Y101)),ABS(SUM(Z101:AB101)),ABS(SUM(AC101:AE101)))=ABS(SUM(W101:Y101)),"跨市场",IF(MAX(ABS(SUM(L101:M101)),ABS(SUM(N101:P101)),ABS(Q101),ABS(SUM(R101:T101)),ABS(SUM(U101:V101)),ABS(SUM(W101:Y101)),ABS(SUM(Z101:AB101)),ABS(SUM(AC101:AE101)))=ABS(SUM(Z101:AB101)),"宏观代理","事件"))))))))</x:f>
      </x:c>
      <x:c r="L101" s="198"/>
      <x:c r="M101" s="198"/>
      <x:c r="N101" s="198"/>
      <x:c r="O101" s="198"/>
      <x:c r="P101" s="198"/>
      <x:c r="Q101" s="198"/>
      <x:c r="R101" s="198"/>
      <x:c r="S101" s="198"/>
      <x:c r="T101" s="198"/>
      <x:c r="U101" s="198"/>
      <x:c r="V101" s="198"/>
      <x:c r="W101" s="198"/>
      <x:c r="X101" s="198"/>
      <x:c r="Y101" s="198"/>
      <x:c r="Z101" s="198"/>
      <x:c r="AA101" s="198"/>
      <x:c r="AB101" s="198"/>
      <x:c r="AC101" s="198"/>
      <x:c r="AD101" s="198"/>
      <x:c r="AE101" s="198"/>
      <x:c r="AF101" s="215"/>
    </x:row>
    <x:row r="102">
      <x:c r="A102" s="238"/>
      <x:c r="B102" s="215" t="str">
        <x:v>正常</x:v>
      </x:c>
      <x:c r="C102" s="199"/>
      <x:c r="D102" s="223" t="str">
        <x:f>IF(COUNTA(L102:AE102)=0,"",SUMPRODUCT(L102:AE102,'参数'!$C$6:$C$25,'参数'!$D$6:$D$25,INDEX('参数'!$E$6:$J$25,0,MATCH(B102,'参数'!$E$5:$J$5,0)),'参数'!$K$6:$K$25)/SUMPRODUCT('参数'!$C$6:$C$25,'参数'!$D$6:$D$25,INDEX('参数'!$E$6:$J$25,0,MATCH(B102,'参数'!$E$5:$J$5,0)),'参数'!$K$6:$K$25))</x:f>
      </x:c>
      <x:c r="E102" s="223" t="str">
        <x:f>IF(D102="","",SUMPRODUCT(ABS(L102:AE102),'参数'!$C$6:$C$25,'参数'!$D$6:$D$25,INDEX('参数'!$E$6:$J$25,0,MATCH(B102,'参数'!$E$5:$J$5,0)))/SUMPRODUCT('参数'!$C$6:$C$25,'参数'!$D$6:$D$25,INDEX('参数'!$E$6:$J$25,0,MATCH(B102,'参数'!$E$5:$J$5,0))))</x:f>
      </x:c>
      <x:c r="F102" s="194" t="str">
        <x:f>IF(D102="","",IF(D102&gt;='参数'!$B$30,1,IF(D102&lt;=-'参数'!$B$30,-1,0)))</x:f>
      </x:c>
      <x:c r="G102" s="194" t="str">
        <x:f>IF(C102="","",IF(C102&gt;='参数'!$B$37,1,IF(C102&lt;=-'参数'!$B$37,-1,0)))</x:f>
      </x:c>
      <x:c r="H102" s="194" t="str">
        <x:f>IF(OR(F102="",G102=""),"",--(F102=G102))</x:f>
      </x:c>
      <x:c r="I102" s="214" t="str">
        <x:f>IF(D102="","",D102*'参数'!$B$34)</x:f>
      </x:c>
      <x:c r="J102" s="214" t="str">
        <x:f>IF(OR(C102="",I102=""),"",ABS(C102-I102))</x:f>
      </x:c>
      <x:c r="K102" s="194" t="str">
        <x:f>IF(D102="","",IF(MAX(ABS(SUM(L102:M102)),ABS(SUM(N102:P102)),ABS(Q102),ABS(SUM(R102:T102)),ABS(SUM(U102:V102)),ABS(SUM(W102:Y102)),ABS(SUM(Z102:AB102)),ABS(SUM(AC102:AE102)))=ABS(SUM(L102:M102)),"订单流",IF(MAX(ABS(SUM(L102:M102)),ABS(SUM(N102:P102)),ABS(Q102),ABS(SUM(R102:T102)),ABS(SUM(U102:V102)),ABS(SUM(W102:Y102)),ABS(SUM(Z102:AB102)),ABS(SUM(AC102:AE102)))=ABS(SUM(N102:P102)),"流动性",IF(MAX(ABS(SUM(L102:M102)),ABS(SUM(N102:P102)),ABS(Q102),ABS(SUM(R102:T102)),ABS(SUM(U102:V102)),ABS(SUM(W102:Y102)),ABS(SUM(Z102:AB102)),ABS(SUM(AC102:AE102)))=ABS(Q102),"价格行为",IF(MAX(ABS(SUM(L102:M102)),ABS(SUM(N102:P102)),ABS(Q102),ABS(SUM(R102:T102)),ABS(SUM(U102:V102)),ABS(SUM(W102:Y102)),ABS(SUM(Z102:AB102)),ABS(SUM(AC102:AE102)))=ABS(SUM(R102:T102)),"杠杆/清算",IF(MAX(ABS(SUM(L102:M102)),ABS(SUM(N102:P102)),ABS(Q102),ABS(SUM(R102:T102)),ABS(SUM(U102:V102)),ABS(SUM(W102:Y102)),ABS(SUM(Z102:AB102)),ABS(SUM(AC102:AE102)))=ABS(SUM(U102:V102)),"衍生品",IF(MAX(ABS(SUM(L102:M102)),ABS(SUM(N102:P102)),ABS(Q102),ABS(SUM(R102:T102)),ABS(SUM(U102:V102)),ABS(SUM(W102:Y102)),ABS(SUM(Z102:AB102)),ABS(SUM(AC102:AE102)))=ABS(SUM(W102:Y102)),"跨市场",IF(MAX(ABS(SUM(L102:M102)),ABS(SUM(N102:P102)),ABS(Q102),ABS(SUM(R102:T102)),ABS(SUM(U102:V102)),ABS(SUM(W102:Y102)),ABS(SUM(Z102:AB102)),ABS(SUM(AC102:AE102)))=ABS(SUM(Z102:AB102)),"宏观代理","事件"))))))))</x:f>
      </x:c>
      <x:c r="L102" s="198"/>
      <x:c r="M102" s="198"/>
      <x:c r="N102" s="198"/>
      <x:c r="O102" s="198"/>
      <x:c r="P102" s="198"/>
      <x:c r="Q102" s="198"/>
      <x:c r="R102" s="198"/>
      <x:c r="S102" s="198"/>
      <x:c r="T102" s="198"/>
      <x:c r="U102" s="198"/>
      <x:c r="V102" s="198"/>
      <x:c r="W102" s="198"/>
      <x:c r="X102" s="198"/>
      <x:c r="Y102" s="198"/>
      <x:c r="Z102" s="198"/>
      <x:c r="AA102" s="198"/>
      <x:c r="AB102" s="198"/>
      <x:c r="AC102" s="198"/>
      <x:c r="AD102" s="198"/>
      <x:c r="AE102" s="198"/>
      <x:c r="AF102" s="215"/>
    </x:row>
    <x:row r="103">
      <x:c r="A103" s="238"/>
      <x:c r="B103" s="215" t="str">
        <x:v>正常</x:v>
      </x:c>
      <x:c r="C103" s="199"/>
      <x:c r="D103" s="223" t="str">
        <x:f>IF(COUNTA(L103:AE103)=0,"",SUMPRODUCT(L103:AE103,'参数'!$C$6:$C$25,'参数'!$D$6:$D$25,INDEX('参数'!$E$6:$J$25,0,MATCH(B103,'参数'!$E$5:$J$5,0)),'参数'!$K$6:$K$25)/SUMPRODUCT('参数'!$C$6:$C$25,'参数'!$D$6:$D$25,INDEX('参数'!$E$6:$J$25,0,MATCH(B103,'参数'!$E$5:$J$5,0)),'参数'!$K$6:$K$25))</x:f>
      </x:c>
      <x:c r="E103" s="223" t="str">
        <x:f>IF(D103="","",SUMPRODUCT(ABS(L103:AE103),'参数'!$C$6:$C$25,'参数'!$D$6:$D$25,INDEX('参数'!$E$6:$J$25,0,MATCH(B103,'参数'!$E$5:$J$5,0)))/SUMPRODUCT('参数'!$C$6:$C$25,'参数'!$D$6:$D$25,INDEX('参数'!$E$6:$J$25,0,MATCH(B103,'参数'!$E$5:$J$5,0))))</x:f>
      </x:c>
      <x:c r="F103" s="194" t="str">
        <x:f>IF(D103="","",IF(D103&gt;='参数'!$B$30,1,IF(D103&lt;=-'参数'!$B$30,-1,0)))</x:f>
      </x:c>
      <x:c r="G103" s="194" t="str">
        <x:f>IF(C103="","",IF(C103&gt;='参数'!$B$37,1,IF(C103&lt;=-'参数'!$B$37,-1,0)))</x:f>
      </x:c>
      <x:c r="H103" s="194" t="str">
        <x:f>IF(OR(F103="",G103=""),"",--(F103=G103))</x:f>
      </x:c>
      <x:c r="I103" s="214" t="str">
        <x:f>IF(D103="","",D103*'参数'!$B$34)</x:f>
      </x:c>
      <x:c r="J103" s="214" t="str">
        <x:f>IF(OR(C103="",I103=""),"",ABS(C103-I103))</x:f>
      </x:c>
      <x:c r="K103" s="194" t="str">
        <x:f>IF(D103="","",IF(MAX(ABS(SUM(L103:M103)),ABS(SUM(N103:P103)),ABS(Q103),ABS(SUM(R103:T103)),ABS(SUM(U103:V103)),ABS(SUM(W103:Y103)),ABS(SUM(Z103:AB103)),ABS(SUM(AC103:AE103)))=ABS(SUM(L103:M103)),"订单流",IF(MAX(ABS(SUM(L103:M103)),ABS(SUM(N103:P103)),ABS(Q103),ABS(SUM(R103:T103)),ABS(SUM(U103:V103)),ABS(SUM(W103:Y103)),ABS(SUM(Z103:AB103)),ABS(SUM(AC103:AE103)))=ABS(SUM(N103:P103)),"流动性",IF(MAX(ABS(SUM(L103:M103)),ABS(SUM(N103:P103)),ABS(Q103),ABS(SUM(R103:T103)),ABS(SUM(U103:V103)),ABS(SUM(W103:Y103)),ABS(SUM(Z103:AB103)),ABS(SUM(AC103:AE103)))=ABS(Q103),"价格行为",IF(MAX(ABS(SUM(L103:M103)),ABS(SUM(N103:P103)),ABS(Q103),ABS(SUM(R103:T103)),ABS(SUM(U103:V103)),ABS(SUM(W103:Y103)),ABS(SUM(Z103:AB103)),ABS(SUM(AC103:AE103)))=ABS(SUM(R103:T103)),"杠杆/清算",IF(MAX(ABS(SUM(L103:M103)),ABS(SUM(N103:P103)),ABS(Q103),ABS(SUM(R103:T103)),ABS(SUM(U103:V103)),ABS(SUM(W103:Y103)),ABS(SUM(Z103:AB103)),ABS(SUM(AC103:AE103)))=ABS(SUM(U103:V103)),"衍生品",IF(MAX(ABS(SUM(L103:M103)),ABS(SUM(N103:P103)),ABS(Q103),ABS(SUM(R103:T103)),ABS(SUM(U103:V103)),ABS(SUM(W103:Y103)),ABS(SUM(Z103:AB103)),ABS(SUM(AC103:AE103)))=ABS(SUM(W103:Y103)),"跨市场",IF(MAX(ABS(SUM(L103:M103)),ABS(SUM(N103:P103)),ABS(Q103),ABS(SUM(R103:T103)),ABS(SUM(U103:V103)),ABS(SUM(W103:Y103)),ABS(SUM(Z103:AB103)),ABS(SUM(AC103:AE103)))=ABS(SUM(Z103:AB103)),"宏观代理","事件"))))))))</x:f>
      </x:c>
      <x:c r="L103" s="198"/>
      <x:c r="M103" s="198"/>
      <x:c r="N103" s="198"/>
      <x:c r="O103" s="198"/>
      <x:c r="P103" s="198"/>
      <x:c r="Q103" s="198"/>
      <x:c r="R103" s="198"/>
      <x:c r="S103" s="198"/>
      <x:c r="T103" s="198"/>
      <x:c r="U103" s="198"/>
      <x:c r="V103" s="198"/>
      <x:c r="W103" s="198"/>
      <x:c r="X103" s="198"/>
      <x:c r="Y103" s="198"/>
      <x:c r="Z103" s="198"/>
      <x:c r="AA103" s="198"/>
      <x:c r="AB103" s="198"/>
      <x:c r="AC103" s="198"/>
      <x:c r="AD103" s="198"/>
      <x:c r="AE103" s="198"/>
      <x:c r="AF103" s="215"/>
    </x:row>
    <x:row r="104">
      <x:c r="A104" s="238"/>
      <x:c r="B104" s="215" t="str">
        <x:v>正常</x:v>
      </x:c>
      <x:c r="C104" s="199"/>
      <x:c r="D104" s="223" t="str">
        <x:f>IF(COUNTA(L104:AE104)=0,"",SUMPRODUCT(L104:AE104,'参数'!$C$6:$C$25,'参数'!$D$6:$D$25,INDEX('参数'!$E$6:$J$25,0,MATCH(B104,'参数'!$E$5:$J$5,0)),'参数'!$K$6:$K$25)/SUMPRODUCT('参数'!$C$6:$C$25,'参数'!$D$6:$D$25,INDEX('参数'!$E$6:$J$25,0,MATCH(B104,'参数'!$E$5:$J$5,0)),'参数'!$K$6:$K$25))</x:f>
      </x:c>
      <x:c r="E104" s="223" t="str">
        <x:f>IF(D104="","",SUMPRODUCT(ABS(L104:AE104),'参数'!$C$6:$C$25,'参数'!$D$6:$D$25,INDEX('参数'!$E$6:$J$25,0,MATCH(B104,'参数'!$E$5:$J$5,0)))/SUMPRODUCT('参数'!$C$6:$C$25,'参数'!$D$6:$D$25,INDEX('参数'!$E$6:$J$25,0,MATCH(B104,'参数'!$E$5:$J$5,0))))</x:f>
      </x:c>
      <x:c r="F104" s="194" t="str">
        <x:f>IF(D104="","",IF(D104&gt;='参数'!$B$30,1,IF(D104&lt;=-'参数'!$B$30,-1,0)))</x:f>
      </x:c>
      <x:c r="G104" s="194" t="str">
        <x:f>IF(C104="","",IF(C104&gt;='参数'!$B$37,1,IF(C104&lt;=-'参数'!$B$37,-1,0)))</x:f>
      </x:c>
      <x:c r="H104" s="194" t="str">
        <x:f>IF(OR(F104="",G104=""),"",--(F104=G104))</x:f>
      </x:c>
      <x:c r="I104" s="214" t="str">
        <x:f>IF(D104="","",D104*'参数'!$B$34)</x:f>
      </x:c>
      <x:c r="J104" s="214" t="str">
        <x:f>IF(OR(C104="",I104=""),"",ABS(C104-I104))</x:f>
      </x:c>
      <x:c r="K104" s="194" t="str">
        <x:f>IF(D104="","",IF(MAX(ABS(SUM(L104:M104)),ABS(SUM(N104:P104)),ABS(Q104),ABS(SUM(R104:T104)),ABS(SUM(U104:V104)),ABS(SUM(W104:Y104)),ABS(SUM(Z104:AB104)),ABS(SUM(AC104:AE104)))=ABS(SUM(L104:M104)),"订单流",IF(MAX(ABS(SUM(L104:M104)),ABS(SUM(N104:P104)),ABS(Q104),ABS(SUM(R104:T104)),ABS(SUM(U104:V104)),ABS(SUM(W104:Y104)),ABS(SUM(Z104:AB104)),ABS(SUM(AC104:AE104)))=ABS(SUM(N104:P104)),"流动性",IF(MAX(ABS(SUM(L104:M104)),ABS(SUM(N104:P104)),ABS(Q104),ABS(SUM(R104:T104)),ABS(SUM(U104:V104)),ABS(SUM(W104:Y104)),ABS(SUM(Z104:AB104)),ABS(SUM(AC104:AE104)))=ABS(Q104),"价格行为",IF(MAX(ABS(SUM(L104:M104)),ABS(SUM(N104:P104)),ABS(Q104),ABS(SUM(R104:T104)),ABS(SUM(U104:V104)),ABS(SUM(W104:Y104)),ABS(SUM(Z104:AB104)),ABS(SUM(AC104:AE104)))=ABS(SUM(R104:T104)),"杠杆/清算",IF(MAX(ABS(SUM(L104:M104)),ABS(SUM(N104:P104)),ABS(Q104),ABS(SUM(R104:T104)),ABS(SUM(U104:V104)),ABS(SUM(W104:Y104)),ABS(SUM(Z104:AB104)),ABS(SUM(AC104:AE104)))=ABS(SUM(U104:V104)),"衍生品",IF(MAX(ABS(SUM(L104:M104)),ABS(SUM(N104:P104)),ABS(Q104),ABS(SUM(R104:T104)),ABS(SUM(U104:V104)),ABS(SUM(W104:Y104)),ABS(SUM(Z104:AB104)),ABS(SUM(AC104:AE104)))=ABS(SUM(W104:Y104)),"跨市场",IF(MAX(ABS(SUM(L104:M104)),ABS(SUM(N104:P104)),ABS(Q104),ABS(SUM(R104:T104)),ABS(SUM(U104:V104)),ABS(SUM(W104:Y104)),ABS(SUM(Z104:AB104)),ABS(SUM(AC104:AE104)))=ABS(SUM(Z104:AB104)),"宏观代理","事件"))))))))</x:f>
      </x:c>
      <x:c r="L104" s="198"/>
      <x:c r="M104" s="198"/>
      <x:c r="N104" s="198"/>
      <x:c r="O104" s="198"/>
      <x:c r="P104" s="198"/>
      <x:c r="Q104" s="198"/>
      <x:c r="R104" s="198"/>
      <x:c r="S104" s="198"/>
      <x:c r="T104" s="198"/>
      <x:c r="U104" s="198"/>
      <x:c r="V104" s="198"/>
      <x:c r="W104" s="198"/>
      <x:c r="X104" s="198"/>
      <x:c r="Y104" s="198"/>
      <x:c r="Z104" s="198"/>
      <x:c r="AA104" s="198"/>
      <x:c r="AB104" s="198"/>
      <x:c r="AC104" s="198"/>
      <x:c r="AD104" s="198"/>
      <x:c r="AE104" s="198"/>
      <x:c r="AF104" s="215"/>
    </x:row>
    <x:row r="105">
      <x:c r="A105" s="238"/>
      <x:c r="B105" s="215" t="str">
        <x:v>正常</x:v>
      </x:c>
      <x:c r="C105" s="199"/>
      <x:c r="D105" s="223" t="str">
        <x:f>IF(COUNTA(L105:AE105)=0,"",SUMPRODUCT(L105:AE105,'参数'!$C$6:$C$25,'参数'!$D$6:$D$25,INDEX('参数'!$E$6:$J$25,0,MATCH(B105,'参数'!$E$5:$J$5,0)),'参数'!$K$6:$K$25)/SUMPRODUCT('参数'!$C$6:$C$25,'参数'!$D$6:$D$25,INDEX('参数'!$E$6:$J$25,0,MATCH(B105,'参数'!$E$5:$J$5,0)),'参数'!$K$6:$K$25))</x:f>
      </x:c>
      <x:c r="E105" s="223" t="str">
        <x:f>IF(D105="","",SUMPRODUCT(ABS(L105:AE105),'参数'!$C$6:$C$25,'参数'!$D$6:$D$25,INDEX('参数'!$E$6:$J$25,0,MATCH(B105,'参数'!$E$5:$J$5,0)))/SUMPRODUCT('参数'!$C$6:$C$25,'参数'!$D$6:$D$25,INDEX('参数'!$E$6:$J$25,0,MATCH(B105,'参数'!$E$5:$J$5,0))))</x:f>
      </x:c>
      <x:c r="F105" s="194" t="str">
        <x:f>IF(D105="","",IF(D105&gt;='参数'!$B$30,1,IF(D105&lt;=-'参数'!$B$30,-1,0)))</x:f>
      </x:c>
      <x:c r="G105" s="194" t="str">
        <x:f>IF(C105="","",IF(C105&gt;='参数'!$B$37,1,IF(C105&lt;=-'参数'!$B$37,-1,0)))</x:f>
      </x:c>
      <x:c r="H105" s="194" t="str">
        <x:f>IF(OR(F105="",G105=""),"",--(F105=G105))</x:f>
      </x:c>
      <x:c r="I105" s="214" t="str">
        <x:f>IF(D105="","",D105*'参数'!$B$34)</x:f>
      </x:c>
      <x:c r="J105" s="214" t="str">
        <x:f>IF(OR(C105="",I105=""),"",ABS(C105-I105))</x:f>
      </x:c>
      <x:c r="K105" s="194" t="str">
        <x:f>IF(D105="","",IF(MAX(ABS(SUM(L105:M105)),ABS(SUM(N105:P105)),ABS(Q105),ABS(SUM(R105:T105)),ABS(SUM(U105:V105)),ABS(SUM(W105:Y105)),ABS(SUM(Z105:AB105)),ABS(SUM(AC105:AE105)))=ABS(SUM(L105:M105)),"订单流",IF(MAX(ABS(SUM(L105:M105)),ABS(SUM(N105:P105)),ABS(Q105),ABS(SUM(R105:T105)),ABS(SUM(U105:V105)),ABS(SUM(W105:Y105)),ABS(SUM(Z105:AB105)),ABS(SUM(AC105:AE105)))=ABS(SUM(N105:P105)),"流动性",IF(MAX(ABS(SUM(L105:M105)),ABS(SUM(N105:P105)),ABS(Q105),ABS(SUM(R105:T105)),ABS(SUM(U105:V105)),ABS(SUM(W105:Y105)),ABS(SUM(Z105:AB105)),ABS(SUM(AC105:AE105)))=ABS(Q105),"价格行为",IF(MAX(ABS(SUM(L105:M105)),ABS(SUM(N105:P105)),ABS(Q105),ABS(SUM(R105:T105)),ABS(SUM(U105:V105)),ABS(SUM(W105:Y105)),ABS(SUM(Z105:AB105)),ABS(SUM(AC105:AE105)))=ABS(SUM(R105:T105)),"杠杆/清算",IF(MAX(ABS(SUM(L105:M105)),ABS(SUM(N105:P105)),ABS(Q105),ABS(SUM(R105:T105)),ABS(SUM(U105:V105)),ABS(SUM(W105:Y105)),ABS(SUM(Z105:AB105)),ABS(SUM(AC105:AE105)))=ABS(SUM(U105:V105)),"衍生品",IF(MAX(ABS(SUM(L105:M105)),ABS(SUM(N105:P105)),ABS(Q105),ABS(SUM(R105:T105)),ABS(SUM(U105:V105)),ABS(SUM(W105:Y105)),ABS(SUM(Z105:AB105)),ABS(SUM(AC105:AE105)))=ABS(SUM(W105:Y105)),"跨市场",IF(MAX(ABS(SUM(L105:M105)),ABS(SUM(N105:P105)),ABS(Q105),ABS(SUM(R105:T105)),ABS(SUM(U105:V105)),ABS(SUM(W105:Y105)),ABS(SUM(Z105:AB105)),ABS(SUM(AC105:AE105)))=ABS(SUM(Z105:AB105)),"宏观代理","事件"))))))))</x:f>
      </x:c>
      <x:c r="L105" s="198"/>
      <x:c r="M105" s="198"/>
      <x:c r="N105" s="198"/>
      <x:c r="O105" s="198"/>
      <x:c r="P105" s="198"/>
      <x:c r="Q105" s="198"/>
      <x:c r="R105" s="198"/>
      <x:c r="S105" s="198"/>
      <x:c r="T105" s="198"/>
      <x:c r="U105" s="198"/>
      <x:c r="V105" s="198"/>
      <x:c r="W105" s="198"/>
      <x:c r="X105" s="198"/>
      <x:c r="Y105" s="198"/>
      <x:c r="Z105" s="198"/>
      <x:c r="AA105" s="198"/>
      <x:c r="AB105" s="198"/>
      <x:c r="AC105" s="198"/>
      <x:c r="AD105" s="198"/>
      <x:c r="AE105" s="198"/>
      <x:c r="AF105" s="215"/>
    </x:row>
    <x:row r="106">
      <x:c r="A106" s="238"/>
      <x:c r="B106" s="215" t="str">
        <x:v>正常</x:v>
      </x:c>
      <x:c r="C106" s="199"/>
      <x:c r="D106" s="223" t="str">
        <x:f>IF(COUNTA(L106:AE106)=0,"",SUMPRODUCT(L106:AE106,'参数'!$C$6:$C$25,'参数'!$D$6:$D$25,INDEX('参数'!$E$6:$J$25,0,MATCH(B106,'参数'!$E$5:$J$5,0)),'参数'!$K$6:$K$25)/SUMPRODUCT('参数'!$C$6:$C$25,'参数'!$D$6:$D$25,INDEX('参数'!$E$6:$J$25,0,MATCH(B106,'参数'!$E$5:$J$5,0)),'参数'!$K$6:$K$25))</x:f>
      </x:c>
      <x:c r="E106" s="223" t="str">
        <x:f>IF(D106="","",SUMPRODUCT(ABS(L106:AE106),'参数'!$C$6:$C$25,'参数'!$D$6:$D$25,INDEX('参数'!$E$6:$J$25,0,MATCH(B106,'参数'!$E$5:$J$5,0)))/SUMPRODUCT('参数'!$C$6:$C$25,'参数'!$D$6:$D$25,INDEX('参数'!$E$6:$J$25,0,MATCH(B106,'参数'!$E$5:$J$5,0))))</x:f>
      </x:c>
      <x:c r="F106" s="194" t="str">
        <x:f>IF(D106="","",IF(D106&gt;='参数'!$B$30,1,IF(D106&lt;=-'参数'!$B$30,-1,0)))</x:f>
      </x:c>
      <x:c r="G106" s="194" t="str">
        <x:f>IF(C106="","",IF(C106&gt;='参数'!$B$37,1,IF(C106&lt;=-'参数'!$B$37,-1,0)))</x:f>
      </x:c>
      <x:c r="H106" s="194" t="str">
        <x:f>IF(OR(F106="",G106=""),"",--(F106=G106))</x:f>
      </x:c>
      <x:c r="I106" s="214" t="str">
        <x:f>IF(D106="","",D106*'参数'!$B$34)</x:f>
      </x:c>
      <x:c r="J106" s="214" t="str">
        <x:f>IF(OR(C106="",I106=""),"",ABS(C106-I106))</x:f>
      </x:c>
      <x:c r="K106" s="194" t="str">
        <x:f>IF(D106="","",IF(MAX(ABS(SUM(L106:M106)),ABS(SUM(N106:P106)),ABS(Q106),ABS(SUM(R106:T106)),ABS(SUM(U106:V106)),ABS(SUM(W106:Y106)),ABS(SUM(Z106:AB106)),ABS(SUM(AC106:AE106)))=ABS(SUM(L106:M106)),"订单流",IF(MAX(ABS(SUM(L106:M106)),ABS(SUM(N106:P106)),ABS(Q106),ABS(SUM(R106:T106)),ABS(SUM(U106:V106)),ABS(SUM(W106:Y106)),ABS(SUM(Z106:AB106)),ABS(SUM(AC106:AE106)))=ABS(SUM(N106:P106)),"流动性",IF(MAX(ABS(SUM(L106:M106)),ABS(SUM(N106:P106)),ABS(Q106),ABS(SUM(R106:T106)),ABS(SUM(U106:V106)),ABS(SUM(W106:Y106)),ABS(SUM(Z106:AB106)),ABS(SUM(AC106:AE106)))=ABS(Q106),"价格行为",IF(MAX(ABS(SUM(L106:M106)),ABS(SUM(N106:P106)),ABS(Q106),ABS(SUM(R106:T106)),ABS(SUM(U106:V106)),ABS(SUM(W106:Y106)),ABS(SUM(Z106:AB106)),ABS(SUM(AC106:AE106)))=ABS(SUM(R106:T106)),"杠杆/清算",IF(MAX(ABS(SUM(L106:M106)),ABS(SUM(N106:P106)),ABS(Q106),ABS(SUM(R106:T106)),ABS(SUM(U106:V106)),ABS(SUM(W106:Y106)),ABS(SUM(Z106:AB106)),ABS(SUM(AC106:AE106)))=ABS(SUM(U106:V106)),"衍生品",IF(MAX(ABS(SUM(L106:M106)),ABS(SUM(N106:P106)),ABS(Q106),ABS(SUM(R106:T106)),ABS(SUM(U106:V106)),ABS(SUM(W106:Y106)),ABS(SUM(Z106:AB106)),ABS(SUM(AC106:AE106)))=ABS(SUM(W106:Y106)),"跨市场",IF(MAX(ABS(SUM(L106:M106)),ABS(SUM(N106:P106)),ABS(Q106),ABS(SUM(R106:T106)),ABS(SUM(U106:V106)),ABS(SUM(W106:Y106)),ABS(SUM(Z106:AB106)),ABS(SUM(AC106:AE106)))=ABS(SUM(Z106:AB106)),"宏观代理","事件"))))))))</x:f>
      </x:c>
      <x:c r="L106" s="198"/>
      <x:c r="M106" s="198"/>
      <x:c r="N106" s="198"/>
      <x:c r="O106" s="198"/>
      <x:c r="P106" s="198"/>
      <x:c r="Q106" s="198"/>
      <x:c r="R106" s="198"/>
      <x:c r="S106" s="198"/>
      <x:c r="T106" s="198"/>
      <x:c r="U106" s="198"/>
      <x:c r="V106" s="198"/>
      <x:c r="W106" s="198"/>
      <x:c r="X106" s="198"/>
      <x:c r="Y106" s="198"/>
      <x:c r="Z106" s="198"/>
      <x:c r="AA106" s="198"/>
      <x:c r="AB106" s="198"/>
      <x:c r="AC106" s="198"/>
      <x:c r="AD106" s="198"/>
      <x:c r="AE106" s="198"/>
      <x:c r="AF106" s="215"/>
    </x:row>
    <x:row r="107">
      <x:c r="A107" s="238"/>
      <x:c r="B107" s="215" t="str">
        <x:v>正常</x:v>
      </x:c>
      <x:c r="C107" s="199"/>
      <x:c r="D107" s="223" t="str">
        <x:f>IF(COUNTA(L107:AE107)=0,"",SUMPRODUCT(L107:AE107,'参数'!$C$6:$C$25,'参数'!$D$6:$D$25,INDEX('参数'!$E$6:$J$25,0,MATCH(B107,'参数'!$E$5:$J$5,0)),'参数'!$K$6:$K$25)/SUMPRODUCT('参数'!$C$6:$C$25,'参数'!$D$6:$D$25,INDEX('参数'!$E$6:$J$25,0,MATCH(B107,'参数'!$E$5:$J$5,0)),'参数'!$K$6:$K$25))</x:f>
      </x:c>
      <x:c r="E107" s="223" t="str">
        <x:f>IF(D107="","",SUMPRODUCT(ABS(L107:AE107),'参数'!$C$6:$C$25,'参数'!$D$6:$D$25,INDEX('参数'!$E$6:$J$25,0,MATCH(B107,'参数'!$E$5:$J$5,0)))/SUMPRODUCT('参数'!$C$6:$C$25,'参数'!$D$6:$D$25,INDEX('参数'!$E$6:$J$25,0,MATCH(B107,'参数'!$E$5:$J$5,0))))</x:f>
      </x:c>
      <x:c r="F107" s="194" t="str">
        <x:f>IF(D107="","",IF(D107&gt;='参数'!$B$30,1,IF(D107&lt;=-'参数'!$B$30,-1,0)))</x:f>
      </x:c>
      <x:c r="G107" s="194" t="str">
        <x:f>IF(C107="","",IF(C107&gt;='参数'!$B$37,1,IF(C107&lt;=-'参数'!$B$37,-1,0)))</x:f>
      </x:c>
      <x:c r="H107" s="194" t="str">
        <x:f>IF(OR(F107="",G107=""),"",--(F107=G107))</x:f>
      </x:c>
      <x:c r="I107" s="214" t="str">
        <x:f>IF(D107="","",D107*'参数'!$B$34)</x:f>
      </x:c>
      <x:c r="J107" s="214" t="str">
        <x:f>IF(OR(C107="",I107=""),"",ABS(C107-I107))</x:f>
      </x:c>
      <x:c r="K107" s="194" t="str">
        <x:f>IF(D107="","",IF(MAX(ABS(SUM(L107:M107)),ABS(SUM(N107:P107)),ABS(Q107),ABS(SUM(R107:T107)),ABS(SUM(U107:V107)),ABS(SUM(W107:Y107)),ABS(SUM(Z107:AB107)),ABS(SUM(AC107:AE107)))=ABS(SUM(L107:M107)),"订单流",IF(MAX(ABS(SUM(L107:M107)),ABS(SUM(N107:P107)),ABS(Q107),ABS(SUM(R107:T107)),ABS(SUM(U107:V107)),ABS(SUM(W107:Y107)),ABS(SUM(Z107:AB107)),ABS(SUM(AC107:AE107)))=ABS(SUM(N107:P107)),"流动性",IF(MAX(ABS(SUM(L107:M107)),ABS(SUM(N107:P107)),ABS(Q107),ABS(SUM(R107:T107)),ABS(SUM(U107:V107)),ABS(SUM(W107:Y107)),ABS(SUM(Z107:AB107)),ABS(SUM(AC107:AE107)))=ABS(Q107),"价格行为",IF(MAX(ABS(SUM(L107:M107)),ABS(SUM(N107:P107)),ABS(Q107),ABS(SUM(R107:T107)),ABS(SUM(U107:V107)),ABS(SUM(W107:Y107)),ABS(SUM(Z107:AB107)),ABS(SUM(AC107:AE107)))=ABS(SUM(R107:T107)),"杠杆/清算",IF(MAX(ABS(SUM(L107:M107)),ABS(SUM(N107:P107)),ABS(Q107),ABS(SUM(R107:T107)),ABS(SUM(U107:V107)),ABS(SUM(W107:Y107)),ABS(SUM(Z107:AB107)),ABS(SUM(AC107:AE107)))=ABS(SUM(U107:V107)),"衍生品",IF(MAX(ABS(SUM(L107:M107)),ABS(SUM(N107:P107)),ABS(Q107),ABS(SUM(R107:T107)),ABS(SUM(U107:V107)),ABS(SUM(W107:Y107)),ABS(SUM(Z107:AB107)),ABS(SUM(AC107:AE107)))=ABS(SUM(W107:Y107)),"跨市场",IF(MAX(ABS(SUM(L107:M107)),ABS(SUM(N107:P107)),ABS(Q107),ABS(SUM(R107:T107)),ABS(SUM(U107:V107)),ABS(SUM(W107:Y107)),ABS(SUM(Z107:AB107)),ABS(SUM(AC107:AE107)))=ABS(SUM(Z107:AB107)),"宏观代理","事件"))))))))</x:f>
      </x:c>
      <x:c r="L107" s="198"/>
      <x:c r="M107" s="198"/>
      <x:c r="N107" s="198"/>
      <x:c r="O107" s="198"/>
      <x:c r="P107" s="198"/>
      <x:c r="Q107" s="198"/>
      <x:c r="R107" s="198"/>
      <x:c r="S107" s="198"/>
      <x:c r="T107" s="198"/>
      <x:c r="U107" s="198"/>
      <x:c r="V107" s="198"/>
      <x:c r="W107" s="198"/>
      <x:c r="X107" s="198"/>
      <x:c r="Y107" s="198"/>
      <x:c r="Z107" s="198"/>
      <x:c r="AA107" s="198"/>
      <x:c r="AB107" s="198"/>
      <x:c r="AC107" s="198"/>
      <x:c r="AD107" s="198"/>
      <x:c r="AE107" s="198"/>
      <x:c r="AF107" s="215"/>
    </x:row>
    <x:row r="108">
      <x:c r="A108" s="238"/>
      <x:c r="B108" s="215" t="str">
        <x:v>正常</x:v>
      </x:c>
      <x:c r="C108" s="199"/>
      <x:c r="D108" s="223" t="str">
        <x:f>IF(COUNTA(L108:AE108)=0,"",SUMPRODUCT(L108:AE108,'参数'!$C$6:$C$25,'参数'!$D$6:$D$25,INDEX('参数'!$E$6:$J$25,0,MATCH(B108,'参数'!$E$5:$J$5,0)),'参数'!$K$6:$K$25)/SUMPRODUCT('参数'!$C$6:$C$25,'参数'!$D$6:$D$25,INDEX('参数'!$E$6:$J$25,0,MATCH(B108,'参数'!$E$5:$J$5,0)),'参数'!$K$6:$K$25))</x:f>
      </x:c>
      <x:c r="E108" s="223" t="str">
        <x:f>IF(D108="","",SUMPRODUCT(ABS(L108:AE108),'参数'!$C$6:$C$25,'参数'!$D$6:$D$25,INDEX('参数'!$E$6:$J$25,0,MATCH(B108,'参数'!$E$5:$J$5,0)))/SUMPRODUCT('参数'!$C$6:$C$25,'参数'!$D$6:$D$25,INDEX('参数'!$E$6:$J$25,0,MATCH(B108,'参数'!$E$5:$J$5,0))))</x:f>
      </x:c>
      <x:c r="F108" s="194" t="str">
        <x:f>IF(D108="","",IF(D108&gt;='参数'!$B$30,1,IF(D108&lt;=-'参数'!$B$30,-1,0)))</x:f>
      </x:c>
      <x:c r="G108" s="194" t="str">
        <x:f>IF(C108="","",IF(C108&gt;='参数'!$B$37,1,IF(C108&lt;=-'参数'!$B$37,-1,0)))</x:f>
      </x:c>
      <x:c r="H108" s="194" t="str">
        <x:f>IF(OR(F108="",G108=""),"",--(F108=G108))</x:f>
      </x:c>
      <x:c r="I108" s="214" t="str">
        <x:f>IF(D108="","",D108*'参数'!$B$34)</x:f>
      </x:c>
      <x:c r="J108" s="214" t="str">
        <x:f>IF(OR(C108="",I108=""),"",ABS(C108-I108))</x:f>
      </x:c>
      <x:c r="K108" s="194" t="str">
        <x:f>IF(D108="","",IF(MAX(ABS(SUM(L108:M108)),ABS(SUM(N108:P108)),ABS(Q108),ABS(SUM(R108:T108)),ABS(SUM(U108:V108)),ABS(SUM(W108:Y108)),ABS(SUM(Z108:AB108)),ABS(SUM(AC108:AE108)))=ABS(SUM(L108:M108)),"订单流",IF(MAX(ABS(SUM(L108:M108)),ABS(SUM(N108:P108)),ABS(Q108),ABS(SUM(R108:T108)),ABS(SUM(U108:V108)),ABS(SUM(W108:Y108)),ABS(SUM(Z108:AB108)),ABS(SUM(AC108:AE108)))=ABS(SUM(N108:P108)),"流动性",IF(MAX(ABS(SUM(L108:M108)),ABS(SUM(N108:P108)),ABS(Q108),ABS(SUM(R108:T108)),ABS(SUM(U108:V108)),ABS(SUM(W108:Y108)),ABS(SUM(Z108:AB108)),ABS(SUM(AC108:AE108)))=ABS(Q108),"价格行为",IF(MAX(ABS(SUM(L108:M108)),ABS(SUM(N108:P108)),ABS(Q108),ABS(SUM(R108:T108)),ABS(SUM(U108:V108)),ABS(SUM(W108:Y108)),ABS(SUM(Z108:AB108)),ABS(SUM(AC108:AE108)))=ABS(SUM(R108:T108)),"杠杆/清算",IF(MAX(ABS(SUM(L108:M108)),ABS(SUM(N108:P108)),ABS(Q108),ABS(SUM(R108:T108)),ABS(SUM(U108:V108)),ABS(SUM(W108:Y108)),ABS(SUM(Z108:AB108)),ABS(SUM(AC108:AE108)))=ABS(SUM(U108:V108)),"衍生品",IF(MAX(ABS(SUM(L108:M108)),ABS(SUM(N108:P108)),ABS(Q108),ABS(SUM(R108:T108)),ABS(SUM(U108:V108)),ABS(SUM(W108:Y108)),ABS(SUM(Z108:AB108)),ABS(SUM(AC108:AE108)))=ABS(SUM(W108:Y108)),"跨市场",IF(MAX(ABS(SUM(L108:M108)),ABS(SUM(N108:P108)),ABS(Q108),ABS(SUM(R108:T108)),ABS(SUM(U108:V108)),ABS(SUM(W108:Y108)),ABS(SUM(Z108:AB108)),ABS(SUM(AC108:AE108)))=ABS(SUM(Z108:AB108)),"宏观代理","事件"))))))))</x:f>
      </x:c>
      <x:c r="L108" s="198"/>
      <x:c r="M108" s="198"/>
      <x:c r="N108" s="198"/>
      <x:c r="O108" s="198"/>
      <x:c r="P108" s="198"/>
      <x:c r="Q108" s="198"/>
      <x:c r="R108" s="198"/>
      <x:c r="S108" s="198"/>
      <x:c r="T108" s="198"/>
      <x:c r="U108" s="198"/>
      <x:c r="V108" s="198"/>
      <x:c r="W108" s="198"/>
      <x:c r="X108" s="198"/>
      <x:c r="Y108" s="198"/>
      <x:c r="Z108" s="198"/>
      <x:c r="AA108" s="198"/>
      <x:c r="AB108" s="198"/>
      <x:c r="AC108" s="198"/>
      <x:c r="AD108" s="198"/>
      <x:c r="AE108" s="198"/>
      <x:c r="AF108" s="215"/>
    </x:row>
    <x:row r="109">
      <x:c r="A109" s="238"/>
      <x:c r="B109" s="215" t="str">
        <x:v>正常</x:v>
      </x:c>
      <x:c r="C109" s="199"/>
      <x:c r="D109" s="223" t="str">
        <x:f>IF(COUNTA(L109:AE109)=0,"",SUMPRODUCT(L109:AE109,'参数'!$C$6:$C$25,'参数'!$D$6:$D$25,INDEX('参数'!$E$6:$J$25,0,MATCH(B109,'参数'!$E$5:$J$5,0)),'参数'!$K$6:$K$25)/SUMPRODUCT('参数'!$C$6:$C$25,'参数'!$D$6:$D$25,INDEX('参数'!$E$6:$J$25,0,MATCH(B109,'参数'!$E$5:$J$5,0)),'参数'!$K$6:$K$25))</x:f>
      </x:c>
      <x:c r="E109" s="223" t="str">
        <x:f>IF(D109="","",SUMPRODUCT(ABS(L109:AE109),'参数'!$C$6:$C$25,'参数'!$D$6:$D$25,INDEX('参数'!$E$6:$J$25,0,MATCH(B109,'参数'!$E$5:$J$5,0)))/SUMPRODUCT('参数'!$C$6:$C$25,'参数'!$D$6:$D$25,INDEX('参数'!$E$6:$J$25,0,MATCH(B109,'参数'!$E$5:$J$5,0))))</x:f>
      </x:c>
      <x:c r="F109" s="194" t="str">
        <x:f>IF(D109="","",IF(D109&gt;='参数'!$B$30,1,IF(D109&lt;=-'参数'!$B$30,-1,0)))</x:f>
      </x:c>
      <x:c r="G109" s="194" t="str">
        <x:f>IF(C109="","",IF(C109&gt;='参数'!$B$37,1,IF(C109&lt;=-'参数'!$B$37,-1,0)))</x:f>
      </x:c>
      <x:c r="H109" s="194" t="str">
        <x:f>IF(OR(F109="",G109=""),"",--(F109=G109))</x:f>
      </x:c>
      <x:c r="I109" s="214" t="str">
        <x:f>IF(D109="","",D109*'参数'!$B$34)</x:f>
      </x:c>
      <x:c r="J109" s="214" t="str">
        <x:f>IF(OR(C109="",I109=""),"",ABS(C109-I109))</x:f>
      </x:c>
      <x:c r="K109" s="194" t="str">
        <x:f>IF(D109="","",IF(MAX(ABS(SUM(L109:M109)),ABS(SUM(N109:P109)),ABS(Q109),ABS(SUM(R109:T109)),ABS(SUM(U109:V109)),ABS(SUM(W109:Y109)),ABS(SUM(Z109:AB109)),ABS(SUM(AC109:AE109)))=ABS(SUM(L109:M109)),"订单流",IF(MAX(ABS(SUM(L109:M109)),ABS(SUM(N109:P109)),ABS(Q109),ABS(SUM(R109:T109)),ABS(SUM(U109:V109)),ABS(SUM(W109:Y109)),ABS(SUM(Z109:AB109)),ABS(SUM(AC109:AE109)))=ABS(SUM(N109:P109)),"流动性",IF(MAX(ABS(SUM(L109:M109)),ABS(SUM(N109:P109)),ABS(Q109),ABS(SUM(R109:T109)),ABS(SUM(U109:V109)),ABS(SUM(W109:Y109)),ABS(SUM(Z109:AB109)),ABS(SUM(AC109:AE109)))=ABS(Q109),"价格行为",IF(MAX(ABS(SUM(L109:M109)),ABS(SUM(N109:P109)),ABS(Q109),ABS(SUM(R109:T109)),ABS(SUM(U109:V109)),ABS(SUM(W109:Y109)),ABS(SUM(Z109:AB109)),ABS(SUM(AC109:AE109)))=ABS(SUM(R109:T109)),"杠杆/清算",IF(MAX(ABS(SUM(L109:M109)),ABS(SUM(N109:P109)),ABS(Q109),ABS(SUM(R109:T109)),ABS(SUM(U109:V109)),ABS(SUM(W109:Y109)),ABS(SUM(Z109:AB109)),ABS(SUM(AC109:AE109)))=ABS(SUM(U109:V109)),"衍生品",IF(MAX(ABS(SUM(L109:M109)),ABS(SUM(N109:P109)),ABS(Q109),ABS(SUM(R109:T109)),ABS(SUM(U109:V109)),ABS(SUM(W109:Y109)),ABS(SUM(Z109:AB109)),ABS(SUM(AC109:AE109)))=ABS(SUM(W109:Y109)),"跨市场",IF(MAX(ABS(SUM(L109:M109)),ABS(SUM(N109:P109)),ABS(Q109),ABS(SUM(R109:T109)),ABS(SUM(U109:V109)),ABS(SUM(W109:Y109)),ABS(SUM(Z109:AB109)),ABS(SUM(AC109:AE109)))=ABS(SUM(Z109:AB109)),"宏观代理","事件"))))))))</x:f>
      </x:c>
      <x:c r="L109" s="198"/>
      <x:c r="M109" s="198"/>
      <x:c r="N109" s="198"/>
      <x:c r="O109" s="198"/>
      <x:c r="P109" s="198"/>
      <x:c r="Q109" s="198"/>
      <x:c r="R109" s="198"/>
      <x:c r="S109" s="198"/>
      <x:c r="T109" s="198"/>
      <x:c r="U109" s="198"/>
      <x:c r="V109" s="198"/>
      <x:c r="W109" s="198"/>
      <x:c r="X109" s="198"/>
      <x:c r="Y109" s="198"/>
      <x:c r="Z109" s="198"/>
      <x:c r="AA109" s="198"/>
      <x:c r="AB109" s="198"/>
      <x:c r="AC109" s="198"/>
      <x:c r="AD109" s="198"/>
      <x:c r="AE109" s="198"/>
      <x:c r="AF109" s="215"/>
    </x:row>
    <x:row r="110">
      <x:c r="A110" s="238"/>
      <x:c r="B110" s="215" t="str">
        <x:v>正常</x:v>
      </x:c>
      <x:c r="C110" s="199"/>
      <x:c r="D110" s="223" t="str">
        <x:f>IF(COUNTA(L110:AE110)=0,"",SUMPRODUCT(L110:AE110,'参数'!$C$6:$C$25,'参数'!$D$6:$D$25,INDEX('参数'!$E$6:$J$25,0,MATCH(B110,'参数'!$E$5:$J$5,0)),'参数'!$K$6:$K$25)/SUMPRODUCT('参数'!$C$6:$C$25,'参数'!$D$6:$D$25,INDEX('参数'!$E$6:$J$25,0,MATCH(B110,'参数'!$E$5:$J$5,0)),'参数'!$K$6:$K$25))</x:f>
      </x:c>
      <x:c r="E110" s="223" t="str">
        <x:f>IF(D110="","",SUMPRODUCT(ABS(L110:AE110),'参数'!$C$6:$C$25,'参数'!$D$6:$D$25,INDEX('参数'!$E$6:$J$25,0,MATCH(B110,'参数'!$E$5:$J$5,0)))/SUMPRODUCT('参数'!$C$6:$C$25,'参数'!$D$6:$D$25,INDEX('参数'!$E$6:$J$25,0,MATCH(B110,'参数'!$E$5:$J$5,0))))</x:f>
      </x:c>
      <x:c r="F110" s="194" t="str">
        <x:f>IF(D110="","",IF(D110&gt;='参数'!$B$30,1,IF(D110&lt;=-'参数'!$B$30,-1,0)))</x:f>
      </x:c>
      <x:c r="G110" s="194" t="str">
        <x:f>IF(C110="","",IF(C110&gt;='参数'!$B$37,1,IF(C110&lt;=-'参数'!$B$37,-1,0)))</x:f>
      </x:c>
      <x:c r="H110" s="194" t="str">
        <x:f>IF(OR(F110="",G110=""),"",--(F110=G110))</x:f>
      </x:c>
      <x:c r="I110" s="214" t="str">
        <x:f>IF(D110="","",D110*'参数'!$B$34)</x:f>
      </x:c>
      <x:c r="J110" s="214" t="str">
        <x:f>IF(OR(C110="",I110=""),"",ABS(C110-I110))</x:f>
      </x:c>
      <x:c r="K110" s="194" t="str">
        <x:f>IF(D110="","",IF(MAX(ABS(SUM(L110:M110)),ABS(SUM(N110:P110)),ABS(Q110),ABS(SUM(R110:T110)),ABS(SUM(U110:V110)),ABS(SUM(W110:Y110)),ABS(SUM(Z110:AB110)),ABS(SUM(AC110:AE110)))=ABS(SUM(L110:M110)),"订单流",IF(MAX(ABS(SUM(L110:M110)),ABS(SUM(N110:P110)),ABS(Q110),ABS(SUM(R110:T110)),ABS(SUM(U110:V110)),ABS(SUM(W110:Y110)),ABS(SUM(Z110:AB110)),ABS(SUM(AC110:AE110)))=ABS(SUM(N110:P110)),"流动性",IF(MAX(ABS(SUM(L110:M110)),ABS(SUM(N110:P110)),ABS(Q110),ABS(SUM(R110:T110)),ABS(SUM(U110:V110)),ABS(SUM(W110:Y110)),ABS(SUM(Z110:AB110)),ABS(SUM(AC110:AE110)))=ABS(Q110),"价格行为",IF(MAX(ABS(SUM(L110:M110)),ABS(SUM(N110:P110)),ABS(Q110),ABS(SUM(R110:T110)),ABS(SUM(U110:V110)),ABS(SUM(W110:Y110)),ABS(SUM(Z110:AB110)),ABS(SUM(AC110:AE110)))=ABS(SUM(R110:T110)),"杠杆/清算",IF(MAX(ABS(SUM(L110:M110)),ABS(SUM(N110:P110)),ABS(Q110),ABS(SUM(R110:T110)),ABS(SUM(U110:V110)),ABS(SUM(W110:Y110)),ABS(SUM(Z110:AB110)),ABS(SUM(AC110:AE110)))=ABS(SUM(U110:V110)),"衍生品",IF(MAX(ABS(SUM(L110:M110)),ABS(SUM(N110:P110)),ABS(Q110),ABS(SUM(R110:T110)),ABS(SUM(U110:V110)),ABS(SUM(W110:Y110)),ABS(SUM(Z110:AB110)),ABS(SUM(AC110:AE110)))=ABS(SUM(W110:Y110)),"跨市场",IF(MAX(ABS(SUM(L110:M110)),ABS(SUM(N110:P110)),ABS(Q110),ABS(SUM(R110:T110)),ABS(SUM(U110:V110)),ABS(SUM(W110:Y110)),ABS(SUM(Z110:AB110)),ABS(SUM(AC110:AE110)))=ABS(SUM(Z110:AB110)),"宏观代理","事件"))))))))</x:f>
      </x:c>
      <x:c r="L110" s="198"/>
      <x:c r="M110" s="198"/>
      <x:c r="N110" s="198"/>
      <x:c r="O110" s="198"/>
      <x:c r="P110" s="198"/>
      <x:c r="Q110" s="198"/>
      <x:c r="R110" s="198"/>
      <x:c r="S110" s="198"/>
      <x:c r="T110" s="198"/>
      <x:c r="U110" s="198"/>
      <x:c r="V110" s="198"/>
      <x:c r="W110" s="198"/>
      <x:c r="X110" s="198"/>
      <x:c r="Y110" s="198"/>
      <x:c r="Z110" s="198"/>
      <x:c r="AA110" s="198"/>
      <x:c r="AB110" s="198"/>
      <x:c r="AC110" s="198"/>
      <x:c r="AD110" s="198"/>
      <x:c r="AE110" s="198"/>
      <x:c r="AF110" s="215"/>
    </x:row>
    <x:row r="111">
      <x:c r="A111" s="238"/>
      <x:c r="B111" s="215" t="str">
        <x:v>正常</x:v>
      </x:c>
      <x:c r="C111" s="199"/>
      <x:c r="D111" s="223" t="str">
        <x:f>IF(COUNTA(L111:AE111)=0,"",SUMPRODUCT(L111:AE111,'参数'!$C$6:$C$25,'参数'!$D$6:$D$25,INDEX('参数'!$E$6:$J$25,0,MATCH(B111,'参数'!$E$5:$J$5,0)),'参数'!$K$6:$K$25)/SUMPRODUCT('参数'!$C$6:$C$25,'参数'!$D$6:$D$25,INDEX('参数'!$E$6:$J$25,0,MATCH(B111,'参数'!$E$5:$J$5,0)),'参数'!$K$6:$K$25))</x:f>
      </x:c>
      <x:c r="E111" s="223" t="str">
        <x:f>IF(D111="","",SUMPRODUCT(ABS(L111:AE111),'参数'!$C$6:$C$25,'参数'!$D$6:$D$25,INDEX('参数'!$E$6:$J$25,0,MATCH(B111,'参数'!$E$5:$J$5,0)))/SUMPRODUCT('参数'!$C$6:$C$25,'参数'!$D$6:$D$25,INDEX('参数'!$E$6:$J$25,0,MATCH(B111,'参数'!$E$5:$J$5,0))))</x:f>
      </x:c>
      <x:c r="F111" s="194" t="str">
        <x:f>IF(D111="","",IF(D111&gt;='参数'!$B$30,1,IF(D111&lt;=-'参数'!$B$30,-1,0)))</x:f>
      </x:c>
      <x:c r="G111" s="194" t="str">
        <x:f>IF(C111="","",IF(C111&gt;='参数'!$B$37,1,IF(C111&lt;=-'参数'!$B$37,-1,0)))</x:f>
      </x:c>
      <x:c r="H111" s="194" t="str">
        <x:f>IF(OR(F111="",G111=""),"",--(F111=G111))</x:f>
      </x:c>
      <x:c r="I111" s="214" t="str">
        <x:f>IF(D111="","",D111*'参数'!$B$34)</x:f>
      </x:c>
      <x:c r="J111" s="214" t="str">
        <x:f>IF(OR(C111="",I111=""),"",ABS(C111-I111))</x:f>
      </x:c>
      <x:c r="K111" s="194" t="str">
        <x:f>IF(D111="","",IF(MAX(ABS(SUM(L111:M111)),ABS(SUM(N111:P111)),ABS(Q111),ABS(SUM(R111:T111)),ABS(SUM(U111:V111)),ABS(SUM(W111:Y111)),ABS(SUM(Z111:AB111)),ABS(SUM(AC111:AE111)))=ABS(SUM(L111:M111)),"订单流",IF(MAX(ABS(SUM(L111:M111)),ABS(SUM(N111:P111)),ABS(Q111),ABS(SUM(R111:T111)),ABS(SUM(U111:V111)),ABS(SUM(W111:Y111)),ABS(SUM(Z111:AB111)),ABS(SUM(AC111:AE111)))=ABS(SUM(N111:P111)),"流动性",IF(MAX(ABS(SUM(L111:M111)),ABS(SUM(N111:P111)),ABS(Q111),ABS(SUM(R111:T111)),ABS(SUM(U111:V111)),ABS(SUM(W111:Y111)),ABS(SUM(Z111:AB111)),ABS(SUM(AC111:AE111)))=ABS(Q111),"价格行为",IF(MAX(ABS(SUM(L111:M111)),ABS(SUM(N111:P111)),ABS(Q111),ABS(SUM(R111:T111)),ABS(SUM(U111:V111)),ABS(SUM(W111:Y111)),ABS(SUM(Z111:AB111)),ABS(SUM(AC111:AE111)))=ABS(SUM(R111:T111)),"杠杆/清算",IF(MAX(ABS(SUM(L111:M111)),ABS(SUM(N111:P111)),ABS(Q111),ABS(SUM(R111:T111)),ABS(SUM(U111:V111)),ABS(SUM(W111:Y111)),ABS(SUM(Z111:AB111)),ABS(SUM(AC111:AE111)))=ABS(SUM(U111:V111)),"衍生品",IF(MAX(ABS(SUM(L111:M111)),ABS(SUM(N111:P111)),ABS(Q111),ABS(SUM(R111:T111)),ABS(SUM(U111:V111)),ABS(SUM(W111:Y111)),ABS(SUM(Z111:AB111)),ABS(SUM(AC111:AE111)))=ABS(SUM(W111:Y111)),"跨市场",IF(MAX(ABS(SUM(L111:M111)),ABS(SUM(N111:P111)),ABS(Q111),ABS(SUM(R111:T111)),ABS(SUM(U111:V111)),ABS(SUM(W111:Y111)),ABS(SUM(Z111:AB111)),ABS(SUM(AC111:AE111)))=ABS(SUM(Z111:AB111)),"宏观代理","事件"))))))))</x:f>
      </x:c>
      <x:c r="L111" s="198"/>
      <x:c r="M111" s="198"/>
      <x:c r="N111" s="198"/>
      <x:c r="O111" s="198"/>
      <x:c r="P111" s="198"/>
      <x:c r="Q111" s="198"/>
      <x:c r="R111" s="198"/>
      <x:c r="S111" s="198"/>
      <x:c r="T111" s="198"/>
      <x:c r="U111" s="198"/>
      <x:c r="V111" s="198"/>
      <x:c r="W111" s="198"/>
      <x:c r="X111" s="198"/>
      <x:c r="Y111" s="198"/>
      <x:c r="Z111" s="198"/>
      <x:c r="AA111" s="198"/>
      <x:c r="AB111" s="198"/>
      <x:c r="AC111" s="198"/>
      <x:c r="AD111" s="198"/>
      <x:c r="AE111" s="198"/>
      <x:c r="AF111" s="215"/>
    </x:row>
    <x:row r="112">
      <x:c r="A112" s="238"/>
      <x:c r="B112" s="215" t="str">
        <x:v>正常</x:v>
      </x:c>
      <x:c r="C112" s="199"/>
      <x:c r="D112" s="223" t="str">
        <x:f>IF(COUNTA(L112:AE112)=0,"",SUMPRODUCT(L112:AE112,'参数'!$C$6:$C$25,'参数'!$D$6:$D$25,INDEX('参数'!$E$6:$J$25,0,MATCH(B112,'参数'!$E$5:$J$5,0)),'参数'!$K$6:$K$25)/SUMPRODUCT('参数'!$C$6:$C$25,'参数'!$D$6:$D$25,INDEX('参数'!$E$6:$J$25,0,MATCH(B112,'参数'!$E$5:$J$5,0)),'参数'!$K$6:$K$25))</x:f>
      </x:c>
      <x:c r="E112" s="223" t="str">
        <x:f>IF(D112="","",SUMPRODUCT(ABS(L112:AE112),'参数'!$C$6:$C$25,'参数'!$D$6:$D$25,INDEX('参数'!$E$6:$J$25,0,MATCH(B112,'参数'!$E$5:$J$5,0)))/SUMPRODUCT('参数'!$C$6:$C$25,'参数'!$D$6:$D$25,INDEX('参数'!$E$6:$J$25,0,MATCH(B112,'参数'!$E$5:$J$5,0))))</x:f>
      </x:c>
      <x:c r="F112" s="194" t="str">
        <x:f>IF(D112="","",IF(D112&gt;='参数'!$B$30,1,IF(D112&lt;=-'参数'!$B$30,-1,0)))</x:f>
      </x:c>
      <x:c r="G112" s="194" t="str">
        <x:f>IF(C112="","",IF(C112&gt;='参数'!$B$37,1,IF(C112&lt;=-'参数'!$B$37,-1,0)))</x:f>
      </x:c>
      <x:c r="H112" s="194" t="str">
        <x:f>IF(OR(F112="",G112=""),"",--(F112=G112))</x:f>
      </x:c>
      <x:c r="I112" s="214" t="str">
        <x:f>IF(D112="","",D112*'参数'!$B$34)</x:f>
      </x:c>
      <x:c r="J112" s="214" t="str">
        <x:f>IF(OR(C112="",I112=""),"",ABS(C112-I112))</x:f>
      </x:c>
      <x:c r="K112" s="194" t="str">
        <x:f>IF(D112="","",IF(MAX(ABS(SUM(L112:M112)),ABS(SUM(N112:P112)),ABS(Q112),ABS(SUM(R112:T112)),ABS(SUM(U112:V112)),ABS(SUM(W112:Y112)),ABS(SUM(Z112:AB112)),ABS(SUM(AC112:AE112)))=ABS(SUM(L112:M112)),"订单流",IF(MAX(ABS(SUM(L112:M112)),ABS(SUM(N112:P112)),ABS(Q112),ABS(SUM(R112:T112)),ABS(SUM(U112:V112)),ABS(SUM(W112:Y112)),ABS(SUM(Z112:AB112)),ABS(SUM(AC112:AE112)))=ABS(SUM(N112:P112)),"流动性",IF(MAX(ABS(SUM(L112:M112)),ABS(SUM(N112:P112)),ABS(Q112),ABS(SUM(R112:T112)),ABS(SUM(U112:V112)),ABS(SUM(W112:Y112)),ABS(SUM(Z112:AB112)),ABS(SUM(AC112:AE112)))=ABS(Q112),"价格行为",IF(MAX(ABS(SUM(L112:M112)),ABS(SUM(N112:P112)),ABS(Q112),ABS(SUM(R112:T112)),ABS(SUM(U112:V112)),ABS(SUM(W112:Y112)),ABS(SUM(Z112:AB112)),ABS(SUM(AC112:AE112)))=ABS(SUM(R112:T112)),"杠杆/清算",IF(MAX(ABS(SUM(L112:M112)),ABS(SUM(N112:P112)),ABS(Q112),ABS(SUM(R112:T112)),ABS(SUM(U112:V112)),ABS(SUM(W112:Y112)),ABS(SUM(Z112:AB112)),ABS(SUM(AC112:AE112)))=ABS(SUM(U112:V112)),"衍生品",IF(MAX(ABS(SUM(L112:M112)),ABS(SUM(N112:P112)),ABS(Q112),ABS(SUM(R112:T112)),ABS(SUM(U112:V112)),ABS(SUM(W112:Y112)),ABS(SUM(Z112:AB112)),ABS(SUM(AC112:AE112)))=ABS(SUM(W112:Y112)),"跨市场",IF(MAX(ABS(SUM(L112:M112)),ABS(SUM(N112:P112)),ABS(Q112),ABS(SUM(R112:T112)),ABS(SUM(U112:V112)),ABS(SUM(W112:Y112)),ABS(SUM(Z112:AB112)),ABS(SUM(AC112:AE112)))=ABS(SUM(Z112:AB112)),"宏观代理","事件"))))))))</x:f>
      </x:c>
      <x:c r="L112" s="198"/>
      <x:c r="M112" s="198"/>
      <x:c r="N112" s="198"/>
      <x:c r="O112" s="198"/>
      <x:c r="P112" s="198"/>
      <x:c r="Q112" s="198"/>
      <x:c r="R112" s="198"/>
      <x:c r="S112" s="198"/>
      <x:c r="T112" s="198"/>
      <x:c r="U112" s="198"/>
      <x:c r="V112" s="198"/>
      <x:c r="W112" s="198"/>
      <x:c r="X112" s="198"/>
      <x:c r="Y112" s="198"/>
      <x:c r="Z112" s="198"/>
      <x:c r="AA112" s="198"/>
      <x:c r="AB112" s="198"/>
      <x:c r="AC112" s="198"/>
      <x:c r="AD112" s="198"/>
      <x:c r="AE112" s="198"/>
      <x:c r="AF112" s="215"/>
    </x:row>
    <x:row r="113">
      <x:c r="A113" s="238"/>
      <x:c r="B113" s="215" t="str">
        <x:v>正常</x:v>
      </x:c>
      <x:c r="C113" s="199"/>
      <x:c r="D113" s="223" t="str">
        <x:f>IF(COUNTA(L113:AE113)=0,"",SUMPRODUCT(L113:AE113,'参数'!$C$6:$C$25,'参数'!$D$6:$D$25,INDEX('参数'!$E$6:$J$25,0,MATCH(B113,'参数'!$E$5:$J$5,0)),'参数'!$K$6:$K$25)/SUMPRODUCT('参数'!$C$6:$C$25,'参数'!$D$6:$D$25,INDEX('参数'!$E$6:$J$25,0,MATCH(B113,'参数'!$E$5:$J$5,0)),'参数'!$K$6:$K$25))</x:f>
      </x:c>
      <x:c r="E113" s="223" t="str">
        <x:f>IF(D113="","",SUMPRODUCT(ABS(L113:AE113),'参数'!$C$6:$C$25,'参数'!$D$6:$D$25,INDEX('参数'!$E$6:$J$25,0,MATCH(B113,'参数'!$E$5:$J$5,0)))/SUMPRODUCT('参数'!$C$6:$C$25,'参数'!$D$6:$D$25,INDEX('参数'!$E$6:$J$25,0,MATCH(B113,'参数'!$E$5:$J$5,0))))</x:f>
      </x:c>
      <x:c r="F113" s="194" t="str">
        <x:f>IF(D113="","",IF(D113&gt;='参数'!$B$30,1,IF(D113&lt;=-'参数'!$B$30,-1,0)))</x:f>
      </x:c>
      <x:c r="G113" s="194" t="str">
        <x:f>IF(C113="","",IF(C113&gt;='参数'!$B$37,1,IF(C113&lt;=-'参数'!$B$37,-1,0)))</x:f>
      </x:c>
      <x:c r="H113" s="194" t="str">
        <x:f>IF(OR(F113="",G113=""),"",--(F113=G113))</x:f>
      </x:c>
      <x:c r="I113" s="214" t="str">
        <x:f>IF(D113="","",D113*'参数'!$B$34)</x:f>
      </x:c>
      <x:c r="J113" s="214" t="str">
        <x:f>IF(OR(C113="",I113=""),"",ABS(C113-I113))</x:f>
      </x:c>
      <x:c r="K113" s="194" t="str">
        <x:f>IF(D113="","",IF(MAX(ABS(SUM(L113:M113)),ABS(SUM(N113:P113)),ABS(Q113),ABS(SUM(R113:T113)),ABS(SUM(U113:V113)),ABS(SUM(W113:Y113)),ABS(SUM(Z113:AB113)),ABS(SUM(AC113:AE113)))=ABS(SUM(L113:M113)),"订单流",IF(MAX(ABS(SUM(L113:M113)),ABS(SUM(N113:P113)),ABS(Q113),ABS(SUM(R113:T113)),ABS(SUM(U113:V113)),ABS(SUM(W113:Y113)),ABS(SUM(Z113:AB113)),ABS(SUM(AC113:AE113)))=ABS(SUM(N113:P113)),"流动性",IF(MAX(ABS(SUM(L113:M113)),ABS(SUM(N113:P113)),ABS(Q113),ABS(SUM(R113:T113)),ABS(SUM(U113:V113)),ABS(SUM(W113:Y113)),ABS(SUM(Z113:AB113)),ABS(SUM(AC113:AE113)))=ABS(Q113),"价格行为",IF(MAX(ABS(SUM(L113:M113)),ABS(SUM(N113:P113)),ABS(Q113),ABS(SUM(R113:T113)),ABS(SUM(U113:V113)),ABS(SUM(W113:Y113)),ABS(SUM(Z113:AB113)),ABS(SUM(AC113:AE113)))=ABS(SUM(R113:T113)),"杠杆/清算",IF(MAX(ABS(SUM(L113:M113)),ABS(SUM(N113:P113)),ABS(Q113),ABS(SUM(R113:T113)),ABS(SUM(U113:V113)),ABS(SUM(W113:Y113)),ABS(SUM(Z113:AB113)),ABS(SUM(AC113:AE113)))=ABS(SUM(U113:V113)),"衍生品",IF(MAX(ABS(SUM(L113:M113)),ABS(SUM(N113:P113)),ABS(Q113),ABS(SUM(R113:T113)),ABS(SUM(U113:V113)),ABS(SUM(W113:Y113)),ABS(SUM(Z113:AB113)),ABS(SUM(AC113:AE113)))=ABS(SUM(W113:Y113)),"跨市场",IF(MAX(ABS(SUM(L113:M113)),ABS(SUM(N113:P113)),ABS(Q113),ABS(SUM(R113:T113)),ABS(SUM(U113:V113)),ABS(SUM(W113:Y113)),ABS(SUM(Z113:AB113)),ABS(SUM(AC113:AE113)))=ABS(SUM(Z113:AB113)),"宏观代理","事件"))))))))</x:f>
      </x:c>
      <x:c r="L113" s="198"/>
      <x:c r="M113" s="198"/>
      <x:c r="N113" s="198"/>
      <x:c r="O113" s="198"/>
      <x:c r="P113" s="198"/>
      <x:c r="Q113" s="198"/>
      <x:c r="R113" s="198"/>
      <x:c r="S113" s="198"/>
      <x:c r="T113" s="198"/>
      <x:c r="U113" s="198"/>
      <x:c r="V113" s="198"/>
      <x:c r="W113" s="198"/>
      <x:c r="X113" s="198"/>
      <x:c r="Y113" s="198"/>
      <x:c r="Z113" s="198"/>
      <x:c r="AA113" s="198"/>
      <x:c r="AB113" s="198"/>
      <x:c r="AC113" s="198"/>
      <x:c r="AD113" s="198"/>
      <x:c r="AE113" s="198"/>
      <x:c r="AF113" s="215"/>
    </x:row>
    <x:row r="114">
      <x:c r="A114" s="238"/>
      <x:c r="B114" s="215" t="str">
        <x:v>正常</x:v>
      </x:c>
      <x:c r="C114" s="199"/>
      <x:c r="D114" s="223" t="str">
        <x:f>IF(COUNTA(L114:AE114)=0,"",SUMPRODUCT(L114:AE114,'参数'!$C$6:$C$25,'参数'!$D$6:$D$25,INDEX('参数'!$E$6:$J$25,0,MATCH(B114,'参数'!$E$5:$J$5,0)),'参数'!$K$6:$K$25)/SUMPRODUCT('参数'!$C$6:$C$25,'参数'!$D$6:$D$25,INDEX('参数'!$E$6:$J$25,0,MATCH(B114,'参数'!$E$5:$J$5,0)),'参数'!$K$6:$K$25))</x:f>
      </x:c>
      <x:c r="E114" s="223" t="str">
        <x:f>IF(D114="","",SUMPRODUCT(ABS(L114:AE114),'参数'!$C$6:$C$25,'参数'!$D$6:$D$25,INDEX('参数'!$E$6:$J$25,0,MATCH(B114,'参数'!$E$5:$J$5,0)))/SUMPRODUCT('参数'!$C$6:$C$25,'参数'!$D$6:$D$25,INDEX('参数'!$E$6:$J$25,0,MATCH(B114,'参数'!$E$5:$J$5,0))))</x:f>
      </x:c>
      <x:c r="F114" s="194" t="str">
        <x:f>IF(D114="","",IF(D114&gt;='参数'!$B$30,1,IF(D114&lt;=-'参数'!$B$30,-1,0)))</x:f>
      </x:c>
      <x:c r="G114" s="194" t="str">
        <x:f>IF(C114="","",IF(C114&gt;='参数'!$B$37,1,IF(C114&lt;=-'参数'!$B$37,-1,0)))</x:f>
      </x:c>
      <x:c r="H114" s="194" t="str">
        <x:f>IF(OR(F114="",G114=""),"",--(F114=G114))</x:f>
      </x:c>
      <x:c r="I114" s="214" t="str">
        <x:f>IF(D114="","",D114*'参数'!$B$34)</x:f>
      </x:c>
      <x:c r="J114" s="214" t="str">
        <x:f>IF(OR(C114="",I114=""),"",ABS(C114-I114))</x:f>
      </x:c>
      <x:c r="K114" s="194" t="str">
        <x:f>IF(D114="","",IF(MAX(ABS(SUM(L114:M114)),ABS(SUM(N114:P114)),ABS(Q114),ABS(SUM(R114:T114)),ABS(SUM(U114:V114)),ABS(SUM(W114:Y114)),ABS(SUM(Z114:AB114)),ABS(SUM(AC114:AE114)))=ABS(SUM(L114:M114)),"订单流",IF(MAX(ABS(SUM(L114:M114)),ABS(SUM(N114:P114)),ABS(Q114),ABS(SUM(R114:T114)),ABS(SUM(U114:V114)),ABS(SUM(W114:Y114)),ABS(SUM(Z114:AB114)),ABS(SUM(AC114:AE114)))=ABS(SUM(N114:P114)),"流动性",IF(MAX(ABS(SUM(L114:M114)),ABS(SUM(N114:P114)),ABS(Q114),ABS(SUM(R114:T114)),ABS(SUM(U114:V114)),ABS(SUM(W114:Y114)),ABS(SUM(Z114:AB114)),ABS(SUM(AC114:AE114)))=ABS(Q114),"价格行为",IF(MAX(ABS(SUM(L114:M114)),ABS(SUM(N114:P114)),ABS(Q114),ABS(SUM(R114:T114)),ABS(SUM(U114:V114)),ABS(SUM(W114:Y114)),ABS(SUM(Z114:AB114)),ABS(SUM(AC114:AE114)))=ABS(SUM(R114:T114)),"杠杆/清算",IF(MAX(ABS(SUM(L114:M114)),ABS(SUM(N114:P114)),ABS(Q114),ABS(SUM(R114:T114)),ABS(SUM(U114:V114)),ABS(SUM(W114:Y114)),ABS(SUM(Z114:AB114)),ABS(SUM(AC114:AE114)))=ABS(SUM(U114:V114)),"衍生品",IF(MAX(ABS(SUM(L114:M114)),ABS(SUM(N114:P114)),ABS(Q114),ABS(SUM(R114:T114)),ABS(SUM(U114:V114)),ABS(SUM(W114:Y114)),ABS(SUM(Z114:AB114)),ABS(SUM(AC114:AE114)))=ABS(SUM(W114:Y114)),"跨市场",IF(MAX(ABS(SUM(L114:M114)),ABS(SUM(N114:P114)),ABS(Q114),ABS(SUM(R114:T114)),ABS(SUM(U114:V114)),ABS(SUM(W114:Y114)),ABS(SUM(Z114:AB114)),ABS(SUM(AC114:AE114)))=ABS(SUM(Z114:AB114)),"宏观代理","事件"))))))))</x:f>
      </x:c>
      <x:c r="L114" s="198"/>
      <x:c r="M114" s="198"/>
      <x:c r="N114" s="198"/>
      <x:c r="O114" s="198"/>
      <x:c r="P114" s="198"/>
      <x:c r="Q114" s="198"/>
      <x:c r="R114" s="198"/>
      <x:c r="S114" s="198"/>
      <x:c r="T114" s="198"/>
      <x:c r="U114" s="198"/>
      <x:c r="V114" s="198"/>
      <x:c r="W114" s="198"/>
      <x:c r="X114" s="198"/>
      <x:c r="Y114" s="198"/>
      <x:c r="Z114" s="198"/>
      <x:c r="AA114" s="198"/>
      <x:c r="AB114" s="198"/>
      <x:c r="AC114" s="198"/>
      <x:c r="AD114" s="198"/>
      <x:c r="AE114" s="198"/>
      <x:c r="AF114" s="215"/>
    </x:row>
    <x:row r="115">
      <x:c r="A115" s="238"/>
      <x:c r="B115" s="215" t="str">
        <x:v>正常</x:v>
      </x:c>
      <x:c r="C115" s="199"/>
      <x:c r="D115" s="223" t="str">
        <x:f>IF(COUNTA(L115:AE115)=0,"",SUMPRODUCT(L115:AE115,'参数'!$C$6:$C$25,'参数'!$D$6:$D$25,INDEX('参数'!$E$6:$J$25,0,MATCH(B115,'参数'!$E$5:$J$5,0)),'参数'!$K$6:$K$25)/SUMPRODUCT('参数'!$C$6:$C$25,'参数'!$D$6:$D$25,INDEX('参数'!$E$6:$J$25,0,MATCH(B115,'参数'!$E$5:$J$5,0)),'参数'!$K$6:$K$25))</x:f>
      </x:c>
      <x:c r="E115" s="223" t="str">
        <x:f>IF(D115="","",SUMPRODUCT(ABS(L115:AE115),'参数'!$C$6:$C$25,'参数'!$D$6:$D$25,INDEX('参数'!$E$6:$J$25,0,MATCH(B115,'参数'!$E$5:$J$5,0)))/SUMPRODUCT('参数'!$C$6:$C$25,'参数'!$D$6:$D$25,INDEX('参数'!$E$6:$J$25,0,MATCH(B115,'参数'!$E$5:$J$5,0))))</x:f>
      </x:c>
      <x:c r="F115" s="194" t="str">
        <x:f>IF(D115="","",IF(D115&gt;='参数'!$B$30,1,IF(D115&lt;=-'参数'!$B$30,-1,0)))</x:f>
      </x:c>
      <x:c r="G115" s="194" t="str">
        <x:f>IF(C115="","",IF(C115&gt;='参数'!$B$37,1,IF(C115&lt;=-'参数'!$B$37,-1,0)))</x:f>
      </x:c>
      <x:c r="H115" s="194" t="str">
        <x:f>IF(OR(F115="",G115=""),"",--(F115=G115))</x:f>
      </x:c>
      <x:c r="I115" s="214" t="str">
        <x:f>IF(D115="","",D115*'参数'!$B$34)</x:f>
      </x:c>
      <x:c r="J115" s="214" t="str">
        <x:f>IF(OR(C115="",I115=""),"",ABS(C115-I115))</x:f>
      </x:c>
      <x:c r="K115" s="194" t="str">
        <x:f>IF(D115="","",IF(MAX(ABS(SUM(L115:M115)),ABS(SUM(N115:P115)),ABS(Q115),ABS(SUM(R115:T115)),ABS(SUM(U115:V115)),ABS(SUM(W115:Y115)),ABS(SUM(Z115:AB115)),ABS(SUM(AC115:AE115)))=ABS(SUM(L115:M115)),"订单流",IF(MAX(ABS(SUM(L115:M115)),ABS(SUM(N115:P115)),ABS(Q115),ABS(SUM(R115:T115)),ABS(SUM(U115:V115)),ABS(SUM(W115:Y115)),ABS(SUM(Z115:AB115)),ABS(SUM(AC115:AE115)))=ABS(SUM(N115:P115)),"流动性",IF(MAX(ABS(SUM(L115:M115)),ABS(SUM(N115:P115)),ABS(Q115),ABS(SUM(R115:T115)),ABS(SUM(U115:V115)),ABS(SUM(W115:Y115)),ABS(SUM(Z115:AB115)),ABS(SUM(AC115:AE115)))=ABS(Q115),"价格行为",IF(MAX(ABS(SUM(L115:M115)),ABS(SUM(N115:P115)),ABS(Q115),ABS(SUM(R115:T115)),ABS(SUM(U115:V115)),ABS(SUM(W115:Y115)),ABS(SUM(Z115:AB115)),ABS(SUM(AC115:AE115)))=ABS(SUM(R115:T115)),"杠杆/清算",IF(MAX(ABS(SUM(L115:M115)),ABS(SUM(N115:P115)),ABS(Q115),ABS(SUM(R115:T115)),ABS(SUM(U115:V115)),ABS(SUM(W115:Y115)),ABS(SUM(Z115:AB115)),ABS(SUM(AC115:AE115)))=ABS(SUM(U115:V115)),"衍生品",IF(MAX(ABS(SUM(L115:M115)),ABS(SUM(N115:P115)),ABS(Q115),ABS(SUM(R115:T115)),ABS(SUM(U115:V115)),ABS(SUM(W115:Y115)),ABS(SUM(Z115:AB115)),ABS(SUM(AC115:AE115)))=ABS(SUM(W115:Y115)),"跨市场",IF(MAX(ABS(SUM(L115:M115)),ABS(SUM(N115:P115)),ABS(Q115),ABS(SUM(R115:T115)),ABS(SUM(U115:V115)),ABS(SUM(W115:Y115)),ABS(SUM(Z115:AB115)),ABS(SUM(AC115:AE115)))=ABS(SUM(Z115:AB115)),"宏观代理","事件"))))))))</x:f>
      </x:c>
      <x:c r="L115" s="198"/>
      <x:c r="M115" s="198"/>
      <x:c r="N115" s="198"/>
      <x:c r="O115" s="198"/>
      <x:c r="P115" s="198"/>
      <x:c r="Q115" s="198"/>
      <x:c r="R115" s="198"/>
      <x:c r="S115" s="198"/>
      <x:c r="T115" s="198"/>
      <x:c r="U115" s="198"/>
      <x:c r="V115" s="198"/>
      <x:c r="W115" s="198"/>
      <x:c r="X115" s="198"/>
      <x:c r="Y115" s="198"/>
      <x:c r="Z115" s="198"/>
      <x:c r="AA115" s="198"/>
      <x:c r="AB115" s="198"/>
      <x:c r="AC115" s="198"/>
      <x:c r="AD115" s="198"/>
      <x:c r="AE115" s="198"/>
      <x:c r="AF115" s="215"/>
    </x:row>
    <x:row r="116">
      <x:c r="A116" s="238"/>
      <x:c r="B116" s="215" t="str">
        <x:v>正常</x:v>
      </x:c>
      <x:c r="C116" s="199"/>
      <x:c r="D116" s="223" t="str">
        <x:f>IF(COUNTA(L116:AE116)=0,"",SUMPRODUCT(L116:AE116,'参数'!$C$6:$C$25,'参数'!$D$6:$D$25,INDEX('参数'!$E$6:$J$25,0,MATCH(B116,'参数'!$E$5:$J$5,0)),'参数'!$K$6:$K$25)/SUMPRODUCT('参数'!$C$6:$C$25,'参数'!$D$6:$D$25,INDEX('参数'!$E$6:$J$25,0,MATCH(B116,'参数'!$E$5:$J$5,0)),'参数'!$K$6:$K$25))</x:f>
      </x:c>
      <x:c r="E116" s="223" t="str">
        <x:f>IF(D116="","",SUMPRODUCT(ABS(L116:AE116),'参数'!$C$6:$C$25,'参数'!$D$6:$D$25,INDEX('参数'!$E$6:$J$25,0,MATCH(B116,'参数'!$E$5:$J$5,0)))/SUMPRODUCT('参数'!$C$6:$C$25,'参数'!$D$6:$D$25,INDEX('参数'!$E$6:$J$25,0,MATCH(B116,'参数'!$E$5:$J$5,0))))</x:f>
      </x:c>
      <x:c r="F116" s="194" t="str">
        <x:f>IF(D116="","",IF(D116&gt;='参数'!$B$30,1,IF(D116&lt;=-'参数'!$B$30,-1,0)))</x:f>
      </x:c>
      <x:c r="G116" s="194" t="str">
        <x:f>IF(C116="","",IF(C116&gt;='参数'!$B$37,1,IF(C116&lt;=-'参数'!$B$37,-1,0)))</x:f>
      </x:c>
      <x:c r="H116" s="194" t="str">
        <x:f>IF(OR(F116="",G116=""),"",--(F116=G116))</x:f>
      </x:c>
      <x:c r="I116" s="214" t="str">
        <x:f>IF(D116="","",D116*'参数'!$B$34)</x:f>
      </x:c>
      <x:c r="J116" s="214" t="str">
        <x:f>IF(OR(C116="",I116=""),"",ABS(C116-I116))</x:f>
      </x:c>
      <x:c r="K116" s="194" t="str">
        <x:f>IF(D116="","",IF(MAX(ABS(SUM(L116:M116)),ABS(SUM(N116:P116)),ABS(Q116),ABS(SUM(R116:T116)),ABS(SUM(U116:V116)),ABS(SUM(W116:Y116)),ABS(SUM(Z116:AB116)),ABS(SUM(AC116:AE116)))=ABS(SUM(L116:M116)),"订单流",IF(MAX(ABS(SUM(L116:M116)),ABS(SUM(N116:P116)),ABS(Q116),ABS(SUM(R116:T116)),ABS(SUM(U116:V116)),ABS(SUM(W116:Y116)),ABS(SUM(Z116:AB116)),ABS(SUM(AC116:AE116)))=ABS(SUM(N116:P116)),"流动性",IF(MAX(ABS(SUM(L116:M116)),ABS(SUM(N116:P116)),ABS(Q116),ABS(SUM(R116:T116)),ABS(SUM(U116:V116)),ABS(SUM(W116:Y116)),ABS(SUM(Z116:AB116)),ABS(SUM(AC116:AE116)))=ABS(Q116),"价格行为",IF(MAX(ABS(SUM(L116:M116)),ABS(SUM(N116:P116)),ABS(Q116),ABS(SUM(R116:T116)),ABS(SUM(U116:V116)),ABS(SUM(W116:Y116)),ABS(SUM(Z116:AB116)),ABS(SUM(AC116:AE116)))=ABS(SUM(R116:T116)),"杠杆/清算",IF(MAX(ABS(SUM(L116:M116)),ABS(SUM(N116:P116)),ABS(Q116),ABS(SUM(R116:T116)),ABS(SUM(U116:V116)),ABS(SUM(W116:Y116)),ABS(SUM(Z116:AB116)),ABS(SUM(AC116:AE116)))=ABS(SUM(U116:V116)),"衍生品",IF(MAX(ABS(SUM(L116:M116)),ABS(SUM(N116:P116)),ABS(Q116),ABS(SUM(R116:T116)),ABS(SUM(U116:V116)),ABS(SUM(W116:Y116)),ABS(SUM(Z116:AB116)),ABS(SUM(AC116:AE116)))=ABS(SUM(W116:Y116)),"跨市场",IF(MAX(ABS(SUM(L116:M116)),ABS(SUM(N116:P116)),ABS(Q116),ABS(SUM(R116:T116)),ABS(SUM(U116:V116)),ABS(SUM(W116:Y116)),ABS(SUM(Z116:AB116)),ABS(SUM(AC116:AE116)))=ABS(SUM(Z116:AB116)),"宏观代理","事件"))))))))</x:f>
      </x:c>
      <x:c r="L116" s="198"/>
      <x:c r="M116" s="198"/>
      <x:c r="N116" s="198"/>
      <x:c r="O116" s="198"/>
      <x:c r="P116" s="198"/>
      <x:c r="Q116" s="198"/>
      <x:c r="R116" s="198"/>
      <x:c r="S116" s="198"/>
      <x:c r="T116" s="198"/>
      <x:c r="U116" s="198"/>
      <x:c r="V116" s="198"/>
      <x:c r="W116" s="198"/>
      <x:c r="X116" s="198"/>
      <x:c r="Y116" s="198"/>
      <x:c r="Z116" s="198"/>
      <x:c r="AA116" s="198"/>
      <x:c r="AB116" s="198"/>
      <x:c r="AC116" s="198"/>
      <x:c r="AD116" s="198"/>
      <x:c r="AE116" s="198"/>
      <x:c r="AF116" s="215"/>
    </x:row>
    <x:row r="117">
      <x:c r="A117" s="238"/>
      <x:c r="B117" s="215" t="str">
        <x:v>正常</x:v>
      </x:c>
      <x:c r="C117" s="199"/>
      <x:c r="D117" s="223" t="str">
        <x:f>IF(COUNTA(L117:AE117)=0,"",SUMPRODUCT(L117:AE117,'参数'!$C$6:$C$25,'参数'!$D$6:$D$25,INDEX('参数'!$E$6:$J$25,0,MATCH(B117,'参数'!$E$5:$J$5,0)),'参数'!$K$6:$K$25)/SUMPRODUCT('参数'!$C$6:$C$25,'参数'!$D$6:$D$25,INDEX('参数'!$E$6:$J$25,0,MATCH(B117,'参数'!$E$5:$J$5,0)),'参数'!$K$6:$K$25))</x:f>
      </x:c>
      <x:c r="E117" s="223" t="str">
        <x:f>IF(D117="","",SUMPRODUCT(ABS(L117:AE117),'参数'!$C$6:$C$25,'参数'!$D$6:$D$25,INDEX('参数'!$E$6:$J$25,0,MATCH(B117,'参数'!$E$5:$J$5,0)))/SUMPRODUCT('参数'!$C$6:$C$25,'参数'!$D$6:$D$25,INDEX('参数'!$E$6:$J$25,0,MATCH(B117,'参数'!$E$5:$J$5,0))))</x:f>
      </x:c>
      <x:c r="F117" s="194" t="str">
        <x:f>IF(D117="","",IF(D117&gt;='参数'!$B$30,1,IF(D117&lt;=-'参数'!$B$30,-1,0)))</x:f>
      </x:c>
      <x:c r="G117" s="194" t="str">
        <x:f>IF(C117="","",IF(C117&gt;='参数'!$B$37,1,IF(C117&lt;=-'参数'!$B$37,-1,0)))</x:f>
      </x:c>
      <x:c r="H117" s="194" t="str">
        <x:f>IF(OR(F117="",G117=""),"",--(F117=G117))</x:f>
      </x:c>
      <x:c r="I117" s="214" t="str">
        <x:f>IF(D117="","",D117*'参数'!$B$34)</x:f>
      </x:c>
      <x:c r="J117" s="214" t="str">
        <x:f>IF(OR(C117="",I117=""),"",ABS(C117-I117))</x:f>
      </x:c>
      <x:c r="K117" s="194" t="str">
        <x:f>IF(D117="","",IF(MAX(ABS(SUM(L117:M117)),ABS(SUM(N117:P117)),ABS(Q117),ABS(SUM(R117:T117)),ABS(SUM(U117:V117)),ABS(SUM(W117:Y117)),ABS(SUM(Z117:AB117)),ABS(SUM(AC117:AE117)))=ABS(SUM(L117:M117)),"订单流",IF(MAX(ABS(SUM(L117:M117)),ABS(SUM(N117:P117)),ABS(Q117),ABS(SUM(R117:T117)),ABS(SUM(U117:V117)),ABS(SUM(W117:Y117)),ABS(SUM(Z117:AB117)),ABS(SUM(AC117:AE117)))=ABS(SUM(N117:P117)),"流动性",IF(MAX(ABS(SUM(L117:M117)),ABS(SUM(N117:P117)),ABS(Q117),ABS(SUM(R117:T117)),ABS(SUM(U117:V117)),ABS(SUM(W117:Y117)),ABS(SUM(Z117:AB117)),ABS(SUM(AC117:AE117)))=ABS(Q117),"价格行为",IF(MAX(ABS(SUM(L117:M117)),ABS(SUM(N117:P117)),ABS(Q117),ABS(SUM(R117:T117)),ABS(SUM(U117:V117)),ABS(SUM(W117:Y117)),ABS(SUM(Z117:AB117)),ABS(SUM(AC117:AE117)))=ABS(SUM(R117:T117)),"杠杆/清算",IF(MAX(ABS(SUM(L117:M117)),ABS(SUM(N117:P117)),ABS(Q117),ABS(SUM(R117:T117)),ABS(SUM(U117:V117)),ABS(SUM(W117:Y117)),ABS(SUM(Z117:AB117)),ABS(SUM(AC117:AE117)))=ABS(SUM(U117:V117)),"衍生品",IF(MAX(ABS(SUM(L117:M117)),ABS(SUM(N117:P117)),ABS(Q117),ABS(SUM(R117:T117)),ABS(SUM(U117:V117)),ABS(SUM(W117:Y117)),ABS(SUM(Z117:AB117)),ABS(SUM(AC117:AE117)))=ABS(SUM(W117:Y117)),"跨市场",IF(MAX(ABS(SUM(L117:M117)),ABS(SUM(N117:P117)),ABS(Q117),ABS(SUM(R117:T117)),ABS(SUM(U117:V117)),ABS(SUM(W117:Y117)),ABS(SUM(Z117:AB117)),ABS(SUM(AC117:AE117)))=ABS(SUM(Z117:AB117)),"宏观代理","事件"))))))))</x:f>
      </x:c>
      <x:c r="L117" s="198"/>
      <x:c r="M117" s="198"/>
      <x:c r="N117" s="198"/>
      <x:c r="O117" s="198"/>
      <x:c r="P117" s="198"/>
      <x:c r="Q117" s="198"/>
      <x:c r="R117" s="198"/>
      <x:c r="S117" s="198"/>
      <x:c r="T117" s="198"/>
      <x:c r="U117" s="198"/>
      <x:c r="V117" s="198"/>
      <x:c r="W117" s="198"/>
      <x:c r="X117" s="198"/>
      <x:c r="Y117" s="198"/>
      <x:c r="Z117" s="198"/>
      <x:c r="AA117" s="198"/>
      <x:c r="AB117" s="198"/>
      <x:c r="AC117" s="198"/>
      <x:c r="AD117" s="198"/>
      <x:c r="AE117" s="198"/>
      <x:c r="AF117" s="215"/>
    </x:row>
    <x:row r="118">
      <x:c r="A118" s="238"/>
      <x:c r="B118" s="215" t="str">
        <x:v>正常</x:v>
      </x:c>
      <x:c r="C118" s="199"/>
      <x:c r="D118" s="223" t="str">
        <x:f>IF(COUNTA(L118:AE118)=0,"",SUMPRODUCT(L118:AE118,'参数'!$C$6:$C$25,'参数'!$D$6:$D$25,INDEX('参数'!$E$6:$J$25,0,MATCH(B118,'参数'!$E$5:$J$5,0)),'参数'!$K$6:$K$25)/SUMPRODUCT('参数'!$C$6:$C$25,'参数'!$D$6:$D$25,INDEX('参数'!$E$6:$J$25,0,MATCH(B118,'参数'!$E$5:$J$5,0)),'参数'!$K$6:$K$25))</x:f>
      </x:c>
      <x:c r="E118" s="223" t="str">
        <x:f>IF(D118="","",SUMPRODUCT(ABS(L118:AE118),'参数'!$C$6:$C$25,'参数'!$D$6:$D$25,INDEX('参数'!$E$6:$J$25,0,MATCH(B118,'参数'!$E$5:$J$5,0)))/SUMPRODUCT('参数'!$C$6:$C$25,'参数'!$D$6:$D$25,INDEX('参数'!$E$6:$J$25,0,MATCH(B118,'参数'!$E$5:$J$5,0))))</x:f>
      </x:c>
      <x:c r="F118" s="194" t="str">
        <x:f>IF(D118="","",IF(D118&gt;='参数'!$B$30,1,IF(D118&lt;=-'参数'!$B$30,-1,0)))</x:f>
      </x:c>
      <x:c r="G118" s="194" t="str">
        <x:f>IF(C118="","",IF(C118&gt;='参数'!$B$37,1,IF(C118&lt;=-'参数'!$B$37,-1,0)))</x:f>
      </x:c>
      <x:c r="H118" s="194" t="str">
        <x:f>IF(OR(F118="",G118=""),"",--(F118=G118))</x:f>
      </x:c>
      <x:c r="I118" s="214" t="str">
        <x:f>IF(D118="","",D118*'参数'!$B$34)</x:f>
      </x:c>
      <x:c r="J118" s="214" t="str">
        <x:f>IF(OR(C118="",I118=""),"",ABS(C118-I118))</x:f>
      </x:c>
      <x:c r="K118" s="194" t="str">
        <x:f>IF(D118="","",IF(MAX(ABS(SUM(L118:M118)),ABS(SUM(N118:P118)),ABS(Q118),ABS(SUM(R118:T118)),ABS(SUM(U118:V118)),ABS(SUM(W118:Y118)),ABS(SUM(Z118:AB118)),ABS(SUM(AC118:AE118)))=ABS(SUM(L118:M118)),"订单流",IF(MAX(ABS(SUM(L118:M118)),ABS(SUM(N118:P118)),ABS(Q118),ABS(SUM(R118:T118)),ABS(SUM(U118:V118)),ABS(SUM(W118:Y118)),ABS(SUM(Z118:AB118)),ABS(SUM(AC118:AE118)))=ABS(SUM(N118:P118)),"流动性",IF(MAX(ABS(SUM(L118:M118)),ABS(SUM(N118:P118)),ABS(Q118),ABS(SUM(R118:T118)),ABS(SUM(U118:V118)),ABS(SUM(W118:Y118)),ABS(SUM(Z118:AB118)),ABS(SUM(AC118:AE118)))=ABS(Q118),"价格行为",IF(MAX(ABS(SUM(L118:M118)),ABS(SUM(N118:P118)),ABS(Q118),ABS(SUM(R118:T118)),ABS(SUM(U118:V118)),ABS(SUM(W118:Y118)),ABS(SUM(Z118:AB118)),ABS(SUM(AC118:AE118)))=ABS(SUM(R118:T118)),"杠杆/清算",IF(MAX(ABS(SUM(L118:M118)),ABS(SUM(N118:P118)),ABS(Q118),ABS(SUM(R118:T118)),ABS(SUM(U118:V118)),ABS(SUM(W118:Y118)),ABS(SUM(Z118:AB118)),ABS(SUM(AC118:AE118)))=ABS(SUM(U118:V118)),"衍生品",IF(MAX(ABS(SUM(L118:M118)),ABS(SUM(N118:P118)),ABS(Q118),ABS(SUM(R118:T118)),ABS(SUM(U118:V118)),ABS(SUM(W118:Y118)),ABS(SUM(Z118:AB118)),ABS(SUM(AC118:AE118)))=ABS(SUM(W118:Y118)),"跨市场",IF(MAX(ABS(SUM(L118:M118)),ABS(SUM(N118:P118)),ABS(Q118),ABS(SUM(R118:T118)),ABS(SUM(U118:V118)),ABS(SUM(W118:Y118)),ABS(SUM(Z118:AB118)),ABS(SUM(AC118:AE118)))=ABS(SUM(Z118:AB118)),"宏观代理","事件"))))))))</x:f>
      </x:c>
      <x:c r="L118" s="198"/>
      <x:c r="M118" s="198"/>
      <x:c r="N118" s="198"/>
      <x:c r="O118" s="198"/>
      <x:c r="P118" s="198"/>
      <x:c r="Q118" s="198"/>
      <x:c r="R118" s="198"/>
      <x:c r="S118" s="198"/>
      <x:c r="T118" s="198"/>
      <x:c r="U118" s="198"/>
      <x:c r="V118" s="198"/>
      <x:c r="W118" s="198"/>
      <x:c r="X118" s="198"/>
      <x:c r="Y118" s="198"/>
      <x:c r="Z118" s="198"/>
      <x:c r="AA118" s="198"/>
      <x:c r="AB118" s="198"/>
      <x:c r="AC118" s="198"/>
      <x:c r="AD118" s="198"/>
      <x:c r="AE118" s="198"/>
      <x:c r="AF118" s="215"/>
    </x:row>
    <x:row r="119">
      <x:c r="A119" s="238"/>
      <x:c r="B119" s="215" t="str">
        <x:v>正常</x:v>
      </x:c>
      <x:c r="C119" s="199"/>
      <x:c r="D119" s="223" t="str">
        <x:f>IF(COUNTA(L119:AE119)=0,"",SUMPRODUCT(L119:AE119,'参数'!$C$6:$C$25,'参数'!$D$6:$D$25,INDEX('参数'!$E$6:$J$25,0,MATCH(B119,'参数'!$E$5:$J$5,0)),'参数'!$K$6:$K$25)/SUMPRODUCT('参数'!$C$6:$C$25,'参数'!$D$6:$D$25,INDEX('参数'!$E$6:$J$25,0,MATCH(B119,'参数'!$E$5:$J$5,0)),'参数'!$K$6:$K$25))</x:f>
      </x:c>
      <x:c r="E119" s="223" t="str">
        <x:f>IF(D119="","",SUMPRODUCT(ABS(L119:AE119),'参数'!$C$6:$C$25,'参数'!$D$6:$D$25,INDEX('参数'!$E$6:$J$25,0,MATCH(B119,'参数'!$E$5:$J$5,0)))/SUMPRODUCT('参数'!$C$6:$C$25,'参数'!$D$6:$D$25,INDEX('参数'!$E$6:$J$25,0,MATCH(B119,'参数'!$E$5:$J$5,0))))</x:f>
      </x:c>
      <x:c r="F119" s="194" t="str">
        <x:f>IF(D119="","",IF(D119&gt;='参数'!$B$30,1,IF(D119&lt;=-'参数'!$B$30,-1,0)))</x:f>
      </x:c>
      <x:c r="G119" s="194" t="str">
        <x:f>IF(C119="","",IF(C119&gt;='参数'!$B$37,1,IF(C119&lt;=-'参数'!$B$37,-1,0)))</x:f>
      </x:c>
      <x:c r="H119" s="194" t="str">
        <x:f>IF(OR(F119="",G119=""),"",--(F119=G119))</x:f>
      </x:c>
      <x:c r="I119" s="214" t="str">
        <x:f>IF(D119="","",D119*'参数'!$B$34)</x:f>
      </x:c>
      <x:c r="J119" s="214" t="str">
        <x:f>IF(OR(C119="",I119=""),"",ABS(C119-I119))</x:f>
      </x:c>
      <x:c r="K119" s="194" t="str">
        <x:f>IF(D119="","",IF(MAX(ABS(SUM(L119:M119)),ABS(SUM(N119:P119)),ABS(Q119),ABS(SUM(R119:T119)),ABS(SUM(U119:V119)),ABS(SUM(W119:Y119)),ABS(SUM(Z119:AB119)),ABS(SUM(AC119:AE119)))=ABS(SUM(L119:M119)),"订单流",IF(MAX(ABS(SUM(L119:M119)),ABS(SUM(N119:P119)),ABS(Q119),ABS(SUM(R119:T119)),ABS(SUM(U119:V119)),ABS(SUM(W119:Y119)),ABS(SUM(Z119:AB119)),ABS(SUM(AC119:AE119)))=ABS(SUM(N119:P119)),"流动性",IF(MAX(ABS(SUM(L119:M119)),ABS(SUM(N119:P119)),ABS(Q119),ABS(SUM(R119:T119)),ABS(SUM(U119:V119)),ABS(SUM(W119:Y119)),ABS(SUM(Z119:AB119)),ABS(SUM(AC119:AE119)))=ABS(Q119),"价格行为",IF(MAX(ABS(SUM(L119:M119)),ABS(SUM(N119:P119)),ABS(Q119),ABS(SUM(R119:T119)),ABS(SUM(U119:V119)),ABS(SUM(W119:Y119)),ABS(SUM(Z119:AB119)),ABS(SUM(AC119:AE119)))=ABS(SUM(R119:T119)),"杠杆/清算",IF(MAX(ABS(SUM(L119:M119)),ABS(SUM(N119:P119)),ABS(Q119),ABS(SUM(R119:T119)),ABS(SUM(U119:V119)),ABS(SUM(W119:Y119)),ABS(SUM(Z119:AB119)),ABS(SUM(AC119:AE119)))=ABS(SUM(U119:V119)),"衍生品",IF(MAX(ABS(SUM(L119:M119)),ABS(SUM(N119:P119)),ABS(Q119),ABS(SUM(R119:T119)),ABS(SUM(U119:V119)),ABS(SUM(W119:Y119)),ABS(SUM(Z119:AB119)),ABS(SUM(AC119:AE119)))=ABS(SUM(W119:Y119)),"跨市场",IF(MAX(ABS(SUM(L119:M119)),ABS(SUM(N119:P119)),ABS(Q119),ABS(SUM(R119:T119)),ABS(SUM(U119:V119)),ABS(SUM(W119:Y119)),ABS(SUM(Z119:AB119)),ABS(SUM(AC119:AE119)))=ABS(SUM(Z119:AB119)),"宏观代理","事件"))))))))</x:f>
      </x:c>
      <x:c r="L119" s="198"/>
      <x:c r="M119" s="198"/>
      <x:c r="N119" s="198"/>
      <x:c r="O119" s="198"/>
      <x:c r="P119" s="198"/>
      <x:c r="Q119" s="198"/>
      <x:c r="R119" s="198"/>
      <x:c r="S119" s="198"/>
      <x:c r="T119" s="198"/>
      <x:c r="U119" s="198"/>
      <x:c r="V119" s="198"/>
      <x:c r="W119" s="198"/>
      <x:c r="X119" s="198"/>
      <x:c r="Y119" s="198"/>
      <x:c r="Z119" s="198"/>
      <x:c r="AA119" s="198"/>
      <x:c r="AB119" s="198"/>
      <x:c r="AC119" s="198"/>
      <x:c r="AD119" s="198"/>
      <x:c r="AE119" s="198"/>
      <x:c r="AF119" s="215"/>
    </x:row>
    <x:row r="120">
      <x:c r="A120" s="238"/>
      <x:c r="B120" s="215" t="str">
        <x:v>正常</x:v>
      </x:c>
      <x:c r="C120" s="199"/>
      <x:c r="D120" s="223" t="str">
        <x:f>IF(COUNTA(L120:AE120)=0,"",SUMPRODUCT(L120:AE120,'参数'!$C$6:$C$25,'参数'!$D$6:$D$25,INDEX('参数'!$E$6:$J$25,0,MATCH(B120,'参数'!$E$5:$J$5,0)),'参数'!$K$6:$K$25)/SUMPRODUCT('参数'!$C$6:$C$25,'参数'!$D$6:$D$25,INDEX('参数'!$E$6:$J$25,0,MATCH(B120,'参数'!$E$5:$J$5,0)),'参数'!$K$6:$K$25))</x:f>
      </x:c>
      <x:c r="E120" s="223" t="str">
        <x:f>IF(D120="","",SUMPRODUCT(ABS(L120:AE120),'参数'!$C$6:$C$25,'参数'!$D$6:$D$25,INDEX('参数'!$E$6:$J$25,0,MATCH(B120,'参数'!$E$5:$J$5,0)))/SUMPRODUCT('参数'!$C$6:$C$25,'参数'!$D$6:$D$25,INDEX('参数'!$E$6:$J$25,0,MATCH(B120,'参数'!$E$5:$J$5,0))))</x:f>
      </x:c>
      <x:c r="F120" s="194" t="str">
        <x:f>IF(D120="","",IF(D120&gt;='参数'!$B$30,1,IF(D120&lt;=-'参数'!$B$30,-1,0)))</x:f>
      </x:c>
      <x:c r="G120" s="194" t="str">
        <x:f>IF(C120="","",IF(C120&gt;='参数'!$B$37,1,IF(C120&lt;=-'参数'!$B$37,-1,0)))</x:f>
      </x:c>
      <x:c r="H120" s="194" t="str">
        <x:f>IF(OR(F120="",G120=""),"",--(F120=G120))</x:f>
      </x:c>
      <x:c r="I120" s="214" t="str">
        <x:f>IF(D120="","",D120*'参数'!$B$34)</x:f>
      </x:c>
      <x:c r="J120" s="214" t="str">
        <x:f>IF(OR(C120="",I120=""),"",ABS(C120-I120))</x:f>
      </x:c>
      <x:c r="K120" s="194" t="str">
        <x:f>IF(D120="","",IF(MAX(ABS(SUM(L120:M120)),ABS(SUM(N120:P120)),ABS(Q120),ABS(SUM(R120:T120)),ABS(SUM(U120:V120)),ABS(SUM(W120:Y120)),ABS(SUM(Z120:AB120)),ABS(SUM(AC120:AE120)))=ABS(SUM(L120:M120)),"订单流",IF(MAX(ABS(SUM(L120:M120)),ABS(SUM(N120:P120)),ABS(Q120),ABS(SUM(R120:T120)),ABS(SUM(U120:V120)),ABS(SUM(W120:Y120)),ABS(SUM(Z120:AB120)),ABS(SUM(AC120:AE120)))=ABS(SUM(N120:P120)),"流动性",IF(MAX(ABS(SUM(L120:M120)),ABS(SUM(N120:P120)),ABS(Q120),ABS(SUM(R120:T120)),ABS(SUM(U120:V120)),ABS(SUM(W120:Y120)),ABS(SUM(Z120:AB120)),ABS(SUM(AC120:AE120)))=ABS(Q120),"价格行为",IF(MAX(ABS(SUM(L120:M120)),ABS(SUM(N120:P120)),ABS(Q120),ABS(SUM(R120:T120)),ABS(SUM(U120:V120)),ABS(SUM(W120:Y120)),ABS(SUM(Z120:AB120)),ABS(SUM(AC120:AE120)))=ABS(SUM(R120:T120)),"杠杆/清算",IF(MAX(ABS(SUM(L120:M120)),ABS(SUM(N120:P120)),ABS(Q120),ABS(SUM(R120:T120)),ABS(SUM(U120:V120)),ABS(SUM(W120:Y120)),ABS(SUM(Z120:AB120)),ABS(SUM(AC120:AE120)))=ABS(SUM(U120:V120)),"衍生品",IF(MAX(ABS(SUM(L120:M120)),ABS(SUM(N120:P120)),ABS(Q120),ABS(SUM(R120:T120)),ABS(SUM(U120:V120)),ABS(SUM(W120:Y120)),ABS(SUM(Z120:AB120)),ABS(SUM(AC120:AE120)))=ABS(SUM(W120:Y120)),"跨市场",IF(MAX(ABS(SUM(L120:M120)),ABS(SUM(N120:P120)),ABS(Q120),ABS(SUM(R120:T120)),ABS(SUM(U120:V120)),ABS(SUM(W120:Y120)),ABS(SUM(Z120:AB120)),ABS(SUM(AC120:AE120)))=ABS(SUM(Z120:AB120)),"宏观代理","事件"))))))))</x:f>
      </x:c>
      <x:c r="L120" s="198"/>
      <x:c r="M120" s="198"/>
      <x:c r="N120" s="198"/>
      <x:c r="O120" s="198"/>
      <x:c r="P120" s="198"/>
      <x:c r="Q120" s="198"/>
      <x:c r="R120" s="198"/>
      <x:c r="S120" s="198"/>
      <x:c r="T120" s="198"/>
      <x:c r="U120" s="198"/>
      <x:c r="V120" s="198"/>
      <x:c r="W120" s="198"/>
      <x:c r="X120" s="198"/>
      <x:c r="Y120" s="198"/>
      <x:c r="Z120" s="198"/>
      <x:c r="AA120" s="198"/>
      <x:c r="AB120" s="198"/>
      <x:c r="AC120" s="198"/>
      <x:c r="AD120" s="198"/>
      <x:c r="AE120" s="198"/>
      <x:c r="AF120" s="215"/>
    </x:row>
    <x:row r="121">
      <x:c r="A121" s="238"/>
      <x:c r="B121" s="215" t="str">
        <x:v>正常</x:v>
      </x:c>
      <x:c r="C121" s="199"/>
      <x:c r="D121" s="223" t="str">
        <x:f>IF(COUNTA(L121:AE121)=0,"",SUMPRODUCT(L121:AE121,'参数'!$C$6:$C$25,'参数'!$D$6:$D$25,INDEX('参数'!$E$6:$J$25,0,MATCH(B121,'参数'!$E$5:$J$5,0)),'参数'!$K$6:$K$25)/SUMPRODUCT('参数'!$C$6:$C$25,'参数'!$D$6:$D$25,INDEX('参数'!$E$6:$J$25,0,MATCH(B121,'参数'!$E$5:$J$5,0)),'参数'!$K$6:$K$25))</x:f>
      </x:c>
      <x:c r="E121" s="223" t="str">
        <x:f>IF(D121="","",SUMPRODUCT(ABS(L121:AE121),'参数'!$C$6:$C$25,'参数'!$D$6:$D$25,INDEX('参数'!$E$6:$J$25,0,MATCH(B121,'参数'!$E$5:$J$5,0)))/SUMPRODUCT('参数'!$C$6:$C$25,'参数'!$D$6:$D$25,INDEX('参数'!$E$6:$J$25,0,MATCH(B121,'参数'!$E$5:$J$5,0))))</x:f>
      </x:c>
      <x:c r="F121" s="194" t="str">
        <x:f>IF(D121="","",IF(D121&gt;='参数'!$B$30,1,IF(D121&lt;=-'参数'!$B$30,-1,0)))</x:f>
      </x:c>
      <x:c r="G121" s="194" t="str">
        <x:f>IF(C121="","",IF(C121&gt;='参数'!$B$37,1,IF(C121&lt;=-'参数'!$B$37,-1,0)))</x:f>
      </x:c>
      <x:c r="H121" s="194" t="str">
        <x:f>IF(OR(F121="",G121=""),"",--(F121=G121))</x:f>
      </x:c>
      <x:c r="I121" s="214" t="str">
        <x:f>IF(D121="","",D121*'参数'!$B$34)</x:f>
      </x:c>
      <x:c r="J121" s="214" t="str">
        <x:f>IF(OR(C121="",I121=""),"",ABS(C121-I121))</x:f>
      </x:c>
      <x:c r="K121" s="194" t="str">
        <x:f>IF(D121="","",IF(MAX(ABS(SUM(L121:M121)),ABS(SUM(N121:P121)),ABS(Q121),ABS(SUM(R121:T121)),ABS(SUM(U121:V121)),ABS(SUM(W121:Y121)),ABS(SUM(Z121:AB121)),ABS(SUM(AC121:AE121)))=ABS(SUM(L121:M121)),"订单流",IF(MAX(ABS(SUM(L121:M121)),ABS(SUM(N121:P121)),ABS(Q121),ABS(SUM(R121:T121)),ABS(SUM(U121:V121)),ABS(SUM(W121:Y121)),ABS(SUM(Z121:AB121)),ABS(SUM(AC121:AE121)))=ABS(SUM(N121:P121)),"流动性",IF(MAX(ABS(SUM(L121:M121)),ABS(SUM(N121:P121)),ABS(Q121),ABS(SUM(R121:T121)),ABS(SUM(U121:V121)),ABS(SUM(W121:Y121)),ABS(SUM(Z121:AB121)),ABS(SUM(AC121:AE121)))=ABS(Q121),"价格行为",IF(MAX(ABS(SUM(L121:M121)),ABS(SUM(N121:P121)),ABS(Q121),ABS(SUM(R121:T121)),ABS(SUM(U121:V121)),ABS(SUM(W121:Y121)),ABS(SUM(Z121:AB121)),ABS(SUM(AC121:AE121)))=ABS(SUM(R121:T121)),"杠杆/清算",IF(MAX(ABS(SUM(L121:M121)),ABS(SUM(N121:P121)),ABS(Q121),ABS(SUM(R121:T121)),ABS(SUM(U121:V121)),ABS(SUM(W121:Y121)),ABS(SUM(Z121:AB121)),ABS(SUM(AC121:AE121)))=ABS(SUM(U121:V121)),"衍生品",IF(MAX(ABS(SUM(L121:M121)),ABS(SUM(N121:P121)),ABS(Q121),ABS(SUM(R121:T121)),ABS(SUM(U121:V121)),ABS(SUM(W121:Y121)),ABS(SUM(Z121:AB121)),ABS(SUM(AC121:AE121)))=ABS(SUM(W121:Y121)),"跨市场",IF(MAX(ABS(SUM(L121:M121)),ABS(SUM(N121:P121)),ABS(Q121),ABS(SUM(R121:T121)),ABS(SUM(U121:V121)),ABS(SUM(W121:Y121)),ABS(SUM(Z121:AB121)),ABS(SUM(AC121:AE121)))=ABS(SUM(Z121:AB121)),"宏观代理","事件"))))))))</x:f>
      </x:c>
      <x:c r="L121" s="198"/>
      <x:c r="M121" s="198"/>
      <x:c r="N121" s="198"/>
      <x:c r="O121" s="198"/>
      <x:c r="P121" s="198"/>
      <x:c r="Q121" s="198"/>
      <x:c r="R121" s="198"/>
      <x:c r="S121" s="198"/>
      <x:c r="T121" s="198"/>
      <x:c r="U121" s="198"/>
      <x:c r="V121" s="198"/>
      <x:c r="W121" s="198"/>
      <x:c r="X121" s="198"/>
      <x:c r="Y121" s="198"/>
      <x:c r="Z121" s="198"/>
      <x:c r="AA121" s="198"/>
      <x:c r="AB121" s="198"/>
      <x:c r="AC121" s="198"/>
      <x:c r="AD121" s="198"/>
      <x:c r="AE121" s="198"/>
      <x:c r="AF121" s="215"/>
    </x:row>
    <x:row r="122">
      <x:c r="A122" s="238"/>
      <x:c r="B122" s="215" t="str">
        <x:v>正常</x:v>
      </x:c>
      <x:c r="C122" s="199"/>
      <x:c r="D122" s="223" t="str">
        <x:f>IF(COUNTA(L122:AE122)=0,"",SUMPRODUCT(L122:AE122,'参数'!$C$6:$C$25,'参数'!$D$6:$D$25,INDEX('参数'!$E$6:$J$25,0,MATCH(B122,'参数'!$E$5:$J$5,0)),'参数'!$K$6:$K$25)/SUMPRODUCT('参数'!$C$6:$C$25,'参数'!$D$6:$D$25,INDEX('参数'!$E$6:$J$25,0,MATCH(B122,'参数'!$E$5:$J$5,0)),'参数'!$K$6:$K$25))</x:f>
      </x:c>
      <x:c r="E122" s="223" t="str">
        <x:f>IF(D122="","",SUMPRODUCT(ABS(L122:AE122),'参数'!$C$6:$C$25,'参数'!$D$6:$D$25,INDEX('参数'!$E$6:$J$25,0,MATCH(B122,'参数'!$E$5:$J$5,0)))/SUMPRODUCT('参数'!$C$6:$C$25,'参数'!$D$6:$D$25,INDEX('参数'!$E$6:$J$25,0,MATCH(B122,'参数'!$E$5:$J$5,0))))</x:f>
      </x:c>
      <x:c r="F122" s="194" t="str">
        <x:f>IF(D122="","",IF(D122&gt;='参数'!$B$30,1,IF(D122&lt;=-'参数'!$B$30,-1,0)))</x:f>
      </x:c>
      <x:c r="G122" s="194" t="str">
        <x:f>IF(C122="","",IF(C122&gt;='参数'!$B$37,1,IF(C122&lt;=-'参数'!$B$37,-1,0)))</x:f>
      </x:c>
      <x:c r="H122" s="194" t="str">
        <x:f>IF(OR(F122="",G122=""),"",--(F122=G122))</x:f>
      </x:c>
      <x:c r="I122" s="214" t="str">
        <x:f>IF(D122="","",D122*'参数'!$B$34)</x:f>
      </x:c>
      <x:c r="J122" s="214" t="str">
        <x:f>IF(OR(C122="",I122=""),"",ABS(C122-I122))</x:f>
      </x:c>
      <x:c r="K122" s="194" t="str">
        <x:f>IF(D122="","",IF(MAX(ABS(SUM(L122:M122)),ABS(SUM(N122:P122)),ABS(Q122),ABS(SUM(R122:T122)),ABS(SUM(U122:V122)),ABS(SUM(W122:Y122)),ABS(SUM(Z122:AB122)),ABS(SUM(AC122:AE122)))=ABS(SUM(L122:M122)),"订单流",IF(MAX(ABS(SUM(L122:M122)),ABS(SUM(N122:P122)),ABS(Q122),ABS(SUM(R122:T122)),ABS(SUM(U122:V122)),ABS(SUM(W122:Y122)),ABS(SUM(Z122:AB122)),ABS(SUM(AC122:AE122)))=ABS(SUM(N122:P122)),"流动性",IF(MAX(ABS(SUM(L122:M122)),ABS(SUM(N122:P122)),ABS(Q122),ABS(SUM(R122:T122)),ABS(SUM(U122:V122)),ABS(SUM(W122:Y122)),ABS(SUM(Z122:AB122)),ABS(SUM(AC122:AE122)))=ABS(Q122),"价格行为",IF(MAX(ABS(SUM(L122:M122)),ABS(SUM(N122:P122)),ABS(Q122),ABS(SUM(R122:T122)),ABS(SUM(U122:V122)),ABS(SUM(W122:Y122)),ABS(SUM(Z122:AB122)),ABS(SUM(AC122:AE122)))=ABS(SUM(R122:T122)),"杠杆/清算",IF(MAX(ABS(SUM(L122:M122)),ABS(SUM(N122:P122)),ABS(Q122),ABS(SUM(R122:T122)),ABS(SUM(U122:V122)),ABS(SUM(W122:Y122)),ABS(SUM(Z122:AB122)),ABS(SUM(AC122:AE122)))=ABS(SUM(U122:V122)),"衍生品",IF(MAX(ABS(SUM(L122:M122)),ABS(SUM(N122:P122)),ABS(Q122),ABS(SUM(R122:T122)),ABS(SUM(U122:V122)),ABS(SUM(W122:Y122)),ABS(SUM(Z122:AB122)),ABS(SUM(AC122:AE122)))=ABS(SUM(W122:Y122)),"跨市场",IF(MAX(ABS(SUM(L122:M122)),ABS(SUM(N122:P122)),ABS(Q122),ABS(SUM(R122:T122)),ABS(SUM(U122:V122)),ABS(SUM(W122:Y122)),ABS(SUM(Z122:AB122)),ABS(SUM(AC122:AE122)))=ABS(SUM(Z122:AB122)),"宏观代理","事件"))))))))</x:f>
      </x:c>
      <x:c r="L122" s="198"/>
      <x:c r="M122" s="198"/>
      <x:c r="N122" s="198"/>
      <x:c r="O122" s="198"/>
      <x:c r="P122" s="198"/>
      <x:c r="Q122" s="198"/>
      <x:c r="R122" s="198"/>
      <x:c r="S122" s="198"/>
      <x:c r="T122" s="198"/>
      <x:c r="U122" s="198"/>
      <x:c r="V122" s="198"/>
      <x:c r="W122" s="198"/>
      <x:c r="X122" s="198"/>
      <x:c r="Y122" s="198"/>
      <x:c r="Z122" s="198"/>
      <x:c r="AA122" s="198"/>
      <x:c r="AB122" s="198"/>
      <x:c r="AC122" s="198"/>
      <x:c r="AD122" s="198"/>
      <x:c r="AE122" s="198"/>
      <x:c r="AF122" s="215"/>
    </x:row>
    <x:row r="123">
      <x:c r="A123" s="238"/>
      <x:c r="B123" s="215" t="str">
        <x:v>正常</x:v>
      </x:c>
      <x:c r="C123" s="199"/>
      <x:c r="D123" s="223" t="str">
        <x:f>IF(COUNTA(L123:AE123)=0,"",SUMPRODUCT(L123:AE123,'参数'!$C$6:$C$25,'参数'!$D$6:$D$25,INDEX('参数'!$E$6:$J$25,0,MATCH(B123,'参数'!$E$5:$J$5,0)),'参数'!$K$6:$K$25)/SUMPRODUCT('参数'!$C$6:$C$25,'参数'!$D$6:$D$25,INDEX('参数'!$E$6:$J$25,0,MATCH(B123,'参数'!$E$5:$J$5,0)),'参数'!$K$6:$K$25))</x:f>
      </x:c>
      <x:c r="E123" s="223" t="str">
        <x:f>IF(D123="","",SUMPRODUCT(ABS(L123:AE123),'参数'!$C$6:$C$25,'参数'!$D$6:$D$25,INDEX('参数'!$E$6:$J$25,0,MATCH(B123,'参数'!$E$5:$J$5,0)))/SUMPRODUCT('参数'!$C$6:$C$25,'参数'!$D$6:$D$25,INDEX('参数'!$E$6:$J$25,0,MATCH(B123,'参数'!$E$5:$J$5,0))))</x:f>
      </x:c>
      <x:c r="F123" s="194" t="str">
        <x:f>IF(D123="","",IF(D123&gt;='参数'!$B$30,1,IF(D123&lt;=-'参数'!$B$30,-1,0)))</x:f>
      </x:c>
      <x:c r="G123" s="194" t="str">
        <x:f>IF(C123="","",IF(C123&gt;='参数'!$B$37,1,IF(C123&lt;=-'参数'!$B$37,-1,0)))</x:f>
      </x:c>
      <x:c r="H123" s="194" t="str">
        <x:f>IF(OR(F123="",G123=""),"",--(F123=G123))</x:f>
      </x:c>
      <x:c r="I123" s="214" t="str">
        <x:f>IF(D123="","",D123*'参数'!$B$34)</x:f>
      </x:c>
      <x:c r="J123" s="214" t="str">
        <x:f>IF(OR(C123="",I123=""),"",ABS(C123-I123))</x:f>
      </x:c>
      <x:c r="K123" s="194" t="str">
        <x:f>IF(D123="","",IF(MAX(ABS(SUM(L123:M123)),ABS(SUM(N123:P123)),ABS(Q123),ABS(SUM(R123:T123)),ABS(SUM(U123:V123)),ABS(SUM(W123:Y123)),ABS(SUM(Z123:AB123)),ABS(SUM(AC123:AE123)))=ABS(SUM(L123:M123)),"订单流",IF(MAX(ABS(SUM(L123:M123)),ABS(SUM(N123:P123)),ABS(Q123),ABS(SUM(R123:T123)),ABS(SUM(U123:V123)),ABS(SUM(W123:Y123)),ABS(SUM(Z123:AB123)),ABS(SUM(AC123:AE123)))=ABS(SUM(N123:P123)),"流动性",IF(MAX(ABS(SUM(L123:M123)),ABS(SUM(N123:P123)),ABS(Q123),ABS(SUM(R123:T123)),ABS(SUM(U123:V123)),ABS(SUM(W123:Y123)),ABS(SUM(Z123:AB123)),ABS(SUM(AC123:AE123)))=ABS(Q123),"价格行为",IF(MAX(ABS(SUM(L123:M123)),ABS(SUM(N123:P123)),ABS(Q123),ABS(SUM(R123:T123)),ABS(SUM(U123:V123)),ABS(SUM(W123:Y123)),ABS(SUM(Z123:AB123)),ABS(SUM(AC123:AE123)))=ABS(SUM(R123:T123)),"杠杆/清算",IF(MAX(ABS(SUM(L123:M123)),ABS(SUM(N123:P123)),ABS(Q123),ABS(SUM(R123:T123)),ABS(SUM(U123:V123)),ABS(SUM(W123:Y123)),ABS(SUM(Z123:AB123)),ABS(SUM(AC123:AE123)))=ABS(SUM(U123:V123)),"衍生品",IF(MAX(ABS(SUM(L123:M123)),ABS(SUM(N123:P123)),ABS(Q123),ABS(SUM(R123:T123)),ABS(SUM(U123:V123)),ABS(SUM(W123:Y123)),ABS(SUM(Z123:AB123)),ABS(SUM(AC123:AE123)))=ABS(SUM(W123:Y123)),"跨市场",IF(MAX(ABS(SUM(L123:M123)),ABS(SUM(N123:P123)),ABS(Q123),ABS(SUM(R123:T123)),ABS(SUM(U123:V123)),ABS(SUM(W123:Y123)),ABS(SUM(Z123:AB123)),ABS(SUM(AC123:AE123)))=ABS(SUM(Z123:AB123)),"宏观代理","事件"))))))))</x:f>
      </x:c>
      <x:c r="L123" s="198"/>
      <x:c r="M123" s="198"/>
      <x:c r="N123" s="198"/>
      <x:c r="O123" s="198"/>
      <x:c r="P123" s="198"/>
      <x:c r="Q123" s="198"/>
      <x:c r="R123" s="198"/>
      <x:c r="S123" s="198"/>
      <x:c r="T123" s="198"/>
      <x:c r="U123" s="198"/>
      <x:c r="V123" s="198"/>
      <x:c r="W123" s="198"/>
      <x:c r="X123" s="198"/>
      <x:c r="Y123" s="198"/>
      <x:c r="Z123" s="198"/>
      <x:c r="AA123" s="198"/>
      <x:c r="AB123" s="198"/>
      <x:c r="AC123" s="198"/>
      <x:c r="AD123" s="198"/>
      <x:c r="AE123" s="198"/>
      <x:c r="AF123" s="215"/>
    </x:row>
    <x:row r="124">
      <x:c r="A124" s="238"/>
      <x:c r="B124" s="215" t="str">
        <x:v>正常</x:v>
      </x:c>
      <x:c r="C124" s="199"/>
      <x:c r="D124" s="223" t="str">
        <x:f>IF(COUNTA(L124:AE124)=0,"",SUMPRODUCT(L124:AE124,'参数'!$C$6:$C$25,'参数'!$D$6:$D$25,INDEX('参数'!$E$6:$J$25,0,MATCH(B124,'参数'!$E$5:$J$5,0)),'参数'!$K$6:$K$25)/SUMPRODUCT('参数'!$C$6:$C$25,'参数'!$D$6:$D$25,INDEX('参数'!$E$6:$J$25,0,MATCH(B124,'参数'!$E$5:$J$5,0)),'参数'!$K$6:$K$25))</x:f>
      </x:c>
      <x:c r="E124" s="223" t="str">
        <x:f>IF(D124="","",SUMPRODUCT(ABS(L124:AE124),'参数'!$C$6:$C$25,'参数'!$D$6:$D$25,INDEX('参数'!$E$6:$J$25,0,MATCH(B124,'参数'!$E$5:$J$5,0)))/SUMPRODUCT('参数'!$C$6:$C$25,'参数'!$D$6:$D$25,INDEX('参数'!$E$6:$J$25,0,MATCH(B124,'参数'!$E$5:$J$5,0))))</x:f>
      </x:c>
      <x:c r="F124" s="194" t="str">
        <x:f>IF(D124="","",IF(D124&gt;='参数'!$B$30,1,IF(D124&lt;=-'参数'!$B$30,-1,0)))</x:f>
      </x:c>
      <x:c r="G124" s="194" t="str">
        <x:f>IF(C124="","",IF(C124&gt;='参数'!$B$37,1,IF(C124&lt;=-'参数'!$B$37,-1,0)))</x:f>
      </x:c>
      <x:c r="H124" s="194" t="str">
        <x:f>IF(OR(F124="",G124=""),"",--(F124=G124))</x:f>
      </x:c>
      <x:c r="I124" s="214" t="str">
        <x:f>IF(D124="","",D124*'参数'!$B$34)</x:f>
      </x:c>
      <x:c r="J124" s="214" t="str">
        <x:f>IF(OR(C124="",I124=""),"",ABS(C124-I124))</x:f>
      </x:c>
      <x:c r="K124" s="194" t="str">
        <x:f>IF(D124="","",IF(MAX(ABS(SUM(L124:M124)),ABS(SUM(N124:P124)),ABS(Q124),ABS(SUM(R124:T124)),ABS(SUM(U124:V124)),ABS(SUM(W124:Y124)),ABS(SUM(Z124:AB124)),ABS(SUM(AC124:AE124)))=ABS(SUM(L124:M124)),"订单流",IF(MAX(ABS(SUM(L124:M124)),ABS(SUM(N124:P124)),ABS(Q124),ABS(SUM(R124:T124)),ABS(SUM(U124:V124)),ABS(SUM(W124:Y124)),ABS(SUM(Z124:AB124)),ABS(SUM(AC124:AE124)))=ABS(SUM(N124:P124)),"流动性",IF(MAX(ABS(SUM(L124:M124)),ABS(SUM(N124:P124)),ABS(Q124),ABS(SUM(R124:T124)),ABS(SUM(U124:V124)),ABS(SUM(W124:Y124)),ABS(SUM(Z124:AB124)),ABS(SUM(AC124:AE124)))=ABS(Q124),"价格行为",IF(MAX(ABS(SUM(L124:M124)),ABS(SUM(N124:P124)),ABS(Q124),ABS(SUM(R124:T124)),ABS(SUM(U124:V124)),ABS(SUM(W124:Y124)),ABS(SUM(Z124:AB124)),ABS(SUM(AC124:AE124)))=ABS(SUM(R124:T124)),"杠杆/清算",IF(MAX(ABS(SUM(L124:M124)),ABS(SUM(N124:P124)),ABS(Q124),ABS(SUM(R124:T124)),ABS(SUM(U124:V124)),ABS(SUM(W124:Y124)),ABS(SUM(Z124:AB124)),ABS(SUM(AC124:AE124)))=ABS(SUM(U124:V124)),"衍生品",IF(MAX(ABS(SUM(L124:M124)),ABS(SUM(N124:P124)),ABS(Q124),ABS(SUM(R124:T124)),ABS(SUM(U124:V124)),ABS(SUM(W124:Y124)),ABS(SUM(Z124:AB124)),ABS(SUM(AC124:AE124)))=ABS(SUM(W124:Y124)),"跨市场",IF(MAX(ABS(SUM(L124:M124)),ABS(SUM(N124:P124)),ABS(Q124),ABS(SUM(R124:T124)),ABS(SUM(U124:V124)),ABS(SUM(W124:Y124)),ABS(SUM(Z124:AB124)),ABS(SUM(AC124:AE124)))=ABS(SUM(Z124:AB124)),"宏观代理","事件"))))))))</x:f>
      </x:c>
      <x:c r="L124" s="198"/>
      <x:c r="M124" s="198"/>
      <x:c r="N124" s="198"/>
      <x:c r="O124" s="198"/>
      <x:c r="P124" s="198"/>
      <x:c r="Q124" s="198"/>
      <x:c r="R124" s="198"/>
      <x:c r="S124" s="198"/>
      <x:c r="T124" s="198"/>
      <x:c r="U124" s="198"/>
      <x:c r="V124" s="198"/>
      <x:c r="W124" s="198"/>
      <x:c r="X124" s="198"/>
      <x:c r="Y124" s="198"/>
      <x:c r="Z124" s="198"/>
      <x:c r="AA124" s="198"/>
      <x:c r="AB124" s="198"/>
      <x:c r="AC124" s="198"/>
      <x:c r="AD124" s="198"/>
      <x:c r="AE124" s="198"/>
      <x:c r="AF124" s="215"/>
    </x:row>
    <x:row r="125">
      <x:c r="A125" s="238"/>
      <x:c r="B125" s="215" t="str">
        <x:v>正常</x:v>
      </x:c>
      <x:c r="C125" s="199"/>
      <x:c r="D125" s="223" t="str">
        <x:f>IF(COUNTA(L125:AE125)=0,"",SUMPRODUCT(L125:AE125,'参数'!$C$6:$C$25,'参数'!$D$6:$D$25,INDEX('参数'!$E$6:$J$25,0,MATCH(B125,'参数'!$E$5:$J$5,0)),'参数'!$K$6:$K$25)/SUMPRODUCT('参数'!$C$6:$C$25,'参数'!$D$6:$D$25,INDEX('参数'!$E$6:$J$25,0,MATCH(B125,'参数'!$E$5:$J$5,0)),'参数'!$K$6:$K$25))</x:f>
      </x:c>
      <x:c r="E125" s="223" t="str">
        <x:f>IF(D125="","",SUMPRODUCT(ABS(L125:AE125),'参数'!$C$6:$C$25,'参数'!$D$6:$D$25,INDEX('参数'!$E$6:$J$25,0,MATCH(B125,'参数'!$E$5:$J$5,0)))/SUMPRODUCT('参数'!$C$6:$C$25,'参数'!$D$6:$D$25,INDEX('参数'!$E$6:$J$25,0,MATCH(B125,'参数'!$E$5:$J$5,0))))</x:f>
      </x:c>
      <x:c r="F125" s="194" t="str">
        <x:f>IF(D125="","",IF(D125&gt;='参数'!$B$30,1,IF(D125&lt;=-'参数'!$B$30,-1,0)))</x:f>
      </x:c>
      <x:c r="G125" s="194" t="str">
        <x:f>IF(C125="","",IF(C125&gt;='参数'!$B$37,1,IF(C125&lt;=-'参数'!$B$37,-1,0)))</x:f>
      </x:c>
      <x:c r="H125" s="194" t="str">
        <x:f>IF(OR(F125="",G125=""),"",--(F125=G125))</x:f>
      </x:c>
      <x:c r="I125" s="214" t="str">
        <x:f>IF(D125="","",D125*'参数'!$B$34)</x:f>
      </x:c>
      <x:c r="J125" s="214" t="str">
        <x:f>IF(OR(C125="",I125=""),"",ABS(C125-I125))</x:f>
      </x:c>
      <x:c r="K125" s="194" t="str">
        <x:f>IF(D125="","",IF(MAX(ABS(SUM(L125:M125)),ABS(SUM(N125:P125)),ABS(Q125),ABS(SUM(R125:T125)),ABS(SUM(U125:V125)),ABS(SUM(W125:Y125)),ABS(SUM(Z125:AB125)),ABS(SUM(AC125:AE125)))=ABS(SUM(L125:M125)),"订单流",IF(MAX(ABS(SUM(L125:M125)),ABS(SUM(N125:P125)),ABS(Q125),ABS(SUM(R125:T125)),ABS(SUM(U125:V125)),ABS(SUM(W125:Y125)),ABS(SUM(Z125:AB125)),ABS(SUM(AC125:AE125)))=ABS(SUM(N125:P125)),"流动性",IF(MAX(ABS(SUM(L125:M125)),ABS(SUM(N125:P125)),ABS(Q125),ABS(SUM(R125:T125)),ABS(SUM(U125:V125)),ABS(SUM(W125:Y125)),ABS(SUM(Z125:AB125)),ABS(SUM(AC125:AE125)))=ABS(Q125),"价格行为",IF(MAX(ABS(SUM(L125:M125)),ABS(SUM(N125:P125)),ABS(Q125),ABS(SUM(R125:T125)),ABS(SUM(U125:V125)),ABS(SUM(W125:Y125)),ABS(SUM(Z125:AB125)),ABS(SUM(AC125:AE125)))=ABS(SUM(R125:T125)),"杠杆/清算",IF(MAX(ABS(SUM(L125:M125)),ABS(SUM(N125:P125)),ABS(Q125),ABS(SUM(R125:T125)),ABS(SUM(U125:V125)),ABS(SUM(W125:Y125)),ABS(SUM(Z125:AB125)),ABS(SUM(AC125:AE125)))=ABS(SUM(U125:V125)),"衍生品",IF(MAX(ABS(SUM(L125:M125)),ABS(SUM(N125:P125)),ABS(Q125),ABS(SUM(R125:T125)),ABS(SUM(U125:V125)),ABS(SUM(W125:Y125)),ABS(SUM(Z125:AB125)),ABS(SUM(AC125:AE125)))=ABS(SUM(W125:Y125)),"跨市场",IF(MAX(ABS(SUM(L125:M125)),ABS(SUM(N125:P125)),ABS(Q125),ABS(SUM(R125:T125)),ABS(SUM(U125:V125)),ABS(SUM(W125:Y125)),ABS(SUM(Z125:AB125)),ABS(SUM(AC125:AE125)))=ABS(SUM(Z125:AB125)),"宏观代理","事件"))))))))</x:f>
      </x:c>
      <x:c r="L125" s="198"/>
      <x:c r="M125" s="198"/>
      <x:c r="N125" s="198"/>
      <x:c r="O125" s="198"/>
      <x:c r="P125" s="198"/>
      <x:c r="Q125" s="198"/>
      <x:c r="R125" s="198"/>
      <x:c r="S125" s="198"/>
      <x:c r="T125" s="198"/>
      <x:c r="U125" s="198"/>
      <x:c r="V125" s="198"/>
      <x:c r="W125" s="198"/>
      <x:c r="X125" s="198"/>
      <x:c r="Y125" s="198"/>
      <x:c r="Z125" s="198"/>
      <x:c r="AA125" s="198"/>
      <x:c r="AB125" s="198"/>
      <x:c r="AC125" s="198"/>
      <x:c r="AD125" s="198"/>
      <x:c r="AE125" s="198"/>
      <x:c r="AF125" s="215"/>
    </x:row>
    <x:row r="126">
      <x:c r="A126" s="238"/>
      <x:c r="B126" s="215" t="str">
        <x:v>正常</x:v>
      </x:c>
      <x:c r="C126" s="199"/>
      <x:c r="D126" s="223" t="str">
        <x:f>IF(COUNTA(L126:AE126)=0,"",SUMPRODUCT(L126:AE126,'参数'!$C$6:$C$25,'参数'!$D$6:$D$25,INDEX('参数'!$E$6:$J$25,0,MATCH(B126,'参数'!$E$5:$J$5,0)),'参数'!$K$6:$K$25)/SUMPRODUCT('参数'!$C$6:$C$25,'参数'!$D$6:$D$25,INDEX('参数'!$E$6:$J$25,0,MATCH(B126,'参数'!$E$5:$J$5,0)),'参数'!$K$6:$K$25))</x:f>
      </x:c>
      <x:c r="E126" s="223" t="str">
        <x:f>IF(D126="","",SUMPRODUCT(ABS(L126:AE126),'参数'!$C$6:$C$25,'参数'!$D$6:$D$25,INDEX('参数'!$E$6:$J$25,0,MATCH(B126,'参数'!$E$5:$J$5,0)))/SUMPRODUCT('参数'!$C$6:$C$25,'参数'!$D$6:$D$25,INDEX('参数'!$E$6:$J$25,0,MATCH(B126,'参数'!$E$5:$J$5,0))))</x:f>
      </x:c>
      <x:c r="F126" s="194" t="str">
        <x:f>IF(D126="","",IF(D126&gt;='参数'!$B$30,1,IF(D126&lt;=-'参数'!$B$30,-1,0)))</x:f>
      </x:c>
      <x:c r="G126" s="194" t="str">
        <x:f>IF(C126="","",IF(C126&gt;='参数'!$B$37,1,IF(C126&lt;=-'参数'!$B$37,-1,0)))</x:f>
      </x:c>
      <x:c r="H126" s="194" t="str">
        <x:f>IF(OR(F126="",G126=""),"",--(F126=G126))</x:f>
      </x:c>
      <x:c r="I126" s="214" t="str">
        <x:f>IF(D126="","",D126*'参数'!$B$34)</x:f>
      </x:c>
      <x:c r="J126" s="214" t="str">
        <x:f>IF(OR(C126="",I126=""),"",ABS(C126-I126))</x:f>
      </x:c>
      <x:c r="K126" s="194" t="str">
        <x:f>IF(D126="","",IF(MAX(ABS(SUM(L126:M126)),ABS(SUM(N126:P126)),ABS(Q126),ABS(SUM(R126:T126)),ABS(SUM(U126:V126)),ABS(SUM(W126:Y126)),ABS(SUM(Z126:AB126)),ABS(SUM(AC126:AE126)))=ABS(SUM(L126:M126)),"订单流",IF(MAX(ABS(SUM(L126:M126)),ABS(SUM(N126:P126)),ABS(Q126),ABS(SUM(R126:T126)),ABS(SUM(U126:V126)),ABS(SUM(W126:Y126)),ABS(SUM(Z126:AB126)),ABS(SUM(AC126:AE126)))=ABS(SUM(N126:P126)),"流动性",IF(MAX(ABS(SUM(L126:M126)),ABS(SUM(N126:P126)),ABS(Q126),ABS(SUM(R126:T126)),ABS(SUM(U126:V126)),ABS(SUM(W126:Y126)),ABS(SUM(Z126:AB126)),ABS(SUM(AC126:AE126)))=ABS(Q126),"价格行为",IF(MAX(ABS(SUM(L126:M126)),ABS(SUM(N126:P126)),ABS(Q126),ABS(SUM(R126:T126)),ABS(SUM(U126:V126)),ABS(SUM(W126:Y126)),ABS(SUM(Z126:AB126)),ABS(SUM(AC126:AE126)))=ABS(SUM(R126:T126)),"杠杆/清算",IF(MAX(ABS(SUM(L126:M126)),ABS(SUM(N126:P126)),ABS(Q126),ABS(SUM(R126:T126)),ABS(SUM(U126:V126)),ABS(SUM(W126:Y126)),ABS(SUM(Z126:AB126)),ABS(SUM(AC126:AE126)))=ABS(SUM(U126:V126)),"衍生品",IF(MAX(ABS(SUM(L126:M126)),ABS(SUM(N126:P126)),ABS(Q126),ABS(SUM(R126:T126)),ABS(SUM(U126:V126)),ABS(SUM(W126:Y126)),ABS(SUM(Z126:AB126)),ABS(SUM(AC126:AE126)))=ABS(SUM(W126:Y126)),"跨市场",IF(MAX(ABS(SUM(L126:M126)),ABS(SUM(N126:P126)),ABS(Q126),ABS(SUM(R126:T126)),ABS(SUM(U126:V126)),ABS(SUM(W126:Y126)),ABS(SUM(Z126:AB126)),ABS(SUM(AC126:AE126)))=ABS(SUM(Z126:AB126)),"宏观代理","事件"))))))))</x:f>
      </x:c>
      <x:c r="L126" s="198"/>
      <x:c r="M126" s="198"/>
      <x:c r="N126" s="198"/>
      <x:c r="O126" s="198"/>
      <x:c r="P126" s="198"/>
      <x:c r="Q126" s="198"/>
      <x:c r="R126" s="198"/>
      <x:c r="S126" s="198"/>
      <x:c r="T126" s="198"/>
      <x:c r="U126" s="198"/>
      <x:c r="V126" s="198"/>
      <x:c r="W126" s="198"/>
      <x:c r="X126" s="198"/>
      <x:c r="Y126" s="198"/>
      <x:c r="Z126" s="198"/>
      <x:c r="AA126" s="198"/>
      <x:c r="AB126" s="198"/>
      <x:c r="AC126" s="198"/>
      <x:c r="AD126" s="198"/>
      <x:c r="AE126" s="198"/>
      <x:c r="AF126" s="215"/>
    </x:row>
    <x:row r="127">
      <x:c r="A127" s="238"/>
      <x:c r="B127" s="215" t="str">
        <x:v>正常</x:v>
      </x:c>
      <x:c r="C127" s="199"/>
      <x:c r="D127" s="223" t="str">
        <x:f>IF(COUNTA(L127:AE127)=0,"",SUMPRODUCT(L127:AE127,'参数'!$C$6:$C$25,'参数'!$D$6:$D$25,INDEX('参数'!$E$6:$J$25,0,MATCH(B127,'参数'!$E$5:$J$5,0)),'参数'!$K$6:$K$25)/SUMPRODUCT('参数'!$C$6:$C$25,'参数'!$D$6:$D$25,INDEX('参数'!$E$6:$J$25,0,MATCH(B127,'参数'!$E$5:$J$5,0)),'参数'!$K$6:$K$25))</x:f>
      </x:c>
      <x:c r="E127" s="223" t="str">
        <x:f>IF(D127="","",SUMPRODUCT(ABS(L127:AE127),'参数'!$C$6:$C$25,'参数'!$D$6:$D$25,INDEX('参数'!$E$6:$J$25,0,MATCH(B127,'参数'!$E$5:$J$5,0)))/SUMPRODUCT('参数'!$C$6:$C$25,'参数'!$D$6:$D$25,INDEX('参数'!$E$6:$J$25,0,MATCH(B127,'参数'!$E$5:$J$5,0))))</x:f>
      </x:c>
      <x:c r="F127" s="194" t="str">
        <x:f>IF(D127="","",IF(D127&gt;='参数'!$B$30,1,IF(D127&lt;=-'参数'!$B$30,-1,0)))</x:f>
      </x:c>
      <x:c r="G127" s="194" t="str">
        <x:f>IF(C127="","",IF(C127&gt;='参数'!$B$37,1,IF(C127&lt;=-'参数'!$B$37,-1,0)))</x:f>
      </x:c>
      <x:c r="H127" s="194" t="str">
        <x:f>IF(OR(F127="",G127=""),"",--(F127=G127))</x:f>
      </x:c>
      <x:c r="I127" s="214" t="str">
        <x:f>IF(D127="","",D127*'参数'!$B$34)</x:f>
      </x:c>
      <x:c r="J127" s="214" t="str">
        <x:f>IF(OR(C127="",I127=""),"",ABS(C127-I127))</x:f>
      </x:c>
      <x:c r="K127" s="194" t="str">
        <x:f>IF(D127="","",IF(MAX(ABS(SUM(L127:M127)),ABS(SUM(N127:P127)),ABS(Q127),ABS(SUM(R127:T127)),ABS(SUM(U127:V127)),ABS(SUM(W127:Y127)),ABS(SUM(Z127:AB127)),ABS(SUM(AC127:AE127)))=ABS(SUM(L127:M127)),"订单流",IF(MAX(ABS(SUM(L127:M127)),ABS(SUM(N127:P127)),ABS(Q127),ABS(SUM(R127:T127)),ABS(SUM(U127:V127)),ABS(SUM(W127:Y127)),ABS(SUM(Z127:AB127)),ABS(SUM(AC127:AE127)))=ABS(SUM(N127:P127)),"流动性",IF(MAX(ABS(SUM(L127:M127)),ABS(SUM(N127:P127)),ABS(Q127),ABS(SUM(R127:T127)),ABS(SUM(U127:V127)),ABS(SUM(W127:Y127)),ABS(SUM(Z127:AB127)),ABS(SUM(AC127:AE127)))=ABS(Q127),"价格行为",IF(MAX(ABS(SUM(L127:M127)),ABS(SUM(N127:P127)),ABS(Q127),ABS(SUM(R127:T127)),ABS(SUM(U127:V127)),ABS(SUM(W127:Y127)),ABS(SUM(Z127:AB127)),ABS(SUM(AC127:AE127)))=ABS(SUM(R127:T127)),"杠杆/清算",IF(MAX(ABS(SUM(L127:M127)),ABS(SUM(N127:P127)),ABS(Q127),ABS(SUM(R127:T127)),ABS(SUM(U127:V127)),ABS(SUM(W127:Y127)),ABS(SUM(Z127:AB127)),ABS(SUM(AC127:AE127)))=ABS(SUM(U127:V127)),"衍生品",IF(MAX(ABS(SUM(L127:M127)),ABS(SUM(N127:P127)),ABS(Q127),ABS(SUM(R127:T127)),ABS(SUM(U127:V127)),ABS(SUM(W127:Y127)),ABS(SUM(Z127:AB127)),ABS(SUM(AC127:AE127)))=ABS(SUM(W127:Y127)),"跨市场",IF(MAX(ABS(SUM(L127:M127)),ABS(SUM(N127:P127)),ABS(Q127),ABS(SUM(R127:T127)),ABS(SUM(U127:V127)),ABS(SUM(W127:Y127)),ABS(SUM(Z127:AB127)),ABS(SUM(AC127:AE127)))=ABS(SUM(Z127:AB127)),"宏观代理","事件"))))))))</x:f>
      </x:c>
      <x:c r="L127" s="198"/>
      <x:c r="M127" s="198"/>
      <x:c r="N127" s="198"/>
      <x:c r="O127" s="198"/>
      <x:c r="P127" s="198"/>
      <x:c r="Q127" s="198"/>
      <x:c r="R127" s="198"/>
      <x:c r="S127" s="198"/>
      <x:c r="T127" s="198"/>
      <x:c r="U127" s="198"/>
      <x:c r="V127" s="198"/>
      <x:c r="W127" s="198"/>
      <x:c r="X127" s="198"/>
      <x:c r="Y127" s="198"/>
      <x:c r="Z127" s="198"/>
      <x:c r="AA127" s="198"/>
      <x:c r="AB127" s="198"/>
      <x:c r="AC127" s="198"/>
      <x:c r="AD127" s="198"/>
      <x:c r="AE127" s="198"/>
      <x:c r="AF127" s="215"/>
    </x:row>
    <x:row r="128">
      <x:c r="A128" s="238"/>
      <x:c r="B128" s="215" t="str">
        <x:v>正常</x:v>
      </x:c>
      <x:c r="C128" s="199"/>
      <x:c r="D128" s="223" t="str">
        <x:f>IF(COUNTA(L128:AE128)=0,"",SUMPRODUCT(L128:AE128,'参数'!$C$6:$C$25,'参数'!$D$6:$D$25,INDEX('参数'!$E$6:$J$25,0,MATCH(B128,'参数'!$E$5:$J$5,0)),'参数'!$K$6:$K$25)/SUMPRODUCT('参数'!$C$6:$C$25,'参数'!$D$6:$D$25,INDEX('参数'!$E$6:$J$25,0,MATCH(B128,'参数'!$E$5:$J$5,0)),'参数'!$K$6:$K$25))</x:f>
      </x:c>
      <x:c r="E128" s="223" t="str">
        <x:f>IF(D128="","",SUMPRODUCT(ABS(L128:AE128),'参数'!$C$6:$C$25,'参数'!$D$6:$D$25,INDEX('参数'!$E$6:$J$25,0,MATCH(B128,'参数'!$E$5:$J$5,0)))/SUMPRODUCT('参数'!$C$6:$C$25,'参数'!$D$6:$D$25,INDEX('参数'!$E$6:$J$25,0,MATCH(B128,'参数'!$E$5:$J$5,0))))</x:f>
      </x:c>
      <x:c r="F128" s="194" t="str">
        <x:f>IF(D128="","",IF(D128&gt;='参数'!$B$30,1,IF(D128&lt;=-'参数'!$B$30,-1,0)))</x:f>
      </x:c>
      <x:c r="G128" s="194" t="str">
        <x:f>IF(C128="","",IF(C128&gt;='参数'!$B$37,1,IF(C128&lt;=-'参数'!$B$37,-1,0)))</x:f>
      </x:c>
      <x:c r="H128" s="194" t="str">
        <x:f>IF(OR(F128="",G128=""),"",--(F128=G128))</x:f>
      </x:c>
      <x:c r="I128" s="214" t="str">
        <x:f>IF(D128="","",D128*'参数'!$B$34)</x:f>
      </x:c>
      <x:c r="J128" s="214" t="str">
        <x:f>IF(OR(C128="",I128=""),"",ABS(C128-I128))</x:f>
      </x:c>
      <x:c r="K128" s="194" t="str">
        <x:f>IF(D128="","",IF(MAX(ABS(SUM(L128:M128)),ABS(SUM(N128:P128)),ABS(Q128),ABS(SUM(R128:T128)),ABS(SUM(U128:V128)),ABS(SUM(W128:Y128)),ABS(SUM(Z128:AB128)),ABS(SUM(AC128:AE128)))=ABS(SUM(L128:M128)),"订单流",IF(MAX(ABS(SUM(L128:M128)),ABS(SUM(N128:P128)),ABS(Q128),ABS(SUM(R128:T128)),ABS(SUM(U128:V128)),ABS(SUM(W128:Y128)),ABS(SUM(Z128:AB128)),ABS(SUM(AC128:AE128)))=ABS(SUM(N128:P128)),"流动性",IF(MAX(ABS(SUM(L128:M128)),ABS(SUM(N128:P128)),ABS(Q128),ABS(SUM(R128:T128)),ABS(SUM(U128:V128)),ABS(SUM(W128:Y128)),ABS(SUM(Z128:AB128)),ABS(SUM(AC128:AE128)))=ABS(Q128),"价格行为",IF(MAX(ABS(SUM(L128:M128)),ABS(SUM(N128:P128)),ABS(Q128),ABS(SUM(R128:T128)),ABS(SUM(U128:V128)),ABS(SUM(W128:Y128)),ABS(SUM(Z128:AB128)),ABS(SUM(AC128:AE128)))=ABS(SUM(R128:T128)),"杠杆/清算",IF(MAX(ABS(SUM(L128:M128)),ABS(SUM(N128:P128)),ABS(Q128),ABS(SUM(R128:T128)),ABS(SUM(U128:V128)),ABS(SUM(W128:Y128)),ABS(SUM(Z128:AB128)),ABS(SUM(AC128:AE128)))=ABS(SUM(U128:V128)),"衍生品",IF(MAX(ABS(SUM(L128:M128)),ABS(SUM(N128:P128)),ABS(Q128),ABS(SUM(R128:T128)),ABS(SUM(U128:V128)),ABS(SUM(W128:Y128)),ABS(SUM(Z128:AB128)),ABS(SUM(AC128:AE128)))=ABS(SUM(W128:Y128)),"跨市场",IF(MAX(ABS(SUM(L128:M128)),ABS(SUM(N128:P128)),ABS(Q128),ABS(SUM(R128:T128)),ABS(SUM(U128:V128)),ABS(SUM(W128:Y128)),ABS(SUM(Z128:AB128)),ABS(SUM(AC128:AE128)))=ABS(SUM(Z128:AB128)),"宏观代理","事件"))))))))</x:f>
      </x:c>
      <x:c r="L128" s="198"/>
      <x:c r="M128" s="198"/>
      <x:c r="N128" s="198"/>
      <x:c r="O128" s="198"/>
      <x:c r="P128" s="198"/>
      <x:c r="Q128" s="198"/>
      <x:c r="R128" s="198"/>
      <x:c r="S128" s="198"/>
      <x:c r="T128" s="198"/>
      <x:c r="U128" s="198"/>
      <x:c r="V128" s="198"/>
      <x:c r="W128" s="198"/>
      <x:c r="X128" s="198"/>
      <x:c r="Y128" s="198"/>
      <x:c r="Z128" s="198"/>
      <x:c r="AA128" s="198"/>
      <x:c r="AB128" s="198"/>
      <x:c r="AC128" s="198"/>
      <x:c r="AD128" s="198"/>
      <x:c r="AE128" s="198"/>
      <x:c r="AF128" s="215"/>
    </x:row>
    <x:row r="129">
      <x:c r="A129" s="238"/>
      <x:c r="B129" s="215" t="str">
        <x:v>正常</x:v>
      </x:c>
      <x:c r="C129" s="199"/>
      <x:c r="D129" s="223" t="str">
        <x:f>IF(COUNTA(L129:AE129)=0,"",SUMPRODUCT(L129:AE129,'参数'!$C$6:$C$25,'参数'!$D$6:$D$25,INDEX('参数'!$E$6:$J$25,0,MATCH(B129,'参数'!$E$5:$J$5,0)),'参数'!$K$6:$K$25)/SUMPRODUCT('参数'!$C$6:$C$25,'参数'!$D$6:$D$25,INDEX('参数'!$E$6:$J$25,0,MATCH(B129,'参数'!$E$5:$J$5,0)),'参数'!$K$6:$K$25))</x:f>
      </x:c>
      <x:c r="E129" s="223" t="str">
        <x:f>IF(D129="","",SUMPRODUCT(ABS(L129:AE129),'参数'!$C$6:$C$25,'参数'!$D$6:$D$25,INDEX('参数'!$E$6:$J$25,0,MATCH(B129,'参数'!$E$5:$J$5,0)))/SUMPRODUCT('参数'!$C$6:$C$25,'参数'!$D$6:$D$25,INDEX('参数'!$E$6:$J$25,0,MATCH(B129,'参数'!$E$5:$J$5,0))))</x:f>
      </x:c>
      <x:c r="F129" s="194" t="str">
        <x:f>IF(D129="","",IF(D129&gt;='参数'!$B$30,1,IF(D129&lt;=-'参数'!$B$30,-1,0)))</x:f>
      </x:c>
      <x:c r="G129" s="194" t="str">
        <x:f>IF(C129="","",IF(C129&gt;='参数'!$B$37,1,IF(C129&lt;=-'参数'!$B$37,-1,0)))</x:f>
      </x:c>
      <x:c r="H129" s="194" t="str">
        <x:f>IF(OR(F129="",G129=""),"",--(F129=G129))</x:f>
      </x:c>
      <x:c r="I129" s="214" t="str">
        <x:f>IF(D129="","",D129*'参数'!$B$34)</x:f>
      </x:c>
      <x:c r="J129" s="214" t="str">
        <x:f>IF(OR(C129="",I129=""),"",ABS(C129-I129))</x:f>
      </x:c>
      <x:c r="K129" s="194" t="str">
        <x:f>IF(D129="","",IF(MAX(ABS(SUM(L129:M129)),ABS(SUM(N129:P129)),ABS(Q129),ABS(SUM(R129:T129)),ABS(SUM(U129:V129)),ABS(SUM(W129:Y129)),ABS(SUM(Z129:AB129)),ABS(SUM(AC129:AE129)))=ABS(SUM(L129:M129)),"订单流",IF(MAX(ABS(SUM(L129:M129)),ABS(SUM(N129:P129)),ABS(Q129),ABS(SUM(R129:T129)),ABS(SUM(U129:V129)),ABS(SUM(W129:Y129)),ABS(SUM(Z129:AB129)),ABS(SUM(AC129:AE129)))=ABS(SUM(N129:P129)),"流动性",IF(MAX(ABS(SUM(L129:M129)),ABS(SUM(N129:P129)),ABS(Q129),ABS(SUM(R129:T129)),ABS(SUM(U129:V129)),ABS(SUM(W129:Y129)),ABS(SUM(Z129:AB129)),ABS(SUM(AC129:AE129)))=ABS(Q129),"价格行为",IF(MAX(ABS(SUM(L129:M129)),ABS(SUM(N129:P129)),ABS(Q129),ABS(SUM(R129:T129)),ABS(SUM(U129:V129)),ABS(SUM(W129:Y129)),ABS(SUM(Z129:AB129)),ABS(SUM(AC129:AE129)))=ABS(SUM(R129:T129)),"杠杆/清算",IF(MAX(ABS(SUM(L129:M129)),ABS(SUM(N129:P129)),ABS(Q129),ABS(SUM(R129:T129)),ABS(SUM(U129:V129)),ABS(SUM(W129:Y129)),ABS(SUM(Z129:AB129)),ABS(SUM(AC129:AE129)))=ABS(SUM(U129:V129)),"衍生品",IF(MAX(ABS(SUM(L129:M129)),ABS(SUM(N129:P129)),ABS(Q129),ABS(SUM(R129:T129)),ABS(SUM(U129:V129)),ABS(SUM(W129:Y129)),ABS(SUM(Z129:AB129)),ABS(SUM(AC129:AE129)))=ABS(SUM(W129:Y129)),"跨市场",IF(MAX(ABS(SUM(L129:M129)),ABS(SUM(N129:P129)),ABS(Q129),ABS(SUM(R129:T129)),ABS(SUM(U129:V129)),ABS(SUM(W129:Y129)),ABS(SUM(Z129:AB129)),ABS(SUM(AC129:AE129)))=ABS(SUM(Z129:AB129)),"宏观代理","事件"))))))))</x:f>
      </x:c>
      <x:c r="L129" s="198"/>
      <x:c r="M129" s="198"/>
      <x:c r="N129" s="198"/>
      <x:c r="O129" s="198"/>
      <x:c r="P129" s="198"/>
      <x:c r="Q129" s="198"/>
      <x:c r="R129" s="198"/>
      <x:c r="S129" s="198"/>
      <x:c r="T129" s="198"/>
      <x:c r="U129" s="198"/>
      <x:c r="V129" s="198"/>
      <x:c r="W129" s="198"/>
      <x:c r="X129" s="198"/>
      <x:c r="Y129" s="198"/>
      <x:c r="Z129" s="198"/>
      <x:c r="AA129" s="198"/>
      <x:c r="AB129" s="198"/>
      <x:c r="AC129" s="198"/>
      <x:c r="AD129" s="198"/>
      <x:c r="AE129" s="198"/>
      <x:c r="AF129" s="215"/>
    </x:row>
    <x:row r="130">
      <x:c r="A130" s="238"/>
      <x:c r="B130" s="215" t="str">
        <x:v>正常</x:v>
      </x:c>
      <x:c r="C130" s="199"/>
      <x:c r="D130" s="223" t="str">
        <x:f>IF(COUNTA(L130:AE130)=0,"",SUMPRODUCT(L130:AE130,'参数'!$C$6:$C$25,'参数'!$D$6:$D$25,INDEX('参数'!$E$6:$J$25,0,MATCH(B130,'参数'!$E$5:$J$5,0)),'参数'!$K$6:$K$25)/SUMPRODUCT('参数'!$C$6:$C$25,'参数'!$D$6:$D$25,INDEX('参数'!$E$6:$J$25,0,MATCH(B130,'参数'!$E$5:$J$5,0)),'参数'!$K$6:$K$25))</x:f>
      </x:c>
      <x:c r="E130" s="223" t="str">
        <x:f>IF(D130="","",SUMPRODUCT(ABS(L130:AE130),'参数'!$C$6:$C$25,'参数'!$D$6:$D$25,INDEX('参数'!$E$6:$J$25,0,MATCH(B130,'参数'!$E$5:$J$5,0)))/SUMPRODUCT('参数'!$C$6:$C$25,'参数'!$D$6:$D$25,INDEX('参数'!$E$6:$J$25,0,MATCH(B130,'参数'!$E$5:$J$5,0))))</x:f>
      </x:c>
      <x:c r="F130" s="194" t="str">
        <x:f>IF(D130="","",IF(D130&gt;='参数'!$B$30,1,IF(D130&lt;=-'参数'!$B$30,-1,0)))</x:f>
      </x:c>
      <x:c r="G130" s="194" t="str">
        <x:f>IF(C130="","",IF(C130&gt;='参数'!$B$37,1,IF(C130&lt;=-'参数'!$B$37,-1,0)))</x:f>
      </x:c>
      <x:c r="H130" s="194" t="str">
        <x:f>IF(OR(F130="",G130=""),"",--(F130=G130))</x:f>
      </x:c>
      <x:c r="I130" s="214" t="str">
        <x:f>IF(D130="","",D130*'参数'!$B$34)</x:f>
      </x:c>
      <x:c r="J130" s="214" t="str">
        <x:f>IF(OR(C130="",I130=""),"",ABS(C130-I130))</x:f>
      </x:c>
      <x:c r="K130" s="194" t="str">
        <x:f>IF(D130="","",IF(MAX(ABS(SUM(L130:M130)),ABS(SUM(N130:P130)),ABS(Q130),ABS(SUM(R130:T130)),ABS(SUM(U130:V130)),ABS(SUM(W130:Y130)),ABS(SUM(Z130:AB130)),ABS(SUM(AC130:AE130)))=ABS(SUM(L130:M130)),"订单流",IF(MAX(ABS(SUM(L130:M130)),ABS(SUM(N130:P130)),ABS(Q130),ABS(SUM(R130:T130)),ABS(SUM(U130:V130)),ABS(SUM(W130:Y130)),ABS(SUM(Z130:AB130)),ABS(SUM(AC130:AE130)))=ABS(SUM(N130:P130)),"流动性",IF(MAX(ABS(SUM(L130:M130)),ABS(SUM(N130:P130)),ABS(Q130),ABS(SUM(R130:T130)),ABS(SUM(U130:V130)),ABS(SUM(W130:Y130)),ABS(SUM(Z130:AB130)),ABS(SUM(AC130:AE130)))=ABS(Q130),"价格行为",IF(MAX(ABS(SUM(L130:M130)),ABS(SUM(N130:P130)),ABS(Q130),ABS(SUM(R130:T130)),ABS(SUM(U130:V130)),ABS(SUM(W130:Y130)),ABS(SUM(Z130:AB130)),ABS(SUM(AC130:AE130)))=ABS(SUM(R130:T130)),"杠杆/清算",IF(MAX(ABS(SUM(L130:M130)),ABS(SUM(N130:P130)),ABS(Q130),ABS(SUM(R130:T130)),ABS(SUM(U130:V130)),ABS(SUM(W130:Y130)),ABS(SUM(Z130:AB130)),ABS(SUM(AC130:AE130)))=ABS(SUM(U130:V130)),"衍生品",IF(MAX(ABS(SUM(L130:M130)),ABS(SUM(N130:P130)),ABS(Q130),ABS(SUM(R130:T130)),ABS(SUM(U130:V130)),ABS(SUM(W130:Y130)),ABS(SUM(Z130:AB130)),ABS(SUM(AC130:AE130)))=ABS(SUM(W130:Y130)),"跨市场",IF(MAX(ABS(SUM(L130:M130)),ABS(SUM(N130:P130)),ABS(Q130),ABS(SUM(R130:T130)),ABS(SUM(U130:V130)),ABS(SUM(W130:Y130)),ABS(SUM(Z130:AB130)),ABS(SUM(AC130:AE130)))=ABS(SUM(Z130:AB130)),"宏观代理","事件"))))))))</x:f>
      </x:c>
      <x:c r="L130" s="198"/>
      <x:c r="M130" s="198"/>
      <x:c r="N130" s="198"/>
      <x:c r="O130" s="198"/>
      <x:c r="P130" s="198"/>
      <x:c r="Q130" s="198"/>
      <x:c r="R130" s="198"/>
      <x:c r="S130" s="198"/>
      <x:c r="T130" s="198"/>
      <x:c r="U130" s="198"/>
      <x:c r="V130" s="198"/>
      <x:c r="W130" s="198"/>
      <x:c r="X130" s="198"/>
      <x:c r="Y130" s="198"/>
      <x:c r="Z130" s="198"/>
      <x:c r="AA130" s="198"/>
      <x:c r="AB130" s="198"/>
      <x:c r="AC130" s="198"/>
      <x:c r="AD130" s="198"/>
      <x:c r="AE130" s="198"/>
      <x:c r="AF130" s="215"/>
    </x:row>
    <x:row r="131">
      <x:c r="A131" s="238"/>
      <x:c r="B131" s="215" t="str">
        <x:v>正常</x:v>
      </x:c>
      <x:c r="C131" s="199"/>
      <x:c r="D131" s="223" t="str">
        <x:f>IF(COUNTA(L131:AE131)=0,"",SUMPRODUCT(L131:AE131,'参数'!$C$6:$C$25,'参数'!$D$6:$D$25,INDEX('参数'!$E$6:$J$25,0,MATCH(B131,'参数'!$E$5:$J$5,0)),'参数'!$K$6:$K$25)/SUMPRODUCT('参数'!$C$6:$C$25,'参数'!$D$6:$D$25,INDEX('参数'!$E$6:$J$25,0,MATCH(B131,'参数'!$E$5:$J$5,0)),'参数'!$K$6:$K$25))</x:f>
      </x:c>
      <x:c r="E131" s="223" t="str">
        <x:f>IF(D131="","",SUMPRODUCT(ABS(L131:AE131),'参数'!$C$6:$C$25,'参数'!$D$6:$D$25,INDEX('参数'!$E$6:$J$25,0,MATCH(B131,'参数'!$E$5:$J$5,0)))/SUMPRODUCT('参数'!$C$6:$C$25,'参数'!$D$6:$D$25,INDEX('参数'!$E$6:$J$25,0,MATCH(B131,'参数'!$E$5:$J$5,0))))</x:f>
      </x:c>
      <x:c r="F131" s="194" t="str">
        <x:f>IF(D131="","",IF(D131&gt;='参数'!$B$30,1,IF(D131&lt;=-'参数'!$B$30,-1,0)))</x:f>
      </x:c>
      <x:c r="G131" s="194" t="str">
        <x:f>IF(C131="","",IF(C131&gt;='参数'!$B$37,1,IF(C131&lt;=-'参数'!$B$37,-1,0)))</x:f>
      </x:c>
      <x:c r="H131" s="194" t="str">
        <x:f>IF(OR(F131="",G131=""),"",--(F131=G131))</x:f>
      </x:c>
      <x:c r="I131" s="214" t="str">
        <x:f>IF(D131="","",D131*'参数'!$B$34)</x:f>
      </x:c>
      <x:c r="J131" s="214" t="str">
        <x:f>IF(OR(C131="",I131=""),"",ABS(C131-I131))</x:f>
      </x:c>
      <x:c r="K131" s="194" t="str">
        <x:f>IF(D131="","",IF(MAX(ABS(SUM(L131:M131)),ABS(SUM(N131:P131)),ABS(Q131),ABS(SUM(R131:T131)),ABS(SUM(U131:V131)),ABS(SUM(W131:Y131)),ABS(SUM(Z131:AB131)),ABS(SUM(AC131:AE131)))=ABS(SUM(L131:M131)),"订单流",IF(MAX(ABS(SUM(L131:M131)),ABS(SUM(N131:P131)),ABS(Q131),ABS(SUM(R131:T131)),ABS(SUM(U131:V131)),ABS(SUM(W131:Y131)),ABS(SUM(Z131:AB131)),ABS(SUM(AC131:AE131)))=ABS(SUM(N131:P131)),"流动性",IF(MAX(ABS(SUM(L131:M131)),ABS(SUM(N131:P131)),ABS(Q131),ABS(SUM(R131:T131)),ABS(SUM(U131:V131)),ABS(SUM(W131:Y131)),ABS(SUM(Z131:AB131)),ABS(SUM(AC131:AE131)))=ABS(Q131),"价格行为",IF(MAX(ABS(SUM(L131:M131)),ABS(SUM(N131:P131)),ABS(Q131),ABS(SUM(R131:T131)),ABS(SUM(U131:V131)),ABS(SUM(W131:Y131)),ABS(SUM(Z131:AB131)),ABS(SUM(AC131:AE131)))=ABS(SUM(R131:T131)),"杠杆/清算",IF(MAX(ABS(SUM(L131:M131)),ABS(SUM(N131:P131)),ABS(Q131),ABS(SUM(R131:T131)),ABS(SUM(U131:V131)),ABS(SUM(W131:Y131)),ABS(SUM(Z131:AB131)),ABS(SUM(AC131:AE131)))=ABS(SUM(U131:V131)),"衍生品",IF(MAX(ABS(SUM(L131:M131)),ABS(SUM(N131:P131)),ABS(Q131),ABS(SUM(R131:T131)),ABS(SUM(U131:V131)),ABS(SUM(W131:Y131)),ABS(SUM(Z131:AB131)),ABS(SUM(AC131:AE131)))=ABS(SUM(W131:Y131)),"跨市场",IF(MAX(ABS(SUM(L131:M131)),ABS(SUM(N131:P131)),ABS(Q131),ABS(SUM(R131:T131)),ABS(SUM(U131:V131)),ABS(SUM(W131:Y131)),ABS(SUM(Z131:AB131)),ABS(SUM(AC131:AE131)))=ABS(SUM(Z131:AB131)),"宏观代理","事件"))))))))</x:f>
      </x:c>
      <x:c r="L131" s="198"/>
      <x:c r="M131" s="198"/>
      <x:c r="N131" s="198"/>
      <x:c r="O131" s="198"/>
      <x:c r="P131" s="198"/>
      <x:c r="Q131" s="198"/>
      <x:c r="R131" s="198"/>
      <x:c r="S131" s="198"/>
      <x:c r="T131" s="198"/>
      <x:c r="U131" s="198"/>
      <x:c r="V131" s="198"/>
      <x:c r="W131" s="198"/>
      <x:c r="X131" s="198"/>
      <x:c r="Y131" s="198"/>
      <x:c r="Z131" s="198"/>
      <x:c r="AA131" s="198"/>
      <x:c r="AB131" s="198"/>
      <x:c r="AC131" s="198"/>
      <x:c r="AD131" s="198"/>
      <x:c r="AE131" s="198"/>
      <x:c r="AF131" s="215"/>
    </x:row>
    <x:row r="132">
      <x:c r="A132" s="238"/>
      <x:c r="B132" s="215" t="str">
        <x:v>正常</x:v>
      </x:c>
      <x:c r="C132" s="199"/>
      <x:c r="D132" s="223" t="str">
        <x:f>IF(COUNTA(L132:AE132)=0,"",SUMPRODUCT(L132:AE132,'参数'!$C$6:$C$25,'参数'!$D$6:$D$25,INDEX('参数'!$E$6:$J$25,0,MATCH(B132,'参数'!$E$5:$J$5,0)),'参数'!$K$6:$K$25)/SUMPRODUCT('参数'!$C$6:$C$25,'参数'!$D$6:$D$25,INDEX('参数'!$E$6:$J$25,0,MATCH(B132,'参数'!$E$5:$J$5,0)),'参数'!$K$6:$K$25))</x:f>
      </x:c>
      <x:c r="E132" s="223" t="str">
        <x:f>IF(D132="","",SUMPRODUCT(ABS(L132:AE132),'参数'!$C$6:$C$25,'参数'!$D$6:$D$25,INDEX('参数'!$E$6:$J$25,0,MATCH(B132,'参数'!$E$5:$J$5,0)))/SUMPRODUCT('参数'!$C$6:$C$25,'参数'!$D$6:$D$25,INDEX('参数'!$E$6:$J$25,0,MATCH(B132,'参数'!$E$5:$J$5,0))))</x:f>
      </x:c>
      <x:c r="F132" s="194" t="str">
        <x:f>IF(D132="","",IF(D132&gt;='参数'!$B$30,1,IF(D132&lt;=-'参数'!$B$30,-1,0)))</x:f>
      </x:c>
      <x:c r="G132" s="194" t="str">
        <x:f>IF(C132="","",IF(C132&gt;='参数'!$B$37,1,IF(C132&lt;=-'参数'!$B$37,-1,0)))</x:f>
      </x:c>
      <x:c r="H132" s="194" t="str">
        <x:f>IF(OR(F132="",G132=""),"",--(F132=G132))</x:f>
      </x:c>
      <x:c r="I132" s="214" t="str">
        <x:f>IF(D132="","",D132*'参数'!$B$34)</x:f>
      </x:c>
      <x:c r="J132" s="214" t="str">
        <x:f>IF(OR(C132="",I132=""),"",ABS(C132-I132))</x:f>
      </x:c>
      <x:c r="K132" s="194" t="str">
        <x:f>IF(D132="","",IF(MAX(ABS(SUM(L132:M132)),ABS(SUM(N132:P132)),ABS(Q132),ABS(SUM(R132:T132)),ABS(SUM(U132:V132)),ABS(SUM(W132:Y132)),ABS(SUM(Z132:AB132)),ABS(SUM(AC132:AE132)))=ABS(SUM(L132:M132)),"订单流",IF(MAX(ABS(SUM(L132:M132)),ABS(SUM(N132:P132)),ABS(Q132),ABS(SUM(R132:T132)),ABS(SUM(U132:V132)),ABS(SUM(W132:Y132)),ABS(SUM(Z132:AB132)),ABS(SUM(AC132:AE132)))=ABS(SUM(N132:P132)),"流动性",IF(MAX(ABS(SUM(L132:M132)),ABS(SUM(N132:P132)),ABS(Q132),ABS(SUM(R132:T132)),ABS(SUM(U132:V132)),ABS(SUM(W132:Y132)),ABS(SUM(Z132:AB132)),ABS(SUM(AC132:AE132)))=ABS(Q132),"价格行为",IF(MAX(ABS(SUM(L132:M132)),ABS(SUM(N132:P132)),ABS(Q132),ABS(SUM(R132:T132)),ABS(SUM(U132:V132)),ABS(SUM(W132:Y132)),ABS(SUM(Z132:AB132)),ABS(SUM(AC132:AE132)))=ABS(SUM(R132:T132)),"杠杆/清算",IF(MAX(ABS(SUM(L132:M132)),ABS(SUM(N132:P132)),ABS(Q132),ABS(SUM(R132:T132)),ABS(SUM(U132:V132)),ABS(SUM(W132:Y132)),ABS(SUM(Z132:AB132)),ABS(SUM(AC132:AE132)))=ABS(SUM(U132:V132)),"衍生品",IF(MAX(ABS(SUM(L132:M132)),ABS(SUM(N132:P132)),ABS(Q132),ABS(SUM(R132:T132)),ABS(SUM(U132:V132)),ABS(SUM(W132:Y132)),ABS(SUM(Z132:AB132)),ABS(SUM(AC132:AE132)))=ABS(SUM(W132:Y132)),"跨市场",IF(MAX(ABS(SUM(L132:M132)),ABS(SUM(N132:P132)),ABS(Q132),ABS(SUM(R132:T132)),ABS(SUM(U132:V132)),ABS(SUM(W132:Y132)),ABS(SUM(Z132:AB132)),ABS(SUM(AC132:AE132)))=ABS(SUM(Z132:AB132)),"宏观代理","事件"))))))))</x:f>
      </x:c>
      <x:c r="L132" s="198"/>
      <x:c r="M132" s="198"/>
      <x:c r="N132" s="198"/>
      <x:c r="O132" s="198"/>
      <x:c r="P132" s="198"/>
      <x:c r="Q132" s="198"/>
      <x:c r="R132" s="198"/>
      <x:c r="S132" s="198"/>
      <x:c r="T132" s="198"/>
      <x:c r="U132" s="198"/>
      <x:c r="V132" s="198"/>
      <x:c r="W132" s="198"/>
      <x:c r="X132" s="198"/>
      <x:c r="Y132" s="198"/>
      <x:c r="Z132" s="198"/>
      <x:c r="AA132" s="198"/>
      <x:c r="AB132" s="198"/>
      <x:c r="AC132" s="198"/>
      <x:c r="AD132" s="198"/>
      <x:c r="AE132" s="198"/>
      <x:c r="AF132" s="215"/>
    </x:row>
    <x:row r="133">
      <x:c r="A133" s="238"/>
      <x:c r="B133" s="215" t="str">
        <x:v>正常</x:v>
      </x:c>
      <x:c r="C133" s="199"/>
      <x:c r="D133" s="223" t="str">
        <x:f>IF(COUNTA(L133:AE133)=0,"",SUMPRODUCT(L133:AE133,'参数'!$C$6:$C$25,'参数'!$D$6:$D$25,INDEX('参数'!$E$6:$J$25,0,MATCH(B133,'参数'!$E$5:$J$5,0)),'参数'!$K$6:$K$25)/SUMPRODUCT('参数'!$C$6:$C$25,'参数'!$D$6:$D$25,INDEX('参数'!$E$6:$J$25,0,MATCH(B133,'参数'!$E$5:$J$5,0)),'参数'!$K$6:$K$25))</x:f>
      </x:c>
      <x:c r="E133" s="223" t="str">
        <x:f>IF(D133="","",SUMPRODUCT(ABS(L133:AE133),'参数'!$C$6:$C$25,'参数'!$D$6:$D$25,INDEX('参数'!$E$6:$J$25,0,MATCH(B133,'参数'!$E$5:$J$5,0)))/SUMPRODUCT('参数'!$C$6:$C$25,'参数'!$D$6:$D$25,INDEX('参数'!$E$6:$J$25,0,MATCH(B133,'参数'!$E$5:$J$5,0))))</x:f>
      </x:c>
      <x:c r="F133" s="194" t="str">
        <x:f>IF(D133="","",IF(D133&gt;='参数'!$B$30,1,IF(D133&lt;=-'参数'!$B$30,-1,0)))</x:f>
      </x:c>
      <x:c r="G133" s="194" t="str">
        <x:f>IF(C133="","",IF(C133&gt;='参数'!$B$37,1,IF(C133&lt;=-'参数'!$B$37,-1,0)))</x:f>
      </x:c>
      <x:c r="H133" s="194" t="str">
        <x:f>IF(OR(F133="",G133=""),"",--(F133=G133))</x:f>
      </x:c>
      <x:c r="I133" s="214" t="str">
        <x:f>IF(D133="","",D133*'参数'!$B$34)</x:f>
      </x:c>
      <x:c r="J133" s="214" t="str">
        <x:f>IF(OR(C133="",I133=""),"",ABS(C133-I133))</x:f>
      </x:c>
      <x:c r="K133" s="194" t="str">
        <x:f>IF(D133="","",IF(MAX(ABS(SUM(L133:M133)),ABS(SUM(N133:P133)),ABS(Q133),ABS(SUM(R133:T133)),ABS(SUM(U133:V133)),ABS(SUM(W133:Y133)),ABS(SUM(Z133:AB133)),ABS(SUM(AC133:AE133)))=ABS(SUM(L133:M133)),"订单流",IF(MAX(ABS(SUM(L133:M133)),ABS(SUM(N133:P133)),ABS(Q133),ABS(SUM(R133:T133)),ABS(SUM(U133:V133)),ABS(SUM(W133:Y133)),ABS(SUM(Z133:AB133)),ABS(SUM(AC133:AE133)))=ABS(SUM(N133:P133)),"流动性",IF(MAX(ABS(SUM(L133:M133)),ABS(SUM(N133:P133)),ABS(Q133),ABS(SUM(R133:T133)),ABS(SUM(U133:V133)),ABS(SUM(W133:Y133)),ABS(SUM(Z133:AB133)),ABS(SUM(AC133:AE133)))=ABS(Q133),"价格行为",IF(MAX(ABS(SUM(L133:M133)),ABS(SUM(N133:P133)),ABS(Q133),ABS(SUM(R133:T133)),ABS(SUM(U133:V133)),ABS(SUM(W133:Y133)),ABS(SUM(Z133:AB133)),ABS(SUM(AC133:AE133)))=ABS(SUM(R133:T133)),"杠杆/清算",IF(MAX(ABS(SUM(L133:M133)),ABS(SUM(N133:P133)),ABS(Q133),ABS(SUM(R133:T133)),ABS(SUM(U133:V133)),ABS(SUM(W133:Y133)),ABS(SUM(Z133:AB133)),ABS(SUM(AC133:AE133)))=ABS(SUM(U133:V133)),"衍生品",IF(MAX(ABS(SUM(L133:M133)),ABS(SUM(N133:P133)),ABS(Q133),ABS(SUM(R133:T133)),ABS(SUM(U133:V133)),ABS(SUM(W133:Y133)),ABS(SUM(Z133:AB133)),ABS(SUM(AC133:AE133)))=ABS(SUM(W133:Y133)),"跨市场",IF(MAX(ABS(SUM(L133:M133)),ABS(SUM(N133:P133)),ABS(Q133),ABS(SUM(R133:T133)),ABS(SUM(U133:V133)),ABS(SUM(W133:Y133)),ABS(SUM(Z133:AB133)),ABS(SUM(AC133:AE133)))=ABS(SUM(Z133:AB133)),"宏观代理","事件"))))))))</x:f>
      </x:c>
      <x:c r="L133" s="198"/>
      <x:c r="M133" s="198"/>
      <x:c r="N133" s="198"/>
      <x:c r="O133" s="198"/>
      <x:c r="P133" s="198"/>
      <x:c r="Q133" s="198"/>
      <x:c r="R133" s="198"/>
      <x:c r="S133" s="198"/>
      <x:c r="T133" s="198"/>
      <x:c r="U133" s="198"/>
      <x:c r="V133" s="198"/>
      <x:c r="W133" s="198"/>
      <x:c r="X133" s="198"/>
      <x:c r="Y133" s="198"/>
      <x:c r="Z133" s="198"/>
      <x:c r="AA133" s="198"/>
      <x:c r="AB133" s="198"/>
      <x:c r="AC133" s="198"/>
      <x:c r="AD133" s="198"/>
      <x:c r="AE133" s="198"/>
      <x:c r="AF133" s="215"/>
    </x:row>
    <x:row r="134">
      <x:c r="A134" s="238"/>
      <x:c r="B134" s="215" t="str">
        <x:v>正常</x:v>
      </x:c>
      <x:c r="C134" s="199"/>
      <x:c r="D134" s="223" t="str">
        <x:f>IF(COUNTA(L134:AE134)=0,"",SUMPRODUCT(L134:AE134,'参数'!$C$6:$C$25,'参数'!$D$6:$D$25,INDEX('参数'!$E$6:$J$25,0,MATCH(B134,'参数'!$E$5:$J$5,0)),'参数'!$K$6:$K$25)/SUMPRODUCT('参数'!$C$6:$C$25,'参数'!$D$6:$D$25,INDEX('参数'!$E$6:$J$25,0,MATCH(B134,'参数'!$E$5:$J$5,0)),'参数'!$K$6:$K$25))</x:f>
      </x:c>
      <x:c r="E134" s="223" t="str">
        <x:f>IF(D134="","",SUMPRODUCT(ABS(L134:AE134),'参数'!$C$6:$C$25,'参数'!$D$6:$D$25,INDEX('参数'!$E$6:$J$25,0,MATCH(B134,'参数'!$E$5:$J$5,0)))/SUMPRODUCT('参数'!$C$6:$C$25,'参数'!$D$6:$D$25,INDEX('参数'!$E$6:$J$25,0,MATCH(B134,'参数'!$E$5:$J$5,0))))</x:f>
      </x:c>
      <x:c r="F134" s="194" t="str">
        <x:f>IF(D134="","",IF(D134&gt;='参数'!$B$30,1,IF(D134&lt;=-'参数'!$B$30,-1,0)))</x:f>
      </x:c>
      <x:c r="G134" s="194" t="str">
        <x:f>IF(C134="","",IF(C134&gt;='参数'!$B$37,1,IF(C134&lt;=-'参数'!$B$37,-1,0)))</x:f>
      </x:c>
      <x:c r="H134" s="194" t="str">
        <x:f>IF(OR(F134="",G134=""),"",--(F134=G134))</x:f>
      </x:c>
      <x:c r="I134" s="214" t="str">
        <x:f>IF(D134="","",D134*'参数'!$B$34)</x:f>
      </x:c>
      <x:c r="J134" s="214" t="str">
        <x:f>IF(OR(C134="",I134=""),"",ABS(C134-I134))</x:f>
      </x:c>
      <x:c r="K134" s="194" t="str">
        <x:f>IF(D134="","",IF(MAX(ABS(SUM(L134:M134)),ABS(SUM(N134:P134)),ABS(Q134),ABS(SUM(R134:T134)),ABS(SUM(U134:V134)),ABS(SUM(W134:Y134)),ABS(SUM(Z134:AB134)),ABS(SUM(AC134:AE134)))=ABS(SUM(L134:M134)),"订单流",IF(MAX(ABS(SUM(L134:M134)),ABS(SUM(N134:P134)),ABS(Q134),ABS(SUM(R134:T134)),ABS(SUM(U134:V134)),ABS(SUM(W134:Y134)),ABS(SUM(Z134:AB134)),ABS(SUM(AC134:AE134)))=ABS(SUM(N134:P134)),"流动性",IF(MAX(ABS(SUM(L134:M134)),ABS(SUM(N134:P134)),ABS(Q134),ABS(SUM(R134:T134)),ABS(SUM(U134:V134)),ABS(SUM(W134:Y134)),ABS(SUM(Z134:AB134)),ABS(SUM(AC134:AE134)))=ABS(Q134),"价格行为",IF(MAX(ABS(SUM(L134:M134)),ABS(SUM(N134:P134)),ABS(Q134),ABS(SUM(R134:T134)),ABS(SUM(U134:V134)),ABS(SUM(W134:Y134)),ABS(SUM(Z134:AB134)),ABS(SUM(AC134:AE134)))=ABS(SUM(R134:T134)),"杠杆/清算",IF(MAX(ABS(SUM(L134:M134)),ABS(SUM(N134:P134)),ABS(Q134),ABS(SUM(R134:T134)),ABS(SUM(U134:V134)),ABS(SUM(W134:Y134)),ABS(SUM(Z134:AB134)),ABS(SUM(AC134:AE134)))=ABS(SUM(U134:V134)),"衍生品",IF(MAX(ABS(SUM(L134:M134)),ABS(SUM(N134:P134)),ABS(Q134),ABS(SUM(R134:T134)),ABS(SUM(U134:V134)),ABS(SUM(W134:Y134)),ABS(SUM(Z134:AB134)),ABS(SUM(AC134:AE134)))=ABS(SUM(W134:Y134)),"跨市场",IF(MAX(ABS(SUM(L134:M134)),ABS(SUM(N134:P134)),ABS(Q134),ABS(SUM(R134:T134)),ABS(SUM(U134:V134)),ABS(SUM(W134:Y134)),ABS(SUM(Z134:AB134)),ABS(SUM(AC134:AE134)))=ABS(SUM(Z134:AB134)),"宏观代理","事件"))))))))</x:f>
      </x:c>
      <x:c r="L134" s="198"/>
      <x:c r="M134" s="198"/>
      <x:c r="N134" s="198"/>
      <x:c r="O134" s="198"/>
      <x:c r="P134" s="198"/>
      <x:c r="Q134" s="198"/>
      <x:c r="R134" s="198"/>
      <x:c r="S134" s="198"/>
      <x:c r="T134" s="198"/>
      <x:c r="U134" s="198"/>
      <x:c r="V134" s="198"/>
      <x:c r="W134" s="198"/>
      <x:c r="X134" s="198"/>
      <x:c r="Y134" s="198"/>
      <x:c r="Z134" s="198"/>
      <x:c r="AA134" s="198"/>
      <x:c r="AB134" s="198"/>
      <x:c r="AC134" s="198"/>
      <x:c r="AD134" s="198"/>
      <x:c r="AE134" s="198"/>
      <x:c r="AF134" s="215"/>
    </x:row>
    <x:row r="135">
      <x:c r="A135" s="238"/>
      <x:c r="B135" s="215" t="str">
        <x:v>正常</x:v>
      </x:c>
      <x:c r="C135" s="199"/>
      <x:c r="D135" s="223" t="str">
        <x:f>IF(COUNTA(L135:AE135)=0,"",SUMPRODUCT(L135:AE135,'参数'!$C$6:$C$25,'参数'!$D$6:$D$25,INDEX('参数'!$E$6:$J$25,0,MATCH(B135,'参数'!$E$5:$J$5,0)),'参数'!$K$6:$K$25)/SUMPRODUCT('参数'!$C$6:$C$25,'参数'!$D$6:$D$25,INDEX('参数'!$E$6:$J$25,0,MATCH(B135,'参数'!$E$5:$J$5,0)),'参数'!$K$6:$K$25))</x:f>
      </x:c>
      <x:c r="E135" s="223" t="str">
        <x:f>IF(D135="","",SUMPRODUCT(ABS(L135:AE135),'参数'!$C$6:$C$25,'参数'!$D$6:$D$25,INDEX('参数'!$E$6:$J$25,0,MATCH(B135,'参数'!$E$5:$J$5,0)))/SUMPRODUCT('参数'!$C$6:$C$25,'参数'!$D$6:$D$25,INDEX('参数'!$E$6:$J$25,0,MATCH(B135,'参数'!$E$5:$J$5,0))))</x:f>
      </x:c>
      <x:c r="F135" s="194" t="str">
        <x:f>IF(D135="","",IF(D135&gt;='参数'!$B$30,1,IF(D135&lt;=-'参数'!$B$30,-1,0)))</x:f>
      </x:c>
      <x:c r="G135" s="194" t="str">
        <x:f>IF(C135="","",IF(C135&gt;='参数'!$B$37,1,IF(C135&lt;=-'参数'!$B$37,-1,0)))</x:f>
      </x:c>
      <x:c r="H135" s="194" t="str">
        <x:f>IF(OR(F135="",G135=""),"",--(F135=G135))</x:f>
      </x:c>
      <x:c r="I135" s="214" t="str">
        <x:f>IF(D135="","",D135*'参数'!$B$34)</x:f>
      </x:c>
      <x:c r="J135" s="214" t="str">
        <x:f>IF(OR(C135="",I135=""),"",ABS(C135-I135))</x:f>
      </x:c>
      <x:c r="K135" s="194" t="str">
        <x:f>IF(D135="","",IF(MAX(ABS(SUM(L135:M135)),ABS(SUM(N135:P135)),ABS(Q135),ABS(SUM(R135:T135)),ABS(SUM(U135:V135)),ABS(SUM(W135:Y135)),ABS(SUM(Z135:AB135)),ABS(SUM(AC135:AE135)))=ABS(SUM(L135:M135)),"订单流",IF(MAX(ABS(SUM(L135:M135)),ABS(SUM(N135:P135)),ABS(Q135),ABS(SUM(R135:T135)),ABS(SUM(U135:V135)),ABS(SUM(W135:Y135)),ABS(SUM(Z135:AB135)),ABS(SUM(AC135:AE135)))=ABS(SUM(N135:P135)),"流动性",IF(MAX(ABS(SUM(L135:M135)),ABS(SUM(N135:P135)),ABS(Q135),ABS(SUM(R135:T135)),ABS(SUM(U135:V135)),ABS(SUM(W135:Y135)),ABS(SUM(Z135:AB135)),ABS(SUM(AC135:AE135)))=ABS(Q135),"价格行为",IF(MAX(ABS(SUM(L135:M135)),ABS(SUM(N135:P135)),ABS(Q135),ABS(SUM(R135:T135)),ABS(SUM(U135:V135)),ABS(SUM(W135:Y135)),ABS(SUM(Z135:AB135)),ABS(SUM(AC135:AE135)))=ABS(SUM(R135:T135)),"杠杆/清算",IF(MAX(ABS(SUM(L135:M135)),ABS(SUM(N135:P135)),ABS(Q135),ABS(SUM(R135:T135)),ABS(SUM(U135:V135)),ABS(SUM(W135:Y135)),ABS(SUM(Z135:AB135)),ABS(SUM(AC135:AE135)))=ABS(SUM(U135:V135)),"衍生品",IF(MAX(ABS(SUM(L135:M135)),ABS(SUM(N135:P135)),ABS(Q135),ABS(SUM(R135:T135)),ABS(SUM(U135:V135)),ABS(SUM(W135:Y135)),ABS(SUM(Z135:AB135)),ABS(SUM(AC135:AE135)))=ABS(SUM(W135:Y135)),"跨市场",IF(MAX(ABS(SUM(L135:M135)),ABS(SUM(N135:P135)),ABS(Q135),ABS(SUM(R135:T135)),ABS(SUM(U135:V135)),ABS(SUM(W135:Y135)),ABS(SUM(Z135:AB135)),ABS(SUM(AC135:AE135)))=ABS(SUM(Z135:AB135)),"宏观代理","事件"))))))))</x:f>
      </x:c>
      <x:c r="L135" s="198"/>
      <x:c r="M135" s="198"/>
      <x:c r="N135" s="198"/>
      <x:c r="O135" s="198"/>
      <x:c r="P135" s="198"/>
      <x:c r="Q135" s="198"/>
      <x:c r="R135" s="198"/>
      <x:c r="S135" s="198"/>
      <x:c r="T135" s="198"/>
      <x:c r="U135" s="198"/>
      <x:c r="V135" s="198"/>
      <x:c r="W135" s="198"/>
      <x:c r="X135" s="198"/>
      <x:c r="Y135" s="198"/>
      <x:c r="Z135" s="198"/>
      <x:c r="AA135" s="198"/>
      <x:c r="AB135" s="198"/>
      <x:c r="AC135" s="198"/>
      <x:c r="AD135" s="198"/>
      <x:c r="AE135" s="198"/>
      <x:c r="AF135" s="215"/>
    </x:row>
    <x:row r="136">
      <x:c r="A136" s="238"/>
      <x:c r="B136" s="215" t="str">
        <x:v>正常</x:v>
      </x:c>
      <x:c r="C136" s="199"/>
      <x:c r="D136" s="223" t="str">
        <x:f>IF(COUNTA(L136:AE136)=0,"",SUMPRODUCT(L136:AE136,'参数'!$C$6:$C$25,'参数'!$D$6:$D$25,INDEX('参数'!$E$6:$J$25,0,MATCH(B136,'参数'!$E$5:$J$5,0)),'参数'!$K$6:$K$25)/SUMPRODUCT('参数'!$C$6:$C$25,'参数'!$D$6:$D$25,INDEX('参数'!$E$6:$J$25,0,MATCH(B136,'参数'!$E$5:$J$5,0)),'参数'!$K$6:$K$25))</x:f>
      </x:c>
      <x:c r="E136" s="223" t="str">
        <x:f>IF(D136="","",SUMPRODUCT(ABS(L136:AE136),'参数'!$C$6:$C$25,'参数'!$D$6:$D$25,INDEX('参数'!$E$6:$J$25,0,MATCH(B136,'参数'!$E$5:$J$5,0)))/SUMPRODUCT('参数'!$C$6:$C$25,'参数'!$D$6:$D$25,INDEX('参数'!$E$6:$J$25,0,MATCH(B136,'参数'!$E$5:$J$5,0))))</x:f>
      </x:c>
      <x:c r="F136" s="194" t="str">
        <x:f>IF(D136="","",IF(D136&gt;='参数'!$B$30,1,IF(D136&lt;=-'参数'!$B$30,-1,0)))</x:f>
      </x:c>
      <x:c r="G136" s="194" t="str">
        <x:f>IF(C136="","",IF(C136&gt;='参数'!$B$37,1,IF(C136&lt;=-'参数'!$B$37,-1,0)))</x:f>
      </x:c>
      <x:c r="H136" s="194" t="str">
        <x:f>IF(OR(F136="",G136=""),"",--(F136=G136))</x:f>
      </x:c>
      <x:c r="I136" s="214" t="str">
        <x:f>IF(D136="","",D136*'参数'!$B$34)</x:f>
      </x:c>
      <x:c r="J136" s="214" t="str">
        <x:f>IF(OR(C136="",I136=""),"",ABS(C136-I136))</x:f>
      </x:c>
      <x:c r="K136" s="194" t="str">
        <x:f>IF(D136="","",IF(MAX(ABS(SUM(L136:M136)),ABS(SUM(N136:P136)),ABS(Q136),ABS(SUM(R136:T136)),ABS(SUM(U136:V136)),ABS(SUM(W136:Y136)),ABS(SUM(Z136:AB136)),ABS(SUM(AC136:AE136)))=ABS(SUM(L136:M136)),"订单流",IF(MAX(ABS(SUM(L136:M136)),ABS(SUM(N136:P136)),ABS(Q136),ABS(SUM(R136:T136)),ABS(SUM(U136:V136)),ABS(SUM(W136:Y136)),ABS(SUM(Z136:AB136)),ABS(SUM(AC136:AE136)))=ABS(SUM(N136:P136)),"流动性",IF(MAX(ABS(SUM(L136:M136)),ABS(SUM(N136:P136)),ABS(Q136),ABS(SUM(R136:T136)),ABS(SUM(U136:V136)),ABS(SUM(W136:Y136)),ABS(SUM(Z136:AB136)),ABS(SUM(AC136:AE136)))=ABS(Q136),"价格行为",IF(MAX(ABS(SUM(L136:M136)),ABS(SUM(N136:P136)),ABS(Q136),ABS(SUM(R136:T136)),ABS(SUM(U136:V136)),ABS(SUM(W136:Y136)),ABS(SUM(Z136:AB136)),ABS(SUM(AC136:AE136)))=ABS(SUM(R136:T136)),"杠杆/清算",IF(MAX(ABS(SUM(L136:M136)),ABS(SUM(N136:P136)),ABS(Q136),ABS(SUM(R136:T136)),ABS(SUM(U136:V136)),ABS(SUM(W136:Y136)),ABS(SUM(Z136:AB136)),ABS(SUM(AC136:AE136)))=ABS(SUM(U136:V136)),"衍生品",IF(MAX(ABS(SUM(L136:M136)),ABS(SUM(N136:P136)),ABS(Q136),ABS(SUM(R136:T136)),ABS(SUM(U136:V136)),ABS(SUM(W136:Y136)),ABS(SUM(Z136:AB136)),ABS(SUM(AC136:AE136)))=ABS(SUM(W136:Y136)),"跨市场",IF(MAX(ABS(SUM(L136:M136)),ABS(SUM(N136:P136)),ABS(Q136),ABS(SUM(R136:T136)),ABS(SUM(U136:V136)),ABS(SUM(W136:Y136)),ABS(SUM(Z136:AB136)),ABS(SUM(AC136:AE136)))=ABS(SUM(Z136:AB136)),"宏观代理","事件"))))))))</x:f>
      </x:c>
      <x:c r="L136" s="198"/>
      <x:c r="M136" s="198"/>
      <x:c r="N136" s="198"/>
      <x:c r="O136" s="198"/>
      <x:c r="P136" s="198"/>
      <x:c r="Q136" s="198"/>
      <x:c r="R136" s="198"/>
      <x:c r="S136" s="198"/>
      <x:c r="T136" s="198"/>
      <x:c r="U136" s="198"/>
      <x:c r="V136" s="198"/>
      <x:c r="W136" s="198"/>
      <x:c r="X136" s="198"/>
      <x:c r="Y136" s="198"/>
      <x:c r="Z136" s="198"/>
      <x:c r="AA136" s="198"/>
      <x:c r="AB136" s="198"/>
      <x:c r="AC136" s="198"/>
      <x:c r="AD136" s="198"/>
      <x:c r="AE136" s="198"/>
      <x:c r="AF136" s="215"/>
    </x:row>
    <x:row r="137">
      <x:c r="A137" s="238"/>
      <x:c r="B137" s="215" t="str">
        <x:v>正常</x:v>
      </x:c>
      <x:c r="C137" s="199"/>
      <x:c r="D137" s="223" t="str">
        <x:f>IF(COUNTA(L137:AE137)=0,"",SUMPRODUCT(L137:AE137,'参数'!$C$6:$C$25,'参数'!$D$6:$D$25,INDEX('参数'!$E$6:$J$25,0,MATCH(B137,'参数'!$E$5:$J$5,0)),'参数'!$K$6:$K$25)/SUMPRODUCT('参数'!$C$6:$C$25,'参数'!$D$6:$D$25,INDEX('参数'!$E$6:$J$25,0,MATCH(B137,'参数'!$E$5:$J$5,0)),'参数'!$K$6:$K$25))</x:f>
      </x:c>
      <x:c r="E137" s="223" t="str">
        <x:f>IF(D137="","",SUMPRODUCT(ABS(L137:AE137),'参数'!$C$6:$C$25,'参数'!$D$6:$D$25,INDEX('参数'!$E$6:$J$25,0,MATCH(B137,'参数'!$E$5:$J$5,0)))/SUMPRODUCT('参数'!$C$6:$C$25,'参数'!$D$6:$D$25,INDEX('参数'!$E$6:$J$25,0,MATCH(B137,'参数'!$E$5:$J$5,0))))</x:f>
      </x:c>
      <x:c r="F137" s="194" t="str">
        <x:f>IF(D137="","",IF(D137&gt;='参数'!$B$30,1,IF(D137&lt;=-'参数'!$B$30,-1,0)))</x:f>
      </x:c>
      <x:c r="G137" s="194" t="str">
        <x:f>IF(C137="","",IF(C137&gt;='参数'!$B$37,1,IF(C137&lt;=-'参数'!$B$37,-1,0)))</x:f>
      </x:c>
      <x:c r="H137" s="194" t="str">
        <x:f>IF(OR(F137="",G137=""),"",--(F137=G137))</x:f>
      </x:c>
      <x:c r="I137" s="214" t="str">
        <x:f>IF(D137="","",D137*'参数'!$B$34)</x:f>
      </x:c>
      <x:c r="J137" s="214" t="str">
        <x:f>IF(OR(C137="",I137=""),"",ABS(C137-I137))</x:f>
      </x:c>
      <x:c r="K137" s="194" t="str">
        <x:f>IF(D137="","",IF(MAX(ABS(SUM(L137:M137)),ABS(SUM(N137:P137)),ABS(Q137),ABS(SUM(R137:T137)),ABS(SUM(U137:V137)),ABS(SUM(W137:Y137)),ABS(SUM(Z137:AB137)),ABS(SUM(AC137:AE137)))=ABS(SUM(L137:M137)),"订单流",IF(MAX(ABS(SUM(L137:M137)),ABS(SUM(N137:P137)),ABS(Q137),ABS(SUM(R137:T137)),ABS(SUM(U137:V137)),ABS(SUM(W137:Y137)),ABS(SUM(Z137:AB137)),ABS(SUM(AC137:AE137)))=ABS(SUM(N137:P137)),"流动性",IF(MAX(ABS(SUM(L137:M137)),ABS(SUM(N137:P137)),ABS(Q137),ABS(SUM(R137:T137)),ABS(SUM(U137:V137)),ABS(SUM(W137:Y137)),ABS(SUM(Z137:AB137)),ABS(SUM(AC137:AE137)))=ABS(Q137),"价格行为",IF(MAX(ABS(SUM(L137:M137)),ABS(SUM(N137:P137)),ABS(Q137),ABS(SUM(R137:T137)),ABS(SUM(U137:V137)),ABS(SUM(W137:Y137)),ABS(SUM(Z137:AB137)),ABS(SUM(AC137:AE137)))=ABS(SUM(R137:T137)),"杠杆/清算",IF(MAX(ABS(SUM(L137:M137)),ABS(SUM(N137:P137)),ABS(Q137),ABS(SUM(R137:T137)),ABS(SUM(U137:V137)),ABS(SUM(W137:Y137)),ABS(SUM(Z137:AB137)),ABS(SUM(AC137:AE137)))=ABS(SUM(U137:V137)),"衍生品",IF(MAX(ABS(SUM(L137:M137)),ABS(SUM(N137:P137)),ABS(Q137),ABS(SUM(R137:T137)),ABS(SUM(U137:V137)),ABS(SUM(W137:Y137)),ABS(SUM(Z137:AB137)),ABS(SUM(AC137:AE137)))=ABS(SUM(W137:Y137)),"跨市场",IF(MAX(ABS(SUM(L137:M137)),ABS(SUM(N137:P137)),ABS(Q137),ABS(SUM(R137:T137)),ABS(SUM(U137:V137)),ABS(SUM(W137:Y137)),ABS(SUM(Z137:AB137)),ABS(SUM(AC137:AE137)))=ABS(SUM(Z137:AB137)),"宏观代理","事件"))))))))</x:f>
      </x:c>
      <x:c r="L137" s="198"/>
      <x:c r="M137" s="198"/>
      <x:c r="N137" s="198"/>
      <x:c r="O137" s="198"/>
      <x:c r="P137" s="198"/>
      <x:c r="Q137" s="198"/>
      <x:c r="R137" s="198"/>
      <x:c r="S137" s="198"/>
      <x:c r="T137" s="198"/>
      <x:c r="U137" s="198"/>
      <x:c r="V137" s="198"/>
      <x:c r="W137" s="198"/>
      <x:c r="X137" s="198"/>
      <x:c r="Y137" s="198"/>
      <x:c r="Z137" s="198"/>
      <x:c r="AA137" s="198"/>
      <x:c r="AB137" s="198"/>
      <x:c r="AC137" s="198"/>
      <x:c r="AD137" s="198"/>
      <x:c r="AE137" s="198"/>
      <x:c r="AF137" s="215"/>
    </x:row>
    <x:row r="138">
      <x:c r="A138" s="238"/>
      <x:c r="B138" s="215" t="str">
        <x:v>正常</x:v>
      </x:c>
      <x:c r="C138" s="199"/>
      <x:c r="D138" s="223" t="str">
        <x:f>IF(COUNTA(L138:AE138)=0,"",SUMPRODUCT(L138:AE138,'参数'!$C$6:$C$25,'参数'!$D$6:$D$25,INDEX('参数'!$E$6:$J$25,0,MATCH(B138,'参数'!$E$5:$J$5,0)),'参数'!$K$6:$K$25)/SUMPRODUCT('参数'!$C$6:$C$25,'参数'!$D$6:$D$25,INDEX('参数'!$E$6:$J$25,0,MATCH(B138,'参数'!$E$5:$J$5,0)),'参数'!$K$6:$K$25))</x:f>
      </x:c>
      <x:c r="E138" s="223" t="str">
        <x:f>IF(D138="","",SUMPRODUCT(ABS(L138:AE138),'参数'!$C$6:$C$25,'参数'!$D$6:$D$25,INDEX('参数'!$E$6:$J$25,0,MATCH(B138,'参数'!$E$5:$J$5,0)))/SUMPRODUCT('参数'!$C$6:$C$25,'参数'!$D$6:$D$25,INDEX('参数'!$E$6:$J$25,0,MATCH(B138,'参数'!$E$5:$J$5,0))))</x:f>
      </x:c>
      <x:c r="F138" s="194" t="str">
        <x:f>IF(D138="","",IF(D138&gt;='参数'!$B$30,1,IF(D138&lt;=-'参数'!$B$30,-1,0)))</x:f>
      </x:c>
      <x:c r="G138" s="194" t="str">
        <x:f>IF(C138="","",IF(C138&gt;='参数'!$B$37,1,IF(C138&lt;=-'参数'!$B$37,-1,0)))</x:f>
      </x:c>
      <x:c r="H138" s="194" t="str">
        <x:f>IF(OR(F138="",G138=""),"",--(F138=G138))</x:f>
      </x:c>
      <x:c r="I138" s="214" t="str">
        <x:f>IF(D138="","",D138*'参数'!$B$34)</x:f>
      </x:c>
      <x:c r="J138" s="214" t="str">
        <x:f>IF(OR(C138="",I138=""),"",ABS(C138-I138))</x:f>
      </x:c>
      <x:c r="K138" s="194" t="str">
        <x:f>IF(D138="","",IF(MAX(ABS(SUM(L138:M138)),ABS(SUM(N138:P138)),ABS(Q138),ABS(SUM(R138:T138)),ABS(SUM(U138:V138)),ABS(SUM(W138:Y138)),ABS(SUM(Z138:AB138)),ABS(SUM(AC138:AE138)))=ABS(SUM(L138:M138)),"订单流",IF(MAX(ABS(SUM(L138:M138)),ABS(SUM(N138:P138)),ABS(Q138),ABS(SUM(R138:T138)),ABS(SUM(U138:V138)),ABS(SUM(W138:Y138)),ABS(SUM(Z138:AB138)),ABS(SUM(AC138:AE138)))=ABS(SUM(N138:P138)),"流动性",IF(MAX(ABS(SUM(L138:M138)),ABS(SUM(N138:P138)),ABS(Q138),ABS(SUM(R138:T138)),ABS(SUM(U138:V138)),ABS(SUM(W138:Y138)),ABS(SUM(Z138:AB138)),ABS(SUM(AC138:AE138)))=ABS(Q138),"价格行为",IF(MAX(ABS(SUM(L138:M138)),ABS(SUM(N138:P138)),ABS(Q138),ABS(SUM(R138:T138)),ABS(SUM(U138:V138)),ABS(SUM(W138:Y138)),ABS(SUM(Z138:AB138)),ABS(SUM(AC138:AE138)))=ABS(SUM(R138:T138)),"杠杆/清算",IF(MAX(ABS(SUM(L138:M138)),ABS(SUM(N138:P138)),ABS(Q138),ABS(SUM(R138:T138)),ABS(SUM(U138:V138)),ABS(SUM(W138:Y138)),ABS(SUM(Z138:AB138)),ABS(SUM(AC138:AE138)))=ABS(SUM(U138:V138)),"衍生品",IF(MAX(ABS(SUM(L138:M138)),ABS(SUM(N138:P138)),ABS(Q138),ABS(SUM(R138:T138)),ABS(SUM(U138:V138)),ABS(SUM(W138:Y138)),ABS(SUM(Z138:AB138)),ABS(SUM(AC138:AE138)))=ABS(SUM(W138:Y138)),"跨市场",IF(MAX(ABS(SUM(L138:M138)),ABS(SUM(N138:P138)),ABS(Q138),ABS(SUM(R138:T138)),ABS(SUM(U138:V138)),ABS(SUM(W138:Y138)),ABS(SUM(Z138:AB138)),ABS(SUM(AC138:AE138)))=ABS(SUM(Z138:AB138)),"宏观代理","事件"))))))))</x:f>
      </x:c>
      <x:c r="L138" s="198"/>
      <x:c r="M138" s="198"/>
      <x:c r="N138" s="198"/>
      <x:c r="O138" s="198"/>
      <x:c r="P138" s="198"/>
      <x:c r="Q138" s="198"/>
      <x:c r="R138" s="198"/>
      <x:c r="S138" s="198"/>
      <x:c r="T138" s="198"/>
      <x:c r="U138" s="198"/>
      <x:c r="V138" s="198"/>
      <x:c r="W138" s="198"/>
      <x:c r="X138" s="198"/>
      <x:c r="Y138" s="198"/>
      <x:c r="Z138" s="198"/>
      <x:c r="AA138" s="198"/>
      <x:c r="AB138" s="198"/>
      <x:c r="AC138" s="198"/>
      <x:c r="AD138" s="198"/>
      <x:c r="AE138" s="198"/>
      <x:c r="AF138" s="215"/>
    </x:row>
    <x:row r="139">
      <x:c r="A139" s="238"/>
      <x:c r="B139" s="215" t="str">
        <x:v>正常</x:v>
      </x:c>
      <x:c r="C139" s="199"/>
      <x:c r="D139" s="223" t="str">
        <x:f>IF(COUNTA(L139:AE139)=0,"",SUMPRODUCT(L139:AE139,'参数'!$C$6:$C$25,'参数'!$D$6:$D$25,INDEX('参数'!$E$6:$J$25,0,MATCH(B139,'参数'!$E$5:$J$5,0)),'参数'!$K$6:$K$25)/SUMPRODUCT('参数'!$C$6:$C$25,'参数'!$D$6:$D$25,INDEX('参数'!$E$6:$J$25,0,MATCH(B139,'参数'!$E$5:$J$5,0)),'参数'!$K$6:$K$25))</x:f>
      </x:c>
      <x:c r="E139" s="223" t="str">
        <x:f>IF(D139="","",SUMPRODUCT(ABS(L139:AE139),'参数'!$C$6:$C$25,'参数'!$D$6:$D$25,INDEX('参数'!$E$6:$J$25,0,MATCH(B139,'参数'!$E$5:$J$5,0)))/SUMPRODUCT('参数'!$C$6:$C$25,'参数'!$D$6:$D$25,INDEX('参数'!$E$6:$J$25,0,MATCH(B139,'参数'!$E$5:$J$5,0))))</x:f>
      </x:c>
      <x:c r="F139" s="194" t="str">
        <x:f>IF(D139="","",IF(D139&gt;='参数'!$B$30,1,IF(D139&lt;=-'参数'!$B$30,-1,0)))</x:f>
      </x:c>
      <x:c r="G139" s="194" t="str">
        <x:f>IF(C139="","",IF(C139&gt;='参数'!$B$37,1,IF(C139&lt;=-'参数'!$B$37,-1,0)))</x:f>
      </x:c>
      <x:c r="H139" s="194" t="str">
        <x:f>IF(OR(F139="",G139=""),"",--(F139=G139))</x:f>
      </x:c>
      <x:c r="I139" s="214" t="str">
        <x:f>IF(D139="","",D139*'参数'!$B$34)</x:f>
      </x:c>
      <x:c r="J139" s="214" t="str">
        <x:f>IF(OR(C139="",I139=""),"",ABS(C139-I139))</x:f>
      </x:c>
      <x:c r="K139" s="194" t="str">
        <x:f>IF(D139="","",IF(MAX(ABS(SUM(L139:M139)),ABS(SUM(N139:P139)),ABS(Q139),ABS(SUM(R139:T139)),ABS(SUM(U139:V139)),ABS(SUM(W139:Y139)),ABS(SUM(Z139:AB139)),ABS(SUM(AC139:AE139)))=ABS(SUM(L139:M139)),"订单流",IF(MAX(ABS(SUM(L139:M139)),ABS(SUM(N139:P139)),ABS(Q139),ABS(SUM(R139:T139)),ABS(SUM(U139:V139)),ABS(SUM(W139:Y139)),ABS(SUM(Z139:AB139)),ABS(SUM(AC139:AE139)))=ABS(SUM(N139:P139)),"流动性",IF(MAX(ABS(SUM(L139:M139)),ABS(SUM(N139:P139)),ABS(Q139),ABS(SUM(R139:T139)),ABS(SUM(U139:V139)),ABS(SUM(W139:Y139)),ABS(SUM(Z139:AB139)),ABS(SUM(AC139:AE139)))=ABS(Q139),"价格行为",IF(MAX(ABS(SUM(L139:M139)),ABS(SUM(N139:P139)),ABS(Q139),ABS(SUM(R139:T139)),ABS(SUM(U139:V139)),ABS(SUM(W139:Y139)),ABS(SUM(Z139:AB139)),ABS(SUM(AC139:AE139)))=ABS(SUM(R139:T139)),"杠杆/清算",IF(MAX(ABS(SUM(L139:M139)),ABS(SUM(N139:P139)),ABS(Q139),ABS(SUM(R139:T139)),ABS(SUM(U139:V139)),ABS(SUM(W139:Y139)),ABS(SUM(Z139:AB139)),ABS(SUM(AC139:AE139)))=ABS(SUM(U139:V139)),"衍生品",IF(MAX(ABS(SUM(L139:M139)),ABS(SUM(N139:P139)),ABS(Q139),ABS(SUM(R139:T139)),ABS(SUM(U139:V139)),ABS(SUM(W139:Y139)),ABS(SUM(Z139:AB139)),ABS(SUM(AC139:AE139)))=ABS(SUM(W139:Y139)),"跨市场",IF(MAX(ABS(SUM(L139:M139)),ABS(SUM(N139:P139)),ABS(Q139),ABS(SUM(R139:T139)),ABS(SUM(U139:V139)),ABS(SUM(W139:Y139)),ABS(SUM(Z139:AB139)),ABS(SUM(AC139:AE139)))=ABS(SUM(Z139:AB139)),"宏观代理","事件"))))))))</x:f>
      </x:c>
      <x:c r="L139" s="198"/>
      <x:c r="M139" s="198"/>
      <x:c r="N139" s="198"/>
      <x:c r="O139" s="198"/>
      <x:c r="P139" s="198"/>
      <x:c r="Q139" s="198"/>
      <x:c r="R139" s="198"/>
      <x:c r="S139" s="198"/>
      <x:c r="T139" s="198"/>
      <x:c r="U139" s="198"/>
      <x:c r="V139" s="198"/>
      <x:c r="W139" s="198"/>
      <x:c r="X139" s="198"/>
      <x:c r="Y139" s="198"/>
      <x:c r="Z139" s="198"/>
      <x:c r="AA139" s="198"/>
      <x:c r="AB139" s="198"/>
      <x:c r="AC139" s="198"/>
      <x:c r="AD139" s="198"/>
      <x:c r="AE139" s="198"/>
      <x:c r="AF139" s="215"/>
    </x:row>
    <x:row r="140">
      <x:c r="A140" s="238"/>
      <x:c r="B140" s="215" t="str">
        <x:v>正常</x:v>
      </x:c>
      <x:c r="C140" s="199"/>
      <x:c r="D140" s="223" t="str">
        <x:f>IF(COUNTA(L140:AE140)=0,"",SUMPRODUCT(L140:AE140,'参数'!$C$6:$C$25,'参数'!$D$6:$D$25,INDEX('参数'!$E$6:$J$25,0,MATCH(B140,'参数'!$E$5:$J$5,0)),'参数'!$K$6:$K$25)/SUMPRODUCT('参数'!$C$6:$C$25,'参数'!$D$6:$D$25,INDEX('参数'!$E$6:$J$25,0,MATCH(B140,'参数'!$E$5:$J$5,0)),'参数'!$K$6:$K$25))</x:f>
      </x:c>
      <x:c r="E140" s="223" t="str">
        <x:f>IF(D140="","",SUMPRODUCT(ABS(L140:AE140),'参数'!$C$6:$C$25,'参数'!$D$6:$D$25,INDEX('参数'!$E$6:$J$25,0,MATCH(B140,'参数'!$E$5:$J$5,0)))/SUMPRODUCT('参数'!$C$6:$C$25,'参数'!$D$6:$D$25,INDEX('参数'!$E$6:$J$25,0,MATCH(B140,'参数'!$E$5:$J$5,0))))</x:f>
      </x:c>
      <x:c r="F140" s="194" t="str">
        <x:f>IF(D140="","",IF(D140&gt;='参数'!$B$30,1,IF(D140&lt;=-'参数'!$B$30,-1,0)))</x:f>
      </x:c>
      <x:c r="G140" s="194" t="str">
        <x:f>IF(C140="","",IF(C140&gt;='参数'!$B$37,1,IF(C140&lt;=-'参数'!$B$37,-1,0)))</x:f>
      </x:c>
      <x:c r="H140" s="194" t="str">
        <x:f>IF(OR(F140="",G140=""),"",--(F140=G140))</x:f>
      </x:c>
      <x:c r="I140" s="214" t="str">
        <x:f>IF(D140="","",D140*'参数'!$B$34)</x:f>
      </x:c>
      <x:c r="J140" s="214" t="str">
        <x:f>IF(OR(C140="",I140=""),"",ABS(C140-I140))</x:f>
      </x:c>
      <x:c r="K140" s="194" t="str">
        <x:f>IF(D140="","",IF(MAX(ABS(SUM(L140:M140)),ABS(SUM(N140:P140)),ABS(Q140),ABS(SUM(R140:T140)),ABS(SUM(U140:V140)),ABS(SUM(W140:Y140)),ABS(SUM(Z140:AB140)),ABS(SUM(AC140:AE140)))=ABS(SUM(L140:M140)),"订单流",IF(MAX(ABS(SUM(L140:M140)),ABS(SUM(N140:P140)),ABS(Q140),ABS(SUM(R140:T140)),ABS(SUM(U140:V140)),ABS(SUM(W140:Y140)),ABS(SUM(Z140:AB140)),ABS(SUM(AC140:AE140)))=ABS(SUM(N140:P140)),"流动性",IF(MAX(ABS(SUM(L140:M140)),ABS(SUM(N140:P140)),ABS(Q140),ABS(SUM(R140:T140)),ABS(SUM(U140:V140)),ABS(SUM(W140:Y140)),ABS(SUM(Z140:AB140)),ABS(SUM(AC140:AE140)))=ABS(Q140),"价格行为",IF(MAX(ABS(SUM(L140:M140)),ABS(SUM(N140:P140)),ABS(Q140),ABS(SUM(R140:T140)),ABS(SUM(U140:V140)),ABS(SUM(W140:Y140)),ABS(SUM(Z140:AB140)),ABS(SUM(AC140:AE140)))=ABS(SUM(R140:T140)),"杠杆/清算",IF(MAX(ABS(SUM(L140:M140)),ABS(SUM(N140:P140)),ABS(Q140),ABS(SUM(R140:T140)),ABS(SUM(U140:V140)),ABS(SUM(W140:Y140)),ABS(SUM(Z140:AB140)),ABS(SUM(AC140:AE140)))=ABS(SUM(U140:V140)),"衍生品",IF(MAX(ABS(SUM(L140:M140)),ABS(SUM(N140:P140)),ABS(Q140),ABS(SUM(R140:T140)),ABS(SUM(U140:V140)),ABS(SUM(W140:Y140)),ABS(SUM(Z140:AB140)),ABS(SUM(AC140:AE140)))=ABS(SUM(W140:Y140)),"跨市场",IF(MAX(ABS(SUM(L140:M140)),ABS(SUM(N140:P140)),ABS(Q140),ABS(SUM(R140:T140)),ABS(SUM(U140:V140)),ABS(SUM(W140:Y140)),ABS(SUM(Z140:AB140)),ABS(SUM(AC140:AE140)))=ABS(SUM(Z140:AB140)),"宏观代理","事件"))))))))</x:f>
      </x:c>
      <x:c r="L140" s="198"/>
      <x:c r="M140" s="198"/>
      <x:c r="N140" s="198"/>
      <x:c r="O140" s="198"/>
      <x:c r="P140" s="198"/>
      <x:c r="Q140" s="198"/>
      <x:c r="R140" s="198"/>
      <x:c r="S140" s="198"/>
      <x:c r="T140" s="198"/>
      <x:c r="U140" s="198"/>
      <x:c r="V140" s="198"/>
      <x:c r="W140" s="198"/>
      <x:c r="X140" s="198"/>
      <x:c r="Y140" s="198"/>
      <x:c r="Z140" s="198"/>
      <x:c r="AA140" s="198"/>
      <x:c r="AB140" s="198"/>
      <x:c r="AC140" s="198"/>
      <x:c r="AD140" s="198"/>
      <x:c r="AE140" s="198"/>
      <x:c r="AF140" s="215"/>
    </x:row>
    <x:row r="141">
      <x:c r="A141" s="238"/>
      <x:c r="B141" s="215" t="str">
        <x:v>正常</x:v>
      </x:c>
      <x:c r="C141" s="199"/>
      <x:c r="D141" s="223" t="str">
        <x:f>IF(COUNTA(L141:AE141)=0,"",SUMPRODUCT(L141:AE141,'参数'!$C$6:$C$25,'参数'!$D$6:$D$25,INDEX('参数'!$E$6:$J$25,0,MATCH(B141,'参数'!$E$5:$J$5,0)),'参数'!$K$6:$K$25)/SUMPRODUCT('参数'!$C$6:$C$25,'参数'!$D$6:$D$25,INDEX('参数'!$E$6:$J$25,0,MATCH(B141,'参数'!$E$5:$J$5,0)),'参数'!$K$6:$K$25))</x:f>
      </x:c>
      <x:c r="E141" s="223" t="str">
        <x:f>IF(D141="","",SUMPRODUCT(ABS(L141:AE141),'参数'!$C$6:$C$25,'参数'!$D$6:$D$25,INDEX('参数'!$E$6:$J$25,0,MATCH(B141,'参数'!$E$5:$J$5,0)))/SUMPRODUCT('参数'!$C$6:$C$25,'参数'!$D$6:$D$25,INDEX('参数'!$E$6:$J$25,0,MATCH(B141,'参数'!$E$5:$J$5,0))))</x:f>
      </x:c>
      <x:c r="F141" s="194" t="str">
        <x:f>IF(D141="","",IF(D141&gt;='参数'!$B$30,1,IF(D141&lt;=-'参数'!$B$30,-1,0)))</x:f>
      </x:c>
      <x:c r="G141" s="194" t="str">
        <x:f>IF(C141="","",IF(C141&gt;='参数'!$B$37,1,IF(C141&lt;=-'参数'!$B$37,-1,0)))</x:f>
      </x:c>
      <x:c r="H141" s="194" t="str">
        <x:f>IF(OR(F141="",G141=""),"",--(F141=G141))</x:f>
      </x:c>
      <x:c r="I141" s="214" t="str">
        <x:f>IF(D141="","",D141*'参数'!$B$34)</x:f>
      </x:c>
      <x:c r="J141" s="214" t="str">
        <x:f>IF(OR(C141="",I141=""),"",ABS(C141-I141))</x:f>
      </x:c>
      <x:c r="K141" s="194" t="str">
        <x:f>IF(D141="","",IF(MAX(ABS(SUM(L141:M141)),ABS(SUM(N141:P141)),ABS(Q141),ABS(SUM(R141:T141)),ABS(SUM(U141:V141)),ABS(SUM(W141:Y141)),ABS(SUM(Z141:AB141)),ABS(SUM(AC141:AE141)))=ABS(SUM(L141:M141)),"订单流",IF(MAX(ABS(SUM(L141:M141)),ABS(SUM(N141:P141)),ABS(Q141),ABS(SUM(R141:T141)),ABS(SUM(U141:V141)),ABS(SUM(W141:Y141)),ABS(SUM(Z141:AB141)),ABS(SUM(AC141:AE141)))=ABS(SUM(N141:P141)),"流动性",IF(MAX(ABS(SUM(L141:M141)),ABS(SUM(N141:P141)),ABS(Q141),ABS(SUM(R141:T141)),ABS(SUM(U141:V141)),ABS(SUM(W141:Y141)),ABS(SUM(Z141:AB141)),ABS(SUM(AC141:AE141)))=ABS(Q141),"价格行为",IF(MAX(ABS(SUM(L141:M141)),ABS(SUM(N141:P141)),ABS(Q141),ABS(SUM(R141:T141)),ABS(SUM(U141:V141)),ABS(SUM(W141:Y141)),ABS(SUM(Z141:AB141)),ABS(SUM(AC141:AE141)))=ABS(SUM(R141:T141)),"杠杆/清算",IF(MAX(ABS(SUM(L141:M141)),ABS(SUM(N141:P141)),ABS(Q141),ABS(SUM(R141:T141)),ABS(SUM(U141:V141)),ABS(SUM(W141:Y141)),ABS(SUM(Z141:AB141)),ABS(SUM(AC141:AE141)))=ABS(SUM(U141:V141)),"衍生品",IF(MAX(ABS(SUM(L141:M141)),ABS(SUM(N141:P141)),ABS(Q141),ABS(SUM(R141:T141)),ABS(SUM(U141:V141)),ABS(SUM(W141:Y141)),ABS(SUM(Z141:AB141)),ABS(SUM(AC141:AE141)))=ABS(SUM(W141:Y141)),"跨市场",IF(MAX(ABS(SUM(L141:M141)),ABS(SUM(N141:P141)),ABS(Q141),ABS(SUM(R141:T141)),ABS(SUM(U141:V141)),ABS(SUM(W141:Y141)),ABS(SUM(Z141:AB141)),ABS(SUM(AC141:AE141)))=ABS(SUM(Z141:AB141)),"宏观代理","事件"))))))))</x:f>
      </x:c>
      <x:c r="L141" s="198"/>
      <x:c r="M141" s="198"/>
      <x:c r="N141" s="198"/>
      <x:c r="O141" s="198"/>
      <x:c r="P141" s="198"/>
      <x:c r="Q141" s="198"/>
      <x:c r="R141" s="198"/>
      <x:c r="S141" s="198"/>
      <x:c r="T141" s="198"/>
      <x:c r="U141" s="198"/>
      <x:c r="V141" s="198"/>
      <x:c r="W141" s="198"/>
      <x:c r="X141" s="198"/>
      <x:c r="Y141" s="198"/>
      <x:c r="Z141" s="198"/>
      <x:c r="AA141" s="198"/>
      <x:c r="AB141" s="198"/>
      <x:c r="AC141" s="198"/>
      <x:c r="AD141" s="198"/>
      <x:c r="AE141" s="198"/>
      <x:c r="AF141" s="215"/>
    </x:row>
    <x:row r="142">
      <x:c r="A142" s="238"/>
      <x:c r="B142" s="215" t="str">
        <x:v>正常</x:v>
      </x:c>
      <x:c r="C142" s="199"/>
      <x:c r="D142" s="223" t="str">
        <x:f>IF(COUNTA(L142:AE142)=0,"",SUMPRODUCT(L142:AE142,'参数'!$C$6:$C$25,'参数'!$D$6:$D$25,INDEX('参数'!$E$6:$J$25,0,MATCH(B142,'参数'!$E$5:$J$5,0)),'参数'!$K$6:$K$25)/SUMPRODUCT('参数'!$C$6:$C$25,'参数'!$D$6:$D$25,INDEX('参数'!$E$6:$J$25,0,MATCH(B142,'参数'!$E$5:$J$5,0)),'参数'!$K$6:$K$25))</x:f>
      </x:c>
      <x:c r="E142" s="223" t="str">
        <x:f>IF(D142="","",SUMPRODUCT(ABS(L142:AE142),'参数'!$C$6:$C$25,'参数'!$D$6:$D$25,INDEX('参数'!$E$6:$J$25,0,MATCH(B142,'参数'!$E$5:$J$5,0)))/SUMPRODUCT('参数'!$C$6:$C$25,'参数'!$D$6:$D$25,INDEX('参数'!$E$6:$J$25,0,MATCH(B142,'参数'!$E$5:$J$5,0))))</x:f>
      </x:c>
      <x:c r="F142" s="194" t="str">
        <x:f>IF(D142="","",IF(D142&gt;='参数'!$B$30,1,IF(D142&lt;=-'参数'!$B$30,-1,0)))</x:f>
      </x:c>
      <x:c r="G142" s="194" t="str">
        <x:f>IF(C142="","",IF(C142&gt;='参数'!$B$37,1,IF(C142&lt;=-'参数'!$B$37,-1,0)))</x:f>
      </x:c>
      <x:c r="H142" s="194" t="str">
        <x:f>IF(OR(F142="",G142=""),"",--(F142=G142))</x:f>
      </x:c>
      <x:c r="I142" s="214" t="str">
        <x:f>IF(D142="","",D142*'参数'!$B$34)</x:f>
      </x:c>
      <x:c r="J142" s="214" t="str">
        <x:f>IF(OR(C142="",I142=""),"",ABS(C142-I142))</x:f>
      </x:c>
      <x:c r="K142" s="194" t="str">
        <x:f>IF(D142="","",IF(MAX(ABS(SUM(L142:M142)),ABS(SUM(N142:P142)),ABS(Q142),ABS(SUM(R142:T142)),ABS(SUM(U142:V142)),ABS(SUM(W142:Y142)),ABS(SUM(Z142:AB142)),ABS(SUM(AC142:AE142)))=ABS(SUM(L142:M142)),"订单流",IF(MAX(ABS(SUM(L142:M142)),ABS(SUM(N142:P142)),ABS(Q142),ABS(SUM(R142:T142)),ABS(SUM(U142:V142)),ABS(SUM(W142:Y142)),ABS(SUM(Z142:AB142)),ABS(SUM(AC142:AE142)))=ABS(SUM(N142:P142)),"流动性",IF(MAX(ABS(SUM(L142:M142)),ABS(SUM(N142:P142)),ABS(Q142),ABS(SUM(R142:T142)),ABS(SUM(U142:V142)),ABS(SUM(W142:Y142)),ABS(SUM(Z142:AB142)),ABS(SUM(AC142:AE142)))=ABS(Q142),"价格行为",IF(MAX(ABS(SUM(L142:M142)),ABS(SUM(N142:P142)),ABS(Q142),ABS(SUM(R142:T142)),ABS(SUM(U142:V142)),ABS(SUM(W142:Y142)),ABS(SUM(Z142:AB142)),ABS(SUM(AC142:AE142)))=ABS(SUM(R142:T142)),"杠杆/清算",IF(MAX(ABS(SUM(L142:M142)),ABS(SUM(N142:P142)),ABS(Q142),ABS(SUM(R142:T142)),ABS(SUM(U142:V142)),ABS(SUM(W142:Y142)),ABS(SUM(Z142:AB142)),ABS(SUM(AC142:AE142)))=ABS(SUM(U142:V142)),"衍生品",IF(MAX(ABS(SUM(L142:M142)),ABS(SUM(N142:P142)),ABS(Q142),ABS(SUM(R142:T142)),ABS(SUM(U142:V142)),ABS(SUM(W142:Y142)),ABS(SUM(Z142:AB142)),ABS(SUM(AC142:AE142)))=ABS(SUM(W142:Y142)),"跨市场",IF(MAX(ABS(SUM(L142:M142)),ABS(SUM(N142:P142)),ABS(Q142),ABS(SUM(R142:T142)),ABS(SUM(U142:V142)),ABS(SUM(W142:Y142)),ABS(SUM(Z142:AB142)),ABS(SUM(AC142:AE142)))=ABS(SUM(Z142:AB142)),"宏观代理","事件"))))))))</x:f>
      </x:c>
      <x:c r="L142" s="198"/>
      <x:c r="M142" s="198"/>
      <x:c r="N142" s="198"/>
      <x:c r="O142" s="198"/>
      <x:c r="P142" s="198"/>
      <x:c r="Q142" s="198"/>
      <x:c r="R142" s="198"/>
      <x:c r="S142" s="198"/>
      <x:c r="T142" s="198"/>
      <x:c r="U142" s="198"/>
      <x:c r="V142" s="198"/>
      <x:c r="W142" s="198"/>
      <x:c r="X142" s="198"/>
      <x:c r="Y142" s="198"/>
      <x:c r="Z142" s="198"/>
      <x:c r="AA142" s="198"/>
      <x:c r="AB142" s="198"/>
      <x:c r="AC142" s="198"/>
      <x:c r="AD142" s="198"/>
      <x:c r="AE142" s="198"/>
      <x:c r="AF142" s="215"/>
    </x:row>
    <x:row r="143">
      <x:c r="A143" s="238"/>
      <x:c r="B143" s="215" t="str">
        <x:v>正常</x:v>
      </x:c>
      <x:c r="C143" s="199"/>
      <x:c r="D143" s="223" t="str">
        <x:f>IF(COUNTA(L143:AE143)=0,"",SUMPRODUCT(L143:AE143,'参数'!$C$6:$C$25,'参数'!$D$6:$D$25,INDEX('参数'!$E$6:$J$25,0,MATCH(B143,'参数'!$E$5:$J$5,0)),'参数'!$K$6:$K$25)/SUMPRODUCT('参数'!$C$6:$C$25,'参数'!$D$6:$D$25,INDEX('参数'!$E$6:$J$25,0,MATCH(B143,'参数'!$E$5:$J$5,0)),'参数'!$K$6:$K$25))</x:f>
      </x:c>
      <x:c r="E143" s="223" t="str">
        <x:f>IF(D143="","",SUMPRODUCT(ABS(L143:AE143),'参数'!$C$6:$C$25,'参数'!$D$6:$D$25,INDEX('参数'!$E$6:$J$25,0,MATCH(B143,'参数'!$E$5:$J$5,0)))/SUMPRODUCT('参数'!$C$6:$C$25,'参数'!$D$6:$D$25,INDEX('参数'!$E$6:$J$25,0,MATCH(B143,'参数'!$E$5:$J$5,0))))</x:f>
      </x:c>
      <x:c r="F143" s="194" t="str">
        <x:f>IF(D143="","",IF(D143&gt;='参数'!$B$30,1,IF(D143&lt;=-'参数'!$B$30,-1,0)))</x:f>
      </x:c>
      <x:c r="G143" s="194" t="str">
        <x:f>IF(C143="","",IF(C143&gt;='参数'!$B$37,1,IF(C143&lt;=-'参数'!$B$37,-1,0)))</x:f>
      </x:c>
      <x:c r="H143" s="194" t="str">
        <x:f>IF(OR(F143="",G143=""),"",--(F143=G143))</x:f>
      </x:c>
      <x:c r="I143" s="214" t="str">
        <x:f>IF(D143="","",D143*'参数'!$B$34)</x:f>
      </x:c>
      <x:c r="J143" s="214" t="str">
        <x:f>IF(OR(C143="",I143=""),"",ABS(C143-I143))</x:f>
      </x:c>
      <x:c r="K143" s="194" t="str">
        <x:f>IF(D143="","",IF(MAX(ABS(SUM(L143:M143)),ABS(SUM(N143:P143)),ABS(Q143),ABS(SUM(R143:T143)),ABS(SUM(U143:V143)),ABS(SUM(W143:Y143)),ABS(SUM(Z143:AB143)),ABS(SUM(AC143:AE143)))=ABS(SUM(L143:M143)),"订单流",IF(MAX(ABS(SUM(L143:M143)),ABS(SUM(N143:P143)),ABS(Q143),ABS(SUM(R143:T143)),ABS(SUM(U143:V143)),ABS(SUM(W143:Y143)),ABS(SUM(Z143:AB143)),ABS(SUM(AC143:AE143)))=ABS(SUM(N143:P143)),"流动性",IF(MAX(ABS(SUM(L143:M143)),ABS(SUM(N143:P143)),ABS(Q143),ABS(SUM(R143:T143)),ABS(SUM(U143:V143)),ABS(SUM(W143:Y143)),ABS(SUM(Z143:AB143)),ABS(SUM(AC143:AE143)))=ABS(Q143),"价格行为",IF(MAX(ABS(SUM(L143:M143)),ABS(SUM(N143:P143)),ABS(Q143),ABS(SUM(R143:T143)),ABS(SUM(U143:V143)),ABS(SUM(W143:Y143)),ABS(SUM(Z143:AB143)),ABS(SUM(AC143:AE143)))=ABS(SUM(R143:T143)),"杠杆/清算",IF(MAX(ABS(SUM(L143:M143)),ABS(SUM(N143:P143)),ABS(Q143),ABS(SUM(R143:T143)),ABS(SUM(U143:V143)),ABS(SUM(W143:Y143)),ABS(SUM(Z143:AB143)),ABS(SUM(AC143:AE143)))=ABS(SUM(U143:V143)),"衍生品",IF(MAX(ABS(SUM(L143:M143)),ABS(SUM(N143:P143)),ABS(Q143),ABS(SUM(R143:T143)),ABS(SUM(U143:V143)),ABS(SUM(W143:Y143)),ABS(SUM(Z143:AB143)),ABS(SUM(AC143:AE143)))=ABS(SUM(W143:Y143)),"跨市场",IF(MAX(ABS(SUM(L143:M143)),ABS(SUM(N143:P143)),ABS(Q143),ABS(SUM(R143:T143)),ABS(SUM(U143:V143)),ABS(SUM(W143:Y143)),ABS(SUM(Z143:AB143)),ABS(SUM(AC143:AE143)))=ABS(SUM(Z143:AB143)),"宏观代理","事件"))))))))</x:f>
      </x:c>
      <x:c r="L143" s="198"/>
      <x:c r="M143" s="198"/>
      <x:c r="N143" s="198"/>
      <x:c r="O143" s="198"/>
      <x:c r="P143" s="198"/>
      <x:c r="Q143" s="198"/>
      <x:c r="R143" s="198"/>
      <x:c r="S143" s="198"/>
      <x:c r="T143" s="198"/>
      <x:c r="U143" s="198"/>
      <x:c r="V143" s="198"/>
      <x:c r="W143" s="198"/>
      <x:c r="X143" s="198"/>
      <x:c r="Y143" s="198"/>
      <x:c r="Z143" s="198"/>
      <x:c r="AA143" s="198"/>
      <x:c r="AB143" s="198"/>
      <x:c r="AC143" s="198"/>
      <x:c r="AD143" s="198"/>
      <x:c r="AE143" s="198"/>
      <x:c r="AF143" s="215"/>
    </x:row>
    <x:row r="144">
      <x:c r="A144" s="238"/>
      <x:c r="B144" s="215" t="str">
        <x:v>正常</x:v>
      </x:c>
      <x:c r="C144" s="199"/>
      <x:c r="D144" s="223" t="str">
        <x:f>IF(COUNTA(L144:AE144)=0,"",SUMPRODUCT(L144:AE144,'参数'!$C$6:$C$25,'参数'!$D$6:$D$25,INDEX('参数'!$E$6:$J$25,0,MATCH(B144,'参数'!$E$5:$J$5,0)),'参数'!$K$6:$K$25)/SUMPRODUCT('参数'!$C$6:$C$25,'参数'!$D$6:$D$25,INDEX('参数'!$E$6:$J$25,0,MATCH(B144,'参数'!$E$5:$J$5,0)),'参数'!$K$6:$K$25))</x:f>
      </x:c>
      <x:c r="E144" s="223" t="str">
        <x:f>IF(D144="","",SUMPRODUCT(ABS(L144:AE144),'参数'!$C$6:$C$25,'参数'!$D$6:$D$25,INDEX('参数'!$E$6:$J$25,0,MATCH(B144,'参数'!$E$5:$J$5,0)))/SUMPRODUCT('参数'!$C$6:$C$25,'参数'!$D$6:$D$25,INDEX('参数'!$E$6:$J$25,0,MATCH(B144,'参数'!$E$5:$J$5,0))))</x:f>
      </x:c>
      <x:c r="F144" s="194" t="str">
        <x:f>IF(D144="","",IF(D144&gt;='参数'!$B$30,1,IF(D144&lt;=-'参数'!$B$30,-1,0)))</x:f>
      </x:c>
      <x:c r="G144" s="194" t="str">
        <x:f>IF(C144="","",IF(C144&gt;='参数'!$B$37,1,IF(C144&lt;=-'参数'!$B$37,-1,0)))</x:f>
      </x:c>
      <x:c r="H144" s="194" t="str">
        <x:f>IF(OR(F144="",G144=""),"",--(F144=G144))</x:f>
      </x:c>
      <x:c r="I144" s="214" t="str">
        <x:f>IF(D144="","",D144*'参数'!$B$34)</x:f>
      </x:c>
      <x:c r="J144" s="214" t="str">
        <x:f>IF(OR(C144="",I144=""),"",ABS(C144-I144))</x:f>
      </x:c>
      <x:c r="K144" s="194" t="str">
        <x:f>IF(D144="","",IF(MAX(ABS(SUM(L144:M144)),ABS(SUM(N144:P144)),ABS(Q144),ABS(SUM(R144:T144)),ABS(SUM(U144:V144)),ABS(SUM(W144:Y144)),ABS(SUM(Z144:AB144)),ABS(SUM(AC144:AE144)))=ABS(SUM(L144:M144)),"订单流",IF(MAX(ABS(SUM(L144:M144)),ABS(SUM(N144:P144)),ABS(Q144),ABS(SUM(R144:T144)),ABS(SUM(U144:V144)),ABS(SUM(W144:Y144)),ABS(SUM(Z144:AB144)),ABS(SUM(AC144:AE144)))=ABS(SUM(N144:P144)),"流动性",IF(MAX(ABS(SUM(L144:M144)),ABS(SUM(N144:P144)),ABS(Q144),ABS(SUM(R144:T144)),ABS(SUM(U144:V144)),ABS(SUM(W144:Y144)),ABS(SUM(Z144:AB144)),ABS(SUM(AC144:AE144)))=ABS(Q144),"价格行为",IF(MAX(ABS(SUM(L144:M144)),ABS(SUM(N144:P144)),ABS(Q144),ABS(SUM(R144:T144)),ABS(SUM(U144:V144)),ABS(SUM(W144:Y144)),ABS(SUM(Z144:AB144)),ABS(SUM(AC144:AE144)))=ABS(SUM(R144:T144)),"杠杆/清算",IF(MAX(ABS(SUM(L144:M144)),ABS(SUM(N144:P144)),ABS(Q144),ABS(SUM(R144:T144)),ABS(SUM(U144:V144)),ABS(SUM(W144:Y144)),ABS(SUM(Z144:AB144)),ABS(SUM(AC144:AE144)))=ABS(SUM(U144:V144)),"衍生品",IF(MAX(ABS(SUM(L144:M144)),ABS(SUM(N144:P144)),ABS(Q144),ABS(SUM(R144:T144)),ABS(SUM(U144:V144)),ABS(SUM(W144:Y144)),ABS(SUM(Z144:AB144)),ABS(SUM(AC144:AE144)))=ABS(SUM(W144:Y144)),"跨市场",IF(MAX(ABS(SUM(L144:M144)),ABS(SUM(N144:P144)),ABS(Q144),ABS(SUM(R144:T144)),ABS(SUM(U144:V144)),ABS(SUM(W144:Y144)),ABS(SUM(Z144:AB144)),ABS(SUM(AC144:AE144)))=ABS(SUM(Z144:AB144)),"宏观代理","事件"))))))))</x:f>
      </x:c>
      <x:c r="L144" s="198"/>
      <x:c r="M144" s="198"/>
      <x:c r="N144" s="198"/>
      <x:c r="O144" s="198"/>
      <x:c r="P144" s="198"/>
      <x:c r="Q144" s="198"/>
      <x:c r="R144" s="198"/>
      <x:c r="S144" s="198"/>
      <x:c r="T144" s="198"/>
      <x:c r="U144" s="198"/>
      <x:c r="V144" s="198"/>
      <x:c r="W144" s="198"/>
      <x:c r="X144" s="198"/>
      <x:c r="Y144" s="198"/>
      <x:c r="Z144" s="198"/>
      <x:c r="AA144" s="198"/>
      <x:c r="AB144" s="198"/>
      <x:c r="AC144" s="198"/>
      <x:c r="AD144" s="198"/>
      <x:c r="AE144" s="198"/>
      <x:c r="AF144" s="215"/>
    </x:row>
    <x:row r="145">
      <x:c r="A145" s="238"/>
      <x:c r="B145" s="215" t="str">
        <x:v>正常</x:v>
      </x:c>
      <x:c r="C145" s="199"/>
      <x:c r="D145" s="223" t="str">
        <x:f>IF(COUNTA(L145:AE145)=0,"",SUMPRODUCT(L145:AE145,'参数'!$C$6:$C$25,'参数'!$D$6:$D$25,INDEX('参数'!$E$6:$J$25,0,MATCH(B145,'参数'!$E$5:$J$5,0)),'参数'!$K$6:$K$25)/SUMPRODUCT('参数'!$C$6:$C$25,'参数'!$D$6:$D$25,INDEX('参数'!$E$6:$J$25,0,MATCH(B145,'参数'!$E$5:$J$5,0)),'参数'!$K$6:$K$25))</x:f>
      </x:c>
      <x:c r="E145" s="223" t="str">
        <x:f>IF(D145="","",SUMPRODUCT(ABS(L145:AE145),'参数'!$C$6:$C$25,'参数'!$D$6:$D$25,INDEX('参数'!$E$6:$J$25,0,MATCH(B145,'参数'!$E$5:$J$5,0)))/SUMPRODUCT('参数'!$C$6:$C$25,'参数'!$D$6:$D$25,INDEX('参数'!$E$6:$J$25,0,MATCH(B145,'参数'!$E$5:$J$5,0))))</x:f>
      </x:c>
      <x:c r="F145" s="194" t="str">
        <x:f>IF(D145="","",IF(D145&gt;='参数'!$B$30,1,IF(D145&lt;=-'参数'!$B$30,-1,0)))</x:f>
      </x:c>
      <x:c r="G145" s="194" t="str">
        <x:f>IF(C145="","",IF(C145&gt;='参数'!$B$37,1,IF(C145&lt;=-'参数'!$B$37,-1,0)))</x:f>
      </x:c>
      <x:c r="H145" s="194" t="str">
        <x:f>IF(OR(F145="",G145=""),"",--(F145=G145))</x:f>
      </x:c>
      <x:c r="I145" s="214" t="str">
        <x:f>IF(D145="","",D145*'参数'!$B$34)</x:f>
      </x:c>
      <x:c r="J145" s="214" t="str">
        <x:f>IF(OR(C145="",I145=""),"",ABS(C145-I145))</x:f>
      </x:c>
      <x:c r="K145" s="194" t="str">
        <x:f>IF(D145="","",IF(MAX(ABS(SUM(L145:M145)),ABS(SUM(N145:P145)),ABS(Q145),ABS(SUM(R145:T145)),ABS(SUM(U145:V145)),ABS(SUM(W145:Y145)),ABS(SUM(Z145:AB145)),ABS(SUM(AC145:AE145)))=ABS(SUM(L145:M145)),"订单流",IF(MAX(ABS(SUM(L145:M145)),ABS(SUM(N145:P145)),ABS(Q145),ABS(SUM(R145:T145)),ABS(SUM(U145:V145)),ABS(SUM(W145:Y145)),ABS(SUM(Z145:AB145)),ABS(SUM(AC145:AE145)))=ABS(SUM(N145:P145)),"流动性",IF(MAX(ABS(SUM(L145:M145)),ABS(SUM(N145:P145)),ABS(Q145),ABS(SUM(R145:T145)),ABS(SUM(U145:V145)),ABS(SUM(W145:Y145)),ABS(SUM(Z145:AB145)),ABS(SUM(AC145:AE145)))=ABS(Q145),"价格行为",IF(MAX(ABS(SUM(L145:M145)),ABS(SUM(N145:P145)),ABS(Q145),ABS(SUM(R145:T145)),ABS(SUM(U145:V145)),ABS(SUM(W145:Y145)),ABS(SUM(Z145:AB145)),ABS(SUM(AC145:AE145)))=ABS(SUM(R145:T145)),"杠杆/清算",IF(MAX(ABS(SUM(L145:M145)),ABS(SUM(N145:P145)),ABS(Q145),ABS(SUM(R145:T145)),ABS(SUM(U145:V145)),ABS(SUM(W145:Y145)),ABS(SUM(Z145:AB145)),ABS(SUM(AC145:AE145)))=ABS(SUM(U145:V145)),"衍生品",IF(MAX(ABS(SUM(L145:M145)),ABS(SUM(N145:P145)),ABS(Q145),ABS(SUM(R145:T145)),ABS(SUM(U145:V145)),ABS(SUM(W145:Y145)),ABS(SUM(Z145:AB145)),ABS(SUM(AC145:AE145)))=ABS(SUM(W145:Y145)),"跨市场",IF(MAX(ABS(SUM(L145:M145)),ABS(SUM(N145:P145)),ABS(Q145),ABS(SUM(R145:T145)),ABS(SUM(U145:V145)),ABS(SUM(W145:Y145)),ABS(SUM(Z145:AB145)),ABS(SUM(AC145:AE145)))=ABS(SUM(Z145:AB145)),"宏观代理","事件"))))))))</x:f>
      </x:c>
      <x:c r="L145" s="198"/>
      <x:c r="M145" s="198"/>
      <x:c r="N145" s="198"/>
      <x:c r="O145" s="198"/>
      <x:c r="P145" s="198"/>
      <x:c r="Q145" s="198"/>
      <x:c r="R145" s="198"/>
      <x:c r="S145" s="198"/>
      <x:c r="T145" s="198"/>
      <x:c r="U145" s="198"/>
      <x:c r="V145" s="198"/>
      <x:c r="W145" s="198"/>
      <x:c r="X145" s="198"/>
      <x:c r="Y145" s="198"/>
      <x:c r="Z145" s="198"/>
      <x:c r="AA145" s="198"/>
      <x:c r="AB145" s="198"/>
      <x:c r="AC145" s="198"/>
      <x:c r="AD145" s="198"/>
      <x:c r="AE145" s="198"/>
      <x:c r="AF145" s="215"/>
    </x:row>
    <x:row r="146">
      <x:c r="A146" s="238"/>
      <x:c r="B146" s="215" t="str">
        <x:v>正常</x:v>
      </x:c>
      <x:c r="C146" s="199"/>
      <x:c r="D146" s="223" t="str">
        <x:f>IF(COUNTA(L146:AE146)=0,"",SUMPRODUCT(L146:AE146,'参数'!$C$6:$C$25,'参数'!$D$6:$D$25,INDEX('参数'!$E$6:$J$25,0,MATCH(B146,'参数'!$E$5:$J$5,0)),'参数'!$K$6:$K$25)/SUMPRODUCT('参数'!$C$6:$C$25,'参数'!$D$6:$D$25,INDEX('参数'!$E$6:$J$25,0,MATCH(B146,'参数'!$E$5:$J$5,0)),'参数'!$K$6:$K$25))</x:f>
      </x:c>
      <x:c r="E146" s="223" t="str">
        <x:f>IF(D146="","",SUMPRODUCT(ABS(L146:AE146),'参数'!$C$6:$C$25,'参数'!$D$6:$D$25,INDEX('参数'!$E$6:$J$25,0,MATCH(B146,'参数'!$E$5:$J$5,0)))/SUMPRODUCT('参数'!$C$6:$C$25,'参数'!$D$6:$D$25,INDEX('参数'!$E$6:$J$25,0,MATCH(B146,'参数'!$E$5:$J$5,0))))</x:f>
      </x:c>
      <x:c r="F146" s="194" t="str">
        <x:f>IF(D146="","",IF(D146&gt;='参数'!$B$30,1,IF(D146&lt;=-'参数'!$B$30,-1,0)))</x:f>
      </x:c>
      <x:c r="G146" s="194" t="str">
        <x:f>IF(C146="","",IF(C146&gt;='参数'!$B$37,1,IF(C146&lt;=-'参数'!$B$37,-1,0)))</x:f>
      </x:c>
      <x:c r="H146" s="194" t="str">
        <x:f>IF(OR(F146="",G146=""),"",--(F146=G146))</x:f>
      </x:c>
      <x:c r="I146" s="214" t="str">
        <x:f>IF(D146="","",D146*'参数'!$B$34)</x:f>
      </x:c>
      <x:c r="J146" s="214" t="str">
        <x:f>IF(OR(C146="",I146=""),"",ABS(C146-I146))</x:f>
      </x:c>
      <x:c r="K146" s="194" t="str">
        <x:f>IF(D146="","",IF(MAX(ABS(SUM(L146:M146)),ABS(SUM(N146:P146)),ABS(Q146),ABS(SUM(R146:T146)),ABS(SUM(U146:V146)),ABS(SUM(W146:Y146)),ABS(SUM(Z146:AB146)),ABS(SUM(AC146:AE146)))=ABS(SUM(L146:M146)),"订单流",IF(MAX(ABS(SUM(L146:M146)),ABS(SUM(N146:P146)),ABS(Q146),ABS(SUM(R146:T146)),ABS(SUM(U146:V146)),ABS(SUM(W146:Y146)),ABS(SUM(Z146:AB146)),ABS(SUM(AC146:AE146)))=ABS(SUM(N146:P146)),"流动性",IF(MAX(ABS(SUM(L146:M146)),ABS(SUM(N146:P146)),ABS(Q146),ABS(SUM(R146:T146)),ABS(SUM(U146:V146)),ABS(SUM(W146:Y146)),ABS(SUM(Z146:AB146)),ABS(SUM(AC146:AE146)))=ABS(Q146),"价格行为",IF(MAX(ABS(SUM(L146:M146)),ABS(SUM(N146:P146)),ABS(Q146),ABS(SUM(R146:T146)),ABS(SUM(U146:V146)),ABS(SUM(W146:Y146)),ABS(SUM(Z146:AB146)),ABS(SUM(AC146:AE146)))=ABS(SUM(R146:T146)),"杠杆/清算",IF(MAX(ABS(SUM(L146:M146)),ABS(SUM(N146:P146)),ABS(Q146),ABS(SUM(R146:T146)),ABS(SUM(U146:V146)),ABS(SUM(W146:Y146)),ABS(SUM(Z146:AB146)),ABS(SUM(AC146:AE146)))=ABS(SUM(U146:V146)),"衍生品",IF(MAX(ABS(SUM(L146:M146)),ABS(SUM(N146:P146)),ABS(Q146),ABS(SUM(R146:T146)),ABS(SUM(U146:V146)),ABS(SUM(W146:Y146)),ABS(SUM(Z146:AB146)),ABS(SUM(AC146:AE146)))=ABS(SUM(W146:Y146)),"跨市场",IF(MAX(ABS(SUM(L146:M146)),ABS(SUM(N146:P146)),ABS(Q146),ABS(SUM(R146:T146)),ABS(SUM(U146:V146)),ABS(SUM(W146:Y146)),ABS(SUM(Z146:AB146)),ABS(SUM(AC146:AE146)))=ABS(SUM(Z146:AB146)),"宏观代理","事件"))))))))</x:f>
      </x:c>
      <x:c r="L146" s="198"/>
      <x:c r="M146" s="198"/>
      <x:c r="N146" s="198"/>
      <x:c r="O146" s="198"/>
      <x:c r="P146" s="198"/>
      <x:c r="Q146" s="198"/>
      <x:c r="R146" s="198"/>
      <x:c r="S146" s="198"/>
      <x:c r="T146" s="198"/>
      <x:c r="U146" s="198"/>
      <x:c r="V146" s="198"/>
      <x:c r="W146" s="198"/>
      <x:c r="X146" s="198"/>
      <x:c r="Y146" s="198"/>
      <x:c r="Z146" s="198"/>
      <x:c r="AA146" s="198"/>
      <x:c r="AB146" s="198"/>
      <x:c r="AC146" s="198"/>
      <x:c r="AD146" s="198"/>
      <x:c r="AE146" s="198"/>
      <x:c r="AF146" s="215"/>
    </x:row>
    <x:row r="147">
      <x:c r="A147" s="238"/>
      <x:c r="B147" s="215" t="str">
        <x:v>正常</x:v>
      </x:c>
      <x:c r="C147" s="199"/>
      <x:c r="D147" s="223" t="str">
        <x:f>IF(COUNTA(L147:AE147)=0,"",SUMPRODUCT(L147:AE147,'参数'!$C$6:$C$25,'参数'!$D$6:$D$25,INDEX('参数'!$E$6:$J$25,0,MATCH(B147,'参数'!$E$5:$J$5,0)),'参数'!$K$6:$K$25)/SUMPRODUCT('参数'!$C$6:$C$25,'参数'!$D$6:$D$25,INDEX('参数'!$E$6:$J$25,0,MATCH(B147,'参数'!$E$5:$J$5,0)),'参数'!$K$6:$K$25))</x:f>
      </x:c>
      <x:c r="E147" s="223" t="str">
        <x:f>IF(D147="","",SUMPRODUCT(ABS(L147:AE147),'参数'!$C$6:$C$25,'参数'!$D$6:$D$25,INDEX('参数'!$E$6:$J$25,0,MATCH(B147,'参数'!$E$5:$J$5,0)))/SUMPRODUCT('参数'!$C$6:$C$25,'参数'!$D$6:$D$25,INDEX('参数'!$E$6:$J$25,0,MATCH(B147,'参数'!$E$5:$J$5,0))))</x:f>
      </x:c>
      <x:c r="F147" s="194" t="str">
        <x:f>IF(D147="","",IF(D147&gt;='参数'!$B$30,1,IF(D147&lt;=-'参数'!$B$30,-1,0)))</x:f>
      </x:c>
      <x:c r="G147" s="194" t="str">
        <x:f>IF(C147="","",IF(C147&gt;='参数'!$B$37,1,IF(C147&lt;=-'参数'!$B$37,-1,0)))</x:f>
      </x:c>
      <x:c r="H147" s="194" t="str">
        <x:f>IF(OR(F147="",G147=""),"",--(F147=G147))</x:f>
      </x:c>
      <x:c r="I147" s="214" t="str">
        <x:f>IF(D147="","",D147*'参数'!$B$34)</x:f>
      </x:c>
      <x:c r="J147" s="214" t="str">
        <x:f>IF(OR(C147="",I147=""),"",ABS(C147-I147))</x:f>
      </x:c>
      <x:c r="K147" s="194" t="str">
        <x:f>IF(D147="","",IF(MAX(ABS(SUM(L147:M147)),ABS(SUM(N147:P147)),ABS(Q147),ABS(SUM(R147:T147)),ABS(SUM(U147:V147)),ABS(SUM(W147:Y147)),ABS(SUM(Z147:AB147)),ABS(SUM(AC147:AE147)))=ABS(SUM(L147:M147)),"订单流",IF(MAX(ABS(SUM(L147:M147)),ABS(SUM(N147:P147)),ABS(Q147),ABS(SUM(R147:T147)),ABS(SUM(U147:V147)),ABS(SUM(W147:Y147)),ABS(SUM(Z147:AB147)),ABS(SUM(AC147:AE147)))=ABS(SUM(N147:P147)),"流动性",IF(MAX(ABS(SUM(L147:M147)),ABS(SUM(N147:P147)),ABS(Q147),ABS(SUM(R147:T147)),ABS(SUM(U147:V147)),ABS(SUM(W147:Y147)),ABS(SUM(Z147:AB147)),ABS(SUM(AC147:AE147)))=ABS(Q147),"价格行为",IF(MAX(ABS(SUM(L147:M147)),ABS(SUM(N147:P147)),ABS(Q147),ABS(SUM(R147:T147)),ABS(SUM(U147:V147)),ABS(SUM(W147:Y147)),ABS(SUM(Z147:AB147)),ABS(SUM(AC147:AE147)))=ABS(SUM(R147:T147)),"杠杆/清算",IF(MAX(ABS(SUM(L147:M147)),ABS(SUM(N147:P147)),ABS(Q147),ABS(SUM(R147:T147)),ABS(SUM(U147:V147)),ABS(SUM(W147:Y147)),ABS(SUM(Z147:AB147)),ABS(SUM(AC147:AE147)))=ABS(SUM(U147:V147)),"衍生品",IF(MAX(ABS(SUM(L147:M147)),ABS(SUM(N147:P147)),ABS(Q147),ABS(SUM(R147:T147)),ABS(SUM(U147:V147)),ABS(SUM(W147:Y147)),ABS(SUM(Z147:AB147)),ABS(SUM(AC147:AE147)))=ABS(SUM(W147:Y147)),"跨市场",IF(MAX(ABS(SUM(L147:M147)),ABS(SUM(N147:P147)),ABS(Q147),ABS(SUM(R147:T147)),ABS(SUM(U147:V147)),ABS(SUM(W147:Y147)),ABS(SUM(Z147:AB147)),ABS(SUM(AC147:AE147)))=ABS(SUM(Z147:AB147)),"宏观代理","事件"))))))))</x:f>
      </x:c>
      <x:c r="L147" s="198"/>
      <x:c r="M147" s="198"/>
      <x:c r="N147" s="198"/>
      <x:c r="O147" s="198"/>
      <x:c r="P147" s="198"/>
      <x:c r="Q147" s="198"/>
      <x:c r="R147" s="198"/>
      <x:c r="S147" s="198"/>
      <x:c r="T147" s="198"/>
      <x:c r="U147" s="198"/>
      <x:c r="V147" s="198"/>
      <x:c r="W147" s="198"/>
      <x:c r="X147" s="198"/>
      <x:c r="Y147" s="198"/>
      <x:c r="Z147" s="198"/>
      <x:c r="AA147" s="198"/>
      <x:c r="AB147" s="198"/>
      <x:c r="AC147" s="198"/>
      <x:c r="AD147" s="198"/>
      <x:c r="AE147" s="198"/>
      <x:c r="AF147" s="215"/>
    </x:row>
    <x:row r="148">
      <x:c r="A148" s="238"/>
      <x:c r="B148" s="215" t="str">
        <x:v>正常</x:v>
      </x:c>
      <x:c r="C148" s="199"/>
      <x:c r="D148" s="223" t="str">
        <x:f>IF(COUNTA(L148:AE148)=0,"",SUMPRODUCT(L148:AE148,'参数'!$C$6:$C$25,'参数'!$D$6:$D$25,INDEX('参数'!$E$6:$J$25,0,MATCH(B148,'参数'!$E$5:$J$5,0)),'参数'!$K$6:$K$25)/SUMPRODUCT('参数'!$C$6:$C$25,'参数'!$D$6:$D$25,INDEX('参数'!$E$6:$J$25,0,MATCH(B148,'参数'!$E$5:$J$5,0)),'参数'!$K$6:$K$25))</x:f>
      </x:c>
      <x:c r="E148" s="223" t="str">
        <x:f>IF(D148="","",SUMPRODUCT(ABS(L148:AE148),'参数'!$C$6:$C$25,'参数'!$D$6:$D$25,INDEX('参数'!$E$6:$J$25,0,MATCH(B148,'参数'!$E$5:$J$5,0)))/SUMPRODUCT('参数'!$C$6:$C$25,'参数'!$D$6:$D$25,INDEX('参数'!$E$6:$J$25,0,MATCH(B148,'参数'!$E$5:$J$5,0))))</x:f>
      </x:c>
      <x:c r="F148" s="194" t="str">
        <x:f>IF(D148="","",IF(D148&gt;='参数'!$B$30,1,IF(D148&lt;=-'参数'!$B$30,-1,0)))</x:f>
      </x:c>
      <x:c r="G148" s="194" t="str">
        <x:f>IF(C148="","",IF(C148&gt;='参数'!$B$37,1,IF(C148&lt;=-'参数'!$B$37,-1,0)))</x:f>
      </x:c>
      <x:c r="H148" s="194" t="str">
        <x:f>IF(OR(F148="",G148=""),"",--(F148=G148))</x:f>
      </x:c>
      <x:c r="I148" s="214" t="str">
        <x:f>IF(D148="","",D148*'参数'!$B$34)</x:f>
      </x:c>
      <x:c r="J148" s="214" t="str">
        <x:f>IF(OR(C148="",I148=""),"",ABS(C148-I148))</x:f>
      </x:c>
      <x:c r="K148" s="194" t="str">
        <x:f>IF(D148="","",IF(MAX(ABS(SUM(L148:M148)),ABS(SUM(N148:P148)),ABS(Q148),ABS(SUM(R148:T148)),ABS(SUM(U148:V148)),ABS(SUM(W148:Y148)),ABS(SUM(Z148:AB148)),ABS(SUM(AC148:AE148)))=ABS(SUM(L148:M148)),"订单流",IF(MAX(ABS(SUM(L148:M148)),ABS(SUM(N148:P148)),ABS(Q148),ABS(SUM(R148:T148)),ABS(SUM(U148:V148)),ABS(SUM(W148:Y148)),ABS(SUM(Z148:AB148)),ABS(SUM(AC148:AE148)))=ABS(SUM(N148:P148)),"流动性",IF(MAX(ABS(SUM(L148:M148)),ABS(SUM(N148:P148)),ABS(Q148),ABS(SUM(R148:T148)),ABS(SUM(U148:V148)),ABS(SUM(W148:Y148)),ABS(SUM(Z148:AB148)),ABS(SUM(AC148:AE148)))=ABS(Q148),"价格行为",IF(MAX(ABS(SUM(L148:M148)),ABS(SUM(N148:P148)),ABS(Q148),ABS(SUM(R148:T148)),ABS(SUM(U148:V148)),ABS(SUM(W148:Y148)),ABS(SUM(Z148:AB148)),ABS(SUM(AC148:AE148)))=ABS(SUM(R148:T148)),"杠杆/清算",IF(MAX(ABS(SUM(L148:M148)),ABS(SUM(N148:P148)),ABS(Q148),ABS(SUM(R148:T148)),ABS(SUM(U148:V148)),ABS(SUM(W148:Y148)),ABS(SUM(Z148:AB148)),ABS(SUM(AC148:AE148)))=ABS(SUM(U148:V148)),"衍生品",IF(MAX(ABS(SUM(L148:M148)),ABS(SUM(N148:P148)),ABS(Q148),ABS(SUM(R148:T148)),ABS(SUM(U148:V148)),ABS(SUM(W148:Y148)),ABS(SUM(Z148:AB148)),ABS(SUM(AC148:AE148)))=ABS(SUM(W148:Y148)),"跨市场",IF(MAX(ABS(SUM(L148:M148)),ABS(SUM(N148:P148)),ABS(Q148),ABS(SUM(R148:T148)),ABS(SUM(U148:V148)),ABS(SUM(W148:Y148)),ABS(SUM(Z148:AB148)),ABS(SUM(AC148:AE148)))=ABS(SUM(Z148:AB148)),"宏观代理","事件"))))))))</x:f>
      </x:c>
      <x:c r="L148" s="198"/>
      <x:c r="M148" s="198"/>
      <x:c r="N148" s="198"/>
      <x:c r="O148" s="198"/>
      <x:c r="P148" s="198"/>
      <x:c r="Q148" s="198"/>
      <x:c r="R148" s="198"/>
      <x:c r="S148" s="198"/>
      <x:c r="T148" s="198"/>
      <x:c r="U148" s="198"/>
      <x:c r="V148" s="198"/>
      <x:c r="W148" s="198"/>
      <x:c r="X148" s="198"/>
      <x:c r="Y148" s="198"/>
      <x:c r="Z148" s="198"/>
      <x:c r="AA148" s="198"/>
      <x:c r="AB148" s="198"/>
      <x:c r="AC148" s="198"/>
      <x:c r="AD148" s="198"/>
      <x:c r="AE148" s="198"/>
      <x:c r="AF148" s="215"/>
    </x:row>
    <x:row r="149">
      <x:c r="A149" s="238"/>
      <x:c r="B149" s="215" t="str">
        <x:v>正常</x:v>
      </x:c>
      <x:c r="C149" s="199"/>
      <x:c r="D149" s="223" t="str">
        <x:f>IF(COUNTA(L149:AE149)=0,"",SUMPRODUCT(L149:AE149,'参数'!$C$6:$C$25,'参数'!$D$6:$D$25,INDEX('参数'!$E$6:$J$25,0,MATCH(B149,'参数'!$E$5:$J$5,0)),'参数'!$K$6:$K$25)/SUMPRODUCT('参数'!$C$6:$C$25,'参数'!$D$6:$D$25,INDEX('参数'!$E$6:$J$25,0,MATCH(B149,'参数'!$E$5:$J$5,0)),'参数'!$K$6:$K$25))</x:f>
      </x:c>
      <x:c r="E149" s="223" t="str">
        <x:f>IF(D149="","",SUMPRODUCT(ABS(L149:AE149),'参数'!$C$6:$C$25,'参数'!$D$6:$D$25,INDEX('参数'!$E$6:$J$25,0,MATCH(B149,'参数'!$E$5:$J$5,0)))/SUMPRODUCT('参数'!$C$6:$C$25,'参数'!$D$6:$D$25,INDEX('参数'!$E$6:$J$25,0,MATCH(B149,'参数'!$E$5:$J$5,0))))</x:f>
      </x:c>
      <x:c r="F149" s="194" t="str">
        <x:f>IF(D149="","",IF(D149&gt;='参数'!$B$30,1,IF(D149&lt;=-'参数'!$B$30,-1,0)))</x:f>
      </x:c>
      <x:c r="G149" s="194" t="str">
        <x:f>IF(C149="","",IF(C149&gt;='参数'!$B$37,1,IF(C149&lt;=-'参数'!$B$37,-1,0)))</x:f>
      </x:c>
      <x:c r="H149" s="194" t="str">
        <x:f>IF(OR(F149="",G149=""),"",--(F149=G149))</x:f>
      </x:c>
      <x:c r="I149" s="214" t="str">
        <x:f>IF(D149="","",D149*'参数'!$B$34)</x:f>
      </x:c>
      <x:c r="J149" s="214" t="str">
        <x:f>IF(OR(C149="",I149=""),"",ABS(C149-I149))</x:f>
      </x:c>
      <x:c r="K149" s="194" t="str">
        <x:f>IF(D149="","",IF(MAX(ABS(SUM(L149:M149)),ABS(SUM(N149:P149)),ABS(Q149),ABS(SUM(R149:T149)),ABS(SUM(U149:V149)),ABS(SUM(W149:Y149)),ABS(SUM(Z149:AB149)),ABS(SUM(AC149:AE149)))=ABS(SUM(L149:M149)),"订单流",IF(MAX(ABS(SUM(L149:M149)),ABS(SUM(N149:P149)),ABS(Q149),ABS(SUM(R149:T149)),ABS(SUM(U149:V149)),ABS(SUM(W149:Y149)),ABS(SUM(Z149:AB149)),ABS(SUM(AC149:AE149)))=ABS(SUM(N149:P149)),"流动性",IF(MAX(ABS(SUM(L149:M149)),ABS(SUM(N149:P149)),ABS(Q149),ABS(SUM(R149:T149)),ABS(SUM(U149:V149)),ABS(SUM(W149:Y149)),ABS(SUM(Z149:AB149)),ABS(SUM(AC149:AE149)))=ABS(Q149),"价格行为",IF(MAX(ABS(SUM(L149:M149)),ABS(SUM(N149:P149)),ABS(Q149),ABS(SUM(R149:T149)),ABS(SUM(U149:V149)),ABS(SUM(W149:Y149)),ABS(SUM(Z149:AB149)),ABS(SUM(AC149:AE149)))=ABS(SUM(R149:T149)),"杠杆/清算",IF(MAX(ABS(SUM(L149:M149)),ABS(SUM(N149:P149)),ABS(Q149),ABS(SUM(R149:T149)),ABS(SUM(U149:V149)),ABS(SUM(W149:Y149)),ABS(SUM(Z149:AB149)),ABS(SUM(AC149:AE149)))=ABS(SUM(U149:V149)),"衍生品",IF(MAX(ABS(SUM(L149:M149)),ABS(SUM(N149:P149)),ABS(Q149),ABS(SUM(R149:T149)),ABS(SUM(U149:V149)),ABS(SUM(W149:Y149)),ABS(SUM(Z149:AB149)),ABS(SUM(AC149:AE149)))=ABS(SUM(W149:Y149)),"跨市场",IF(MAX(ABS(SUM(L149:M149)),ABS(SUM(N149:P149)),ABS(Q149),ABS(SUM(R149:T149)),ABS(SUM(U149:V149)),ABS(SUM(W149:Y149)),ABS(SUM(Z149:AB149)),ABS(SUM(AC149:AE149)))=ABS(SUM(Z149:AB149)),"宏观代理","事件"))))))))</x:f>
      </x:c>
      <x:c r="L149" s="198"/>
      <x:c r="M149" s="198"/>
      <x:c r="N149" s="198"/>
      <x:c r="O149" s="198"/>
      <x:c r="P149" s="198"/>
      <x:c r="Q149" s="198"/>
      <x:c r="R149" s="198"/>
      <x:c r="S149" s="198"/>
      <x:c r="T149" s="198"/>
      <x:c r="U149" s="198"/>
      <x:c r="V149" s="198"/>
      <x:c r="W149" s="198"/>
      <x:c r="X149" s="198"/>
      <x:c r="Y149" s="198"/>
      <x:c r="Z149" s="198"/>
      <x:c r="AA149" s="198"/>
      <x:c r="AB149" s="198"/>
      <x:c r="AC149" s="198"/>
      <x:c r="AD149" s="198"/>
      <x:c r="AE149" s="198"/>
      <x:c r="AF149" s="215"/>
    </x:row>
    <x:row r="150">
      <x:c r="A150" s="238"/>
      <x:c r="B150" s="215" t="str">
        <x:v>正常</x:v>
      </x:c>
      <x:c r="C150" s="199"/>
      <x:c r="D150" s="223" t="str">
        <x:f>IF(COUNTA(L150:AE150)=0,"",SUMPRODUCT(L150:AE150,'参数'!$C$6:$C$25,'参数'!$D$6:$D$25,INDEX('参数'!$E$6:$J$25,0,MATCH(B150,'参数'!$E$5:$J$5,0)),'参数'!$K$6:$K$25)/SUMPRODUCT('参数'!$C$6:$C$25,'参数'!$D$6:$D$25,INDEX('参数'!$E$6:$J$25,0,MATCH(B150,'参数'!$E$5:$J$5,0)),'参数'!$K$6:$K$25))</x:f>
      </x:c>
      <x:c r="E150" s="223" t="str">
        <x:f>IF(D150="","",SUMPRODUCT(ABS(L150:AE150),'参数'!$C$6:$C$25,'参数'!$D$6:$D$25,INDEX('参数'!$E$6:$J$25,0,MATCH(B150,'参数'!$E$5:$J$5,0)))/SUMPRODUCT('参数'!$C$6:$C$25,'参数'!$D$6:$D$25,INDEX('参数'!$E$6:$J$25,0,MATCH(B150,'参数'!$E$5:$J$5,0))))</x:f>
      </x:c>
      <x:c r="F150" s="194" t="str">
        <x:f>IF(D150="","",IF(D150&gt;='参数'!$B$30,1,IF(D150&lt;=-'参数'!$B$30,-1,0)))</x:f>
      </x:c>
      <x:c r="G150" s="194" t="str">
        <x:f>IF(C150="","",IF(C150&gt;='参数'!$B$37,1,IF(C150&lt;=-'参数'!$B$37,-1,0)))</x:f>
      </x:c>
      <x:c r="H150" s="194" t="str">
        <x:f>IF(OR(F150="",G150=""),"",--(F150=G150))</x:f>
      </x:c>
      <x:c r="I150" s="214" t="str">
        <x:f>IF(D150="","",D150*'参数'!$B$34)</x:f>
      </x:c>
      <x:c r="J150" s="214" t="str">
        <x:f>IF(OR(C150="",I150=""),"",ABS(C150-I150))</x:f>
      </x:c>
      <x:c r="K150" s="194" t="str">
        <x:f>IF(D150="","",IF(MAX(ABS(SUM(L150:M150)),ABS(SUM(N150:P150)),ABS(Q150),ABS(SUM(R150:T150)),ABS(SUM(U150:V150)),ABS(SUM(W150:Y150)),ABS(SUM(Z150:AB150)),ABS(SUM(AC150:AE150)))=ABS(SUM(L150:M150)),"订单流",IF(MAX(ABS(SUM(L150:M150)),ABS(SUM(N150:P150)),ABS(Q150),ABS(SUM(R150:T150)),ABS(SUM(U150:V150)),ABS(SUM(W150:Y150)),ABS(SUM(Z150:AB150)),ABS(SUM(AC150:AE150)))=ABS(SUM(N150:P150)),"流动性",IF(MAX(ABS(SUM(L150:M150)),ABS(SUM(N150:P150)),ABS(Q150),ABS(SUM(R150:T150)),ABS(SUM(U150:V150)),ABS(SUM(W150:Y150)),ABS(SUM(Z150:AB150)),ABS(SUM(AC150:AE150)))=ABS(Q150),"价格行为",IF(MAX(ABS(SUM(L150:M150)),ABS(SUM(N150:P150)),ABS(Q150),ABS(SUM(R150:T150)),ABS(SUM(U150:V150)),ABS(SUM(W150:Y150)),ABS(SUM(Z150:AB150)),ABS(SUM(AC150:AE150)))=ABS(SUM(R150:T150)),"杠杆/清算",IF(MAX(ABS(SUM(L150:M150)),ABS(SUM(N150:P150)),ABS(Q150),ABS(SUM(R150:T150)),ABS(SUM(U150:V150)),ABS(SUM(W150:Y150)),ABS(SUM(Z150:AB150)),ABS(SUM(AC150:AE150)))=ABS(SUM(U150:V150)),"衍生品",IF(MAX(ABS(SUM(L150:M150)),ABS(SUM(N150:P150)),ABS(Q150),ABS(SUM(R150:T150)),ABS(SUM(U150:V150)),ABS(SUM(W150:Y150)),ABS(SUM(Z150:AB150)),ABS(SUM(AC150:AE150)))=ABS(SUM(W150:Y150)),"跨市场",IF(MAX(ABS(SUM(L150:M150)),ABS(SUM(N150:P150)),ABS(Q150),ABS(SUM(R150:T150)),ABS(SUM(U150:V150)),ABS(SUM(W150:Y150)),ABS(SUM(Z150:AB150)),ABS(SUM(AC150:AE150)))=ABS(SUM(Z150:AB150)),"宏观代理","事件"))))))))</x:f>
      </x:c>
      <x:c r="L150" s="198"/>
      <x:c r="M150" s="198"/>
      <x:c r="N150" s="198"/>
      <x:c r="O150" s="198"/>
      <x:c r="P150" s="198"/>
      <x:c r="Q150" s="198"/>
      <x:c r="R150" s="198"/>
      <x:c r="S150" s="198"/>
      <x:c r="T150" s="198"/>
      <x:c r="U150" s="198"/>
      <x:c r="V150" s="198"/>
      <x:c r="W150" s="198"/>
      <x:c r="X150" s="198"/>
      <x:c r="Y150" s="198"/>
      <x:c r="Z150" s="198"/>
      <x:c r="AA150" s="198"/>
      <x:c r="AB150" s="198"/>
      <x:c r="AC150" s="198"/>
      <x:c r="AD150" s="198"/>
      <x:c r="AE150" s="198"/>
      <x:c r="AF150" s="215"/>
    </x:row>
    <x:row r="151">
      <x:c r="A151" s="238"/>
      <x:c r="B151" s="215" t="str">
        <x:v>正常</x:v>
      </x:c>
      <x:c r="C151" s="199"/>
      <x:c r="D151" s="223" t="str">
        <x:f>IF(COUNTA(L151:AE151)=0,"",SUMPRODUCT(L151:AE151,'参数'!$C$6:$C$25,'参数'!$D$6:$D$25,INDEX('参数'!$E$6:$J$25,0,MATCH(B151,'参数'!$E$5:$J$5,0)),'参数'!$K$6:$K$25)/SUMPRODUCT('参数'!$C$6:$C$25,'参数'!$D$6:$D$25,INDEX('参数'!$E$6:$J$25,0,MATCH(B151,'参数'!$E$5:$J$5,0)),'参数'!$K$6:$K$25))</x:f>
      </x:c>
      <x:c r="E151" s="223" t="str">
        <x:f>IF(D151="","",SUMPRODUCT(ABS(L151:AE151),'参数'!$C$6:$C$25,'参数'!$D$6:$D$25,INDEX('参数'!$E$6:$J$25,0,MATCH(B151,'参数'!$E$5:$J$5,0)))/SUMPRODUCT('参数'!$C$6:$C$25,'参数'!$D$6:$D$25,INDEX('参数'!$E$6:$J$25,0,MATCH(B151,'参数'!$E$5:$J$5,0))))</x:f>
      </x:c>
      <x:c r="F151" s="194" t="str">
        <x:f>IF(D151="","",IF(D151&gt;='参数'!$B$30,1,IF(D151&lt;=-'参数'!$B$30,-1,0)))</x:f>
      </x:c>
      <x:c r="G151" s="194" t="str">
        <x:f>IF(C151="","",IF(C151&gt;='参数'!$B$37,1,IF(C151&lt;=-'参数'!$B$37,-1,0)))</x:f>
      </x:c>
      <x:c r="H151" s="194" t="str">
        <x:f>IF(OR(F151="",G151=""),"",--(F151=G151))</x:f>
      </x:c>
      <x:c r="I151" s="214" t="str">
        <x:f>IF(D151="","",D151*'参数'!$B$34)</x:f>
      </x:c>
      <x:c r="J151" s="214" t="str">
        <x:f>IF(OR(C151="",I151=""),"",ABS(C151-I151))</x:f>
      </x:c>
      <x:c r="K151" s="194" t="str">
        <x:f>IF(D151="","",IF(MAX(ABS(SUM(L151:M151)),ABS(SUM(N151:P151)),ABS(Q151),ABS(SUM(R151:T151)),ABS(SUM(U151:V151)),ABS(SUM(W151:Y151)),ABS(SUM(Z151:AB151)),ABS(SUM(AC151:AE151)))=ABS(SUM(L151:M151)),"订单流",IF(MAX(ABS(SUM(L151:M151)),ABS(SUM(N151:P151)),ABS(Q151),ABS(SUM(R151:T151)),ABS(SUM(U151:V151)),ABS(SUM(W151:Y151)),ABS(SUM(Z151:AB151)),ABS(SUM(AC151:AE151)))=ABS(SUM(N151:P151)),"流动性",IF(MAX(ABS(SUM(L151:M151)),ABS(SUM(N151:P151)),ABS(Q151),ABS(SUM(R151:T151)),ABS(SUM(U151:V151)),ABS(SUM(W151:Y151)),ABS(SUM(Z151:AB151)),ABS(SUM(AC151:AE151)))=ABS(Q151),"价格行为",IF(MAX(ABS(SUM(L151:M151)),ABS(SUM(N151:P151)),ABS(Q151),ABS(SUM(R151:T151)),ABS(SUM(U151:V151)),ABS(SUM(W151:Y151)),ABS(SUM(Z151:AB151)),ABS(SUM(AC151:AE151)))=ABS(SUM(R151:T151)),"杠杆/清算",IF(MAX(ABS(SUM(L151:M151)),ABS(SUM(N151:P151)),ABS(Q151),ABS(SUM(R151:T151)),ABS(SUM(U151:V151)),ABS(SUM(W151:Y151)),ABS(SUM(Z151:AB151)),ABS(SUM(AC151:AE151)))=ABS(SUM(U151:V151)),"衍生品",IF(MAX(ABS(SUM(L151:M151)),ABS(SUM(N151:P151)),ABS(Q151),ABS(SUM(R151:T151)),ABS(SUM(U151:V151)),ABS(SUM(W151:Y151)),ABS(SUM(Z151:AB151)),ABS(SUM(AC151:AE151)))=ABS(SUM(W151:Y151)),"跨市场",IF(MAX(ABS(SUM(L151:M151)),ABS(SUM(N151:P151)),ABS(Q151),ABS(SUM(R151:T151)),ABS(SUM(U151:V151)),ABS(SUM(W151:Y151)),ABS(SUM(Z151:AB151)),ABS(SUM(AC151:AE151)))=ABS(SUM(Z151:AB151)),"宏观代理","事件"))))))))</x:f>
      </x:c>
      <x:c r="L151" s="198"/>
      <x:c r="M151" s="198"/>
      <x:c r="N151" s="198"/>
      <x:c r="O151" s="198"/>
      <x:c r="P151" s="198"/>
      <x:c r="Q151" s="198"/>
      <x:c r="R151" s="198"/>
      <x:c r="S151" s="198"/>
      <x:c r="T151" s="198"/>
      <x:c r="U151" s="198"/>
      <x:c r="V151" s="198"/>
      <x:c r="W151" s="198"/>
      <x:c r="X151" s="198"/>
      <x:c r="Y151" s="198"/>
      <x:c r="Z151" s="198"/>
      <x:c r="AA151" s="198"/>
      <x:c r="AB151" s="198"/>
      <x:c r="AC151" s="198"/>
      <x:c r="AD151" s="198"/>
      <x:c r="AE151" s="198"/>
      <x:c r="AF151" s="215"/>
    </x:row>
    <x:row r="152">
      <x:c r="A152" s="238"/>
      <x:c r="B152" s="215" t="str">
        <x:v>正常</x:v>
      </x:c>
      <x:c r="C152" s="199"/>
      <x:c r="D152" s="223" t="str">
        <x:f>IF(COUNTA(L152:AE152)=0,"",SUMPRODUCT(L152:AE152,'参数'!$C$6:$C$25,'参数'!$D$6:$D$25,INDEX('参数'!$E$6:$J$25,0,MATCH(B152,'参数'!$E$5:$J$5,0)),'参数'!$K$6:$K$25)/SUMPRODUCT('参数'!$C$6:$C$25,'参数'!$D$6:$D$25,INDEX('参数'!$E$6:$J$25,0,MATCH(B152,'参数'!$E$5:$J$5,0)),'参数'!$K$6:$K$25))</x:f>
      </x:c>
      <x:c r="E152" s="223" t="str">
        <x:f>IF(D152="","",SUMPRODUCT(ABS(L152:AE152),'参数'!$C$6:$C$25,'参数'!$D$6:$D$25,INDEX('参数'!$E$6:$J$25,0,MATCH(B152,'参数'!$E$5:$J$5,0)))/SUMPRODUCT('参数'!$C$6:$C$25,'参数'!$D$6:$D$25,INDEX('参数'!$E$6:$J$25,0,MATCH(B152,'参数'!$E$5:$J$5,0))))</x:f>
      </x:c>
      <x:c r="F152" s="194" t="str">
        <x:f>IF(D152="","",IF(D152&gt;='参数'!$B$30,1,IF(D152&lt;=-'参数'!$B$30,-1,0)))</x:f>
      </x:c>
      <x:c r="G152" s="194" t="str">
        <x:f>IF(C152="","",IF(C152&gt;='参数'!$B$37,1,IF(C152&lt;=-'参数'!$B$37,-1,0)))</x:f>
      </x:c>
      <x:c r="H152" s="194" t="str">
        <x:f>IF(OR(F152="",G152=""),"",--(F152=G152))</x:f>
      </x:c>
      <x:c r="I152" s="214" t="str">
        <x:f>IF(D152="","",D152*'参数'!$B$34)</x:f>
      </x:c>
      <x:c r="J152" s="214" t="str">
        <x:f>IF(OR(C152="",I152=""),"",ABS(C152-I152))</x:f>
      </x:c>
      <x:c r="K152" s="194" t="str">
        <x:f>IF(D152="","",IF(MAX(ABS(SUM(L152:M152)),ABS(SUM(N152:P152)),ABS(Q152),ABS(SUM(R152:T152)),ABS(SUM(U152:V152)),ABS(SUM(W152:Y152)),ABS(SUM(Z152:AB152)),ABS(SUM(AC152:AE152)))=ABS(SUM(L152:M152)),"订单流",IF(MAX(ABS(SUM(L152:M152)),ABS(SUM(N152:P152)),ABS(Q152),ABS(SUM(R152:T152)),ABS(SUM(U152:V152)),ABS(SUM(W152:Y152)),ABS(SUM(Z152:AB152)),ABS(SUM(AC152:AE152)))=ABS(SUM(N152:P152)),"流动性",IF(MAX(ABS(SUM(L152:M152)),ABS(SUM(N152:P152)),ABS(Q152),ABS(SUM(R152:T152)),ABS(SUM(U152:V152)),ABS(SUM(W152:Y152)),ABS(SUM(Z152:AB152)),ABS(SUM(AC152:AE152)))=ABS(Q152),"价格行为",IF(MAX(ABS(SUM(L152:M152)),ABS(SUM(N152:P152)),ABS(Q152),ABS(SUM(R152:T152)),ABS(SUM(U152:V152)),ABS(SUM(W152:Y152)),ABS(SUM(Z152:AB152)),ABS(SUM(AC152:AE152)))=ABS(SUM(R152:T152)),"杠杆/清算",IF(MAX(ABS(SUM(L152:M152)),ABS(SUM(N152:P152)),ABS(Q152),ABS(SUM(R152:T152)),ABS(SUM(U152:V152)),ABS(SUM(W152:Y152)),ABS(SUM(Z152:AB152)),ABS(SUM(AC152:AE152)))=ABS(SUM(U152:V152)),"衍生品",IF(MAX(ABS(SUM(L152:M152)),ABS(SUM(N152:P152)),ABS(Q152),ABS(SUM(R152:T152)),ABS(SUM(U152:V152)),ABS(SUM(W152:Y152)),ABS(SUM(Z152:AB152)),ABS(SUM(AC152:AE152)))=ABS(SUM(W152:Y152)),"跨市场",IF(MAX(ABS(SUM(L152:M152)),ABS(SUM(N152:P152)),ABS(Q152),ABS(SUM(R152:T152)),ABS(SUM(U152:V152)),ABS(SUM(W152:Y152)),ABS(SUM(Z152:AB152)),ABS(SUM(AC152:AE152)))=ABS(SUM(Z152:AB152)),"宏观代理","事件"))))))))</x:f>
      </x:c>
      <x:c r="L152" s="198"/>
      <x:c r="M152" s="198"/>
      <x:c r="N152" s="198"/>
      <x:c r="O152" s="198"/>
      <x:c r="P152" s="198"/>
      <x:c r="Q152" s="198"/>
      <x:c r="R152" s="198"/>
      <x:c r="S152" s="198"/>
      <x:c r="T152" s="198"/>
      <x:c r="U152" s="198"/>
      <x:c r="V152" s="198"/>
      <x:c r="W152" s="198"/>
      <x:c r="X152" s="198"/>
      <x:c r="Y152" s="198"/>
      <x:c r="Z152" s="198"/>
      <x:c r="AA152" s="198"/>
      <x:c r="AB152" s="198"/>
      <x:c r="AC152" s="198"/>
      <x:c r="AD152" s="198"/>
      <x:c r="AE152" s="198"/>
      <x:c r="AF152" s="215"/>
    </x:row>
    <x:row r="153">
      <x:c r="A153" s="238"/>
      <x:c r="B153" s="215" t="str">
        <x:v>正常</x:v>
      </x:c>
      <x:c r="C153" s="199"/>
      <x:c r="D153" s="223" t="str">
        <x:f>IF(COUNTA(L153:AE153)=0,"",SUMPRODUCT(L153:AE153,'参数'!$C$6:$C$25,'参数'!$D$6:$D$25,INDEX('参数'!$E$6:$J$25,0,MATCH(B153,'参数'!$E$5:$J$5,0)),'参数'!$K$6:$K$25)/SUMPRODUCT('参数'!$C$6:$C$25,'参数'!$D$6:$D$25,INDEX('参数'!$E$6:$J$25,0,MATCH(B153,'参数'!$E$5:$J$5,0)),'参数'!$K$6:$K$25))</x:f>
      </x:c>
      <x:c r="E153" s="223" t="str">
        <x:f>IF(D153="","",SUMPRODUCT(ABS(L153:AE153),'参数'!$C$6:$C$25,'参数'!$D$6:$D$25,INDEX('参数'!$E$6:$J$25,0,MATCH(B153,'参数'!$E$5:$J$5,0)))/SUMPRODUCT('参数'!$C$6:$C$25,'参数'!$D$6:$D$25,INDEX('参数'!$E$6:$J$25,0,MATCH(B153,'参数'!$E$5:$J$5,0))))</x:f>
      </x:c>
      <x:c r="F153" s="194" t="str">
        <x:f>IF(D153="","",IF(D153&gt;='参数'!$B$30,1,IF(D153&lt;=-'参数'!$B$30,-1,0)))</x:f>
      </x:c>
      <x:c r="G153" s="194" t="str">
        <x:f>IF(C153="","",IF(C153&gt;='参数'!$B$37,1,IF(C153&lt;=-'参数'!$B$37,-1,0)))</x:f>
      </x:c>
      <x:c r="H153" s="194" t="str">
        <x:f>IF(OR(F153="",G153=""),"",--(F153=G153))</x:f>
      </x:c>
      <x:c r="I153" s="214" t="str">
        <x:f>IF(D153="","",D153*'参数'!$B$34)</x:f>
      </x:c>
      <x:c r="J153" s="214" t="str">
        <x:f>IF(OR(C153="",I153=""),"",ABS(C153-I153))</x:f>
      </x:c>
      <x:c r="K153" s="194" t="str">
        <x:f>IF(D153="","",IF(MAX(ABS(SUM(L153:M153)),ABS(SUM(N153:P153)),ABS(Q153),ABS(SUM(R153:T153)),ABS(SUM(U153:V153)),ABS(SUM(W153:Y153)),ABS(SUM(Z153:AB153)),ABS(SUM(AC153:AE153)))=ABS(SUM(L153:M153)),"订单流",IF(MAX(ABS(SUM(L153:M153)),ABS(SUM(N153:P153)),ABS(Q153),ABS(SUM(R153:T153)),ABS(SUM(U153:V153)),ABS(SUM(W153:Y153)),ABS(SUM(Z153:AB153)),ABS(SUM(AC153:AE153)))=ABS(SUM(N153:P153)),"流动性",IF(MAX(ABS(SUM(L153:M153)),ABS(SUM(N153:P153)),ABS(Q153),ABS(SUM(R153:T153)),ABS(SUM(U153:V153)),ABS(SUM(W153:Y153)),ABS(SUM(Z153:AB153)),ABS(SUM(AC153:AE153)))=ABS(Q153),"价格行为",IF(MAX(ABS(SUM(L153:M153)),ABS(SUM(N153:P153)),ABS(Q153),ABS(SUM(R153:T153)),ABS(SUM(U153:V153)),ABS(SUM(W153:Y153)),ABS(SUM(Z153:AB153)),ABS(SUM(AC153:AE153)))=ABS(SUM(R153:T153)),"杠杆/清算",IF(MAX(ABS(SUM(L153:M153)),ABS(SUM(N153:P153)),ABS(Q153),ABS(SUM(R153:T153)),ABS(SUM(U153:V153)),ABS(SUM(W153:Y153)),ABS(SUM(Z153:AB153)),ABS(SUM(AC153:AE153)))=ABS(SUM(U153:V153)),"衍生品",IF(MAX(ABS(SUM(L153:M153)),ABS(SUM(N153:P153)),ABS(Q153),ABS(SUM(R153:T153)),ABS(SUM(U153:V153)),ABS(SUM(W153:Y153)),ABS(SUM(Z153:AB153)),ABS(SUM(AC153:AE153)))=ABS(SUM(W153:Y153)),"跨市场",IF(MAX(ABS(SUM(L153:M153)),ABS(SUM(N153:P153)),ABS(Q153),ABS(SUM(R153:T153)),ABS(SUM(U153:V153)),ABS(SUM(W153:Y153)),ABS(SUM(Z153:AB153)),ABS(SUM(AC153:AE153)))=ABS(SUM(Z153:AB153)),"宏观代理","事件"))))))))</x:f>
      </x:c>
      <x:c r="L153" s="198"/>
      <x:c r="M153" s="198"/>
      <x:c r="N153" s="198"/>
      <x:c r="O153" s="198"/>
      <x:c r="P153" s="198"/>
      <x:c r="Q153" s="198"/>
      <x:c r="R153" s="198"/>
      <x:c r="S153" s="198"/>
      <x:c r="T153" s="198"/>
      <x:c r="U153" s="198"/>
      <x:c r="V153" s="198"/>
      <x:c r="W153" s="198"/>
      <x:c r="X153" s="198"/>
      <x:c r="Y153" s="198"/>
      <x:c r="Z153" s="198"/>
      <x:c r="AA153" s="198"/>
      <x:c r="AB153" s="198"/>
      <x:c r="AC153" s="198"/>
      <x:c r="AD153" s="198"/>
      <x:c r="AE153" s="198"/>
      <x:c r="AF153" s="215"/>
    </x:row>
    <x:row r="154">
      <x:c r="A154" s="238"/>
      <x:c r="B154" s="215" t="str">
        <x:v>正常</x:v>
      </x:c>
      <x:c r="C154" s="199"/>
      <x:c r="D154" s="223" t="str">
        <x:f>IF(COUNTA(L154:AE154)=0,"",SUMPRODUCT(L154:AE154,'参数'!$C$6:$C$25,'参数'!$D$6:$D$25,INDEX('参数'!$E$6:$J$25,0,MATCH(B154,'参数'!$E$5:$J$5,0)),'参数'!$K$6:$K$25)/SUMPRODUCT('参数'!$C$6:$C$25,'参数'!$D$6:$D$25,INDEX('参数'!$E$6:$J$25,0,MATCH(B154,'参数'!$E$5:$J$5,0)),'参数'!$K$6:$K$25))</x:f>
      </x:c>
      <x:c r="E154" s="223" t="str">
        <x:f>IF(D154="","",SUMPRODUCT(ABS(L154:AE154),'参数'!$C$6:$C$25,'参数'!$D$6:$D$25,INDEX('参数'!$E$6:$J$25,0,MATCH(B154,'参数'!$E$5:$J$5,0)))/SUMPRODUCT('参数'!$C$6:$C$25,'参数'!$D$6:$D$25,INDEX('参数'!$E$6:$J$25,0,MATCH(B154,'参数'!$E$5:$J$5,0))))</x:f>
      </x:c>
      <x:c r="F154" s="194" t="str">
        <x:f>IF(D154="","",IF(D154&gt;='参数'!$B$30,1,IF(D154&lt;=-'参数'!$B$30,-1,0)))</x:f>
      </x:c>
      <x:c r="G154" s="194" t="str">
        <x:f>IF(C154="","",IF(C154&gt;='参数'!$B$37,1,IF(C154&lt;=-'参数'!$B$37,-1,0)))</x:f>
      </x:c>
      <x:c r="H154" s="194" t="str">
        <x:f>IF(OR(F154="",G154=""),"",--(F154=G154))</x:f>
      </x:c>
      <x:c r="I154" s="214" t="str">
        <x:f>IF(D154="","",D154*'参数'!$B$34)</x:f>
      </x:c>
      <x:c r="J154" s="214" t="str">
        <x:f>IF(OR(C154="",I154=""),"",ABS(C154-I154))</x:f>
      </x:c>
      <x:c r="K154" s="194" t="str">
        <x:f>IF(D154="","",IF(MAX(ABS(SUM(L154:M154)),ABS(SUM(N154:P154)),ABS(Q154),ABS(SUM(R154:T154)),ABS(SUM(U154:V154)),ABS(SUM(W154:Y154)),ABS(SUM(Z154:AB154)),ABS(SUM(AC154:AE154)))=ABS(SUM(L154:M154)),"订单流",IF(MAX(ABS(SUM(L154:M154)),ABS(SUM(N154:P154)),ABS(Q154),ABS(SUM(R154:T154)),ABS(SUM(U154:V154)),ABS(SUM(W154:Y154)),ABS(SUM(Z154:AB154)),ABS(SUM(AC154:AE154)))=ABS(SUM(N154:P154)),"流动性",IF(MAX(ABS(SUM(L154:M154)),ABS(SUM(N154:P154)),ABS(Q154),ABS(SUM(R154:T154)),ABS(SUM(U154:V154)),ABS(SUM(W154:Y154)),ABS(SUM(Z154:AB154)),ABS(SUM(AC154:AE154)))=ABS(Q154),"价格行为",IF(MAX(ABS(SUM(L154:M154)),ABS(SUM(N154:P154)),ABS(Q154),ABS(SUM(R154:T154)),ABS(SUM(U154:V154)),ABS(SUM(W154:Y154)),ABS(SUM(Z154:AB154)),ABS(SUM(AC154:AE154)))=ABS(SUM(R154:T154)),"杠杆/清算",IF(MAX(ABS(SUM(L154:M154)),ABS(SUM(N154:P154)),ABS(Q154),ABS(SUM(R154:T154)),ABS(SUM(U154:V154)),ABS(SUM(W154:Y154)),ABS(SUM(Z154:AB154)),ABS(SUM(AC154:AE154)))=ABS(SUM(U154:V154)),"衍生品",IF(MAX(ABS(SUM(L154:M154)),ABS(SUM(N154:P154)),ABS(Q154),ABS(SUM(R154:T154)),ABS(SUM(U154:V154)),ABS(SUM(W154:Y154)),ABS(SUM(Z154:AB154)),ABS(SUM(AC154:AE154)))=ABS(SUM(W154:Y154)),"跨市场",IF(MAX(ABS(SUM(L154:M154)),ABS(SUM(N154:P154)),ABS(Q154),ABS(SUM(R154:T154)),ABS(SUM(U154:V154)),ABS(SUM(W154:Y154)),ABS(SUM(Z154:AB154)),ABS(SUM(AC154:AE154)))=ABS(SUM(Z154:AB154)),"宏观代理","事件"))))))))</x:f>
      </x:c>
      <x:c r="L154" s="198"/>
      <x:c r="M154" s="198"/>
      <x:c r="N154" s="198"/>
      <x:c r="O154" s="198"/>
      <x:c r="P154" s="198"/>
      <x:c r="Q154" s="198"/>
      <x:c r="R154" s="198"/>
      <x:c r="S154" s="198"/>
      <x:c r="T154" s="198"/>
      <x:c r="U154" s="198"/>
      <x:c r="V154" s="198"/>
      <x:c r="W154" s="198"/>
      <x:c r="X154" s="198"/>
      <x:c r="Y154" s="198"/>
      <x:c r="Z154" s="198"/>
      <x:c r="AA154" s="198"/>
      <x:c r="AB154" s="198"/>
      <x:c r="AC154" s="198"/>
      <x:c r="AD154" s="198"/>
      <x:c r="AE154" s="198"/>
      <x:c r="AF154" s="215"/>
    </x:row>
    <x:row r="155">
      <x:c r="A155" s="238"/>
      <x:c r="B155" s="215" t="str">
        <x:v>正常</x:v>
      </x:c>
      <x:c r="C155" s="199"/>
      <x:c r="D155" s="223" t="str">
        <x:f>IF(COUNTA(L155:AE155)=0,"",SUMPRODUCT(L155:AE155,'参数'!$C$6:$C$25,'参数'!$D$6:$D$25,INDEX('参数'!$E$6:$J$25,0,MATCH(B155,'参数'!$E$5:$J$5,0)),'参数'!$K$6:$K$25)/SUMPRODUCT('参数'!$C$6:$C$25,'参数'!$D$6:$D$25,INDEX('参数'!$E$6:$J$25,0,MATCH(B155,'参数'!$E$5:$J$5,0)),'参数'!$K$6:$K$25))</x:f>
      </x:c>
      <x:c r="E155" s="223" t="str">
        <x:f>IF(D155="","",SUMPRODUCT(ABS(L155:AE155),'参数'!$C$6:$C$25,'参数'!$D$6:$D$25,INDEX('参数'!$E$6:$J$25,0,MATCH(B155,'参数'!$E$5:$J$5,0)))/SUMPRODUCT('参数'!$C$6:$C$25,'参数'!$D$6:$D$25,INDEX('参数'!$E$6:$J$25,0,MATCH(B155,'参数'!$E$5:$J$5,0))))</x:f>
      </x:c>
      <x:c r="F155" s="194" t="str">
        <x:f>IF(D155="","",IF(D155&gt;='参数'!$B$30,1,IF(D155&lt;=-'参数'!$B$30,-1,0)))</x:f>
      </x:c>
      <x:c r="G155" s="194" t="str">
        <x:f>IF(C155="","",IF(C155&gt;='参数'!$B$37,1,IF(C155&lt;=-'参数'!$B$37,-1,0)))</x:f>
      </x:c>
      <x:c r="H155" s="194" t="str">
        <x:f>IF(OR(F155="",G155=""),"",--(F155=G155))</x:f>
      </x:c>
      <x:c r="I155" s="214" t="str">
        <x:f>IF(D155="","",D155*'参数'!$B$34)</x:f>
      </x:c>
      <x:c r="J155" s="214" t="str">
        <x:f>IF(OR(C155="",I155=""),"",ABS(C155-I155))</x:f>
      </x:c>
      <x:c r="K155" s="194" t="str">
        <x:f>IF(D155="","",IF(MAX(ABS(SUM(L155:M155)),ABS(SUM(N155:P155)),ABS(Q155),ABS(SUM(R155:T155)),ABS(SUM(U155:V155)),ABS(SUM(W155:Y155)),ABS(SUM(Z155:AB155)),ABS(SUM(AC155:AE155)))=ABS(SUM(L155:M155)),"订单流",IF(MAX(ABS(SUM(L155:M155)),ABS(SUM(N155:P155)),ABS(Q155),ABS(SUM(R155:T155)),ABS(SUM(U155:V155)),ABS(SUM(W155:Y155)),ABS(SUM(Z155:AB155)),ABS(SUM(AC155:AE155)))=ABS(SUM(N155:P155)),"流动性",IF(MAX(ABS(SUM(L155:M155)),ABS(SUM(N155:P155)),ABS(Q155),ABS(SUM(R155:T155)),ABS(SUM(U155:V155)),ABS(SUM(W155:Y155)),ABS(SUM(Z155:AB155)),ABS(SUM(AC155:AE155)))=ABS(Q155),"价格行为",IF(MAX(ABS(SUM(L155:M155)),ABS(SUM(N155:P155)),ABS(Q155),ABS(SUM(R155:T155)),ABS(SUM(U155:V155)),ABS(SUM(W155:Y155)),ABS(SUM(Z155:AB155)),ABS(SUM(AC155:AE155)))=ABS(SUM(R155:T155)),"杠杆/清算",IF(MAX(ABS(SUM(L155:M155)),ABS(SUM(N155:P155)),ABS(Q155),ABS(SUM(R155:T155)),ABS(SUM(U155:V155)),ABS(SUM(W155:Y155)),ABS(SUM(Z155:AB155)),ABS(SUM(AC155:AE155)))=ABS(SUM(U155:V155)),"衍生品",IF(MAX(ABS(SUM(L155:M155)),ABS(SUM(N155:P155)),ABS(Q155),ABS(SUM(R155:T155)),ABS(SUM(U155:V155)),ABS(SUM(W155:Y155)),ABS(SUM(Z155:AB155)),ABS(SUM(AC155:AE155)))=ABS(SUM(W155:Y155)),"跨市场",IF(MAX(ABS(SUM(L155:M155)),ABS(SUM(N155:P155)),ABS(Q155),ABS(SUM(R155:T155)),ABS(SUM(U155:V155)),ABS(SUM(W155:Y155)),ABS(SUM(Z155:AB155)),ABS(SUM(AC155:AE155)))=ABS(SUM(Z155:AB155)),"宏观代理","事件"))))))))</x:f>
      </x:c>
      <x:c r="L155" s="198"/>
      <x:c r="M155" s="198"/>
      <x:c r="N155" s="198"/>
      <x:c r="O155" s="198"/>
      <x:c r="P155" s="198"/>
      <x:c r="Q155" s="198"/>
      <x:c r="R155" s="198"/>
      <x:c r="S155" s="198"/>
      <x:c r="T155" s="198"/>
      <x:c r="U155" s="198"/>
      <x:c r="V155" s="198"/>
      <x:c r="W155" s="198"/>
      <x:c r="X155" s="198"/>
      <x:c r="Y155" s="198"/>
      <x:c r="Z155" s="198"/>
      <x:c r="AA155" s="198"/>
      <x:c r="AB155" s="198"/>
      <x:c r="AC155" s="198"/>
      <x:c r="AD155" s="198"/>
      <x:c r="AE155" s="198"/>
      <x:c r="AF155" s="215"/>
    </x:row>
    <x:row r="156">
      <x:c r="A156" s="238"/>
      <x:c r="B156" s="215" t="str">
        <x:v>正常</x:v>
      </x:c>
      <x:c r="C156" s="199"/>
      <x:c r="D156" s="223" t="str">
        <x:f>IF(COUNTA(L156:AE156)=0,"",SUMPRODUCT(L156:AE156,'参数'!$C$6:$C$25,'参数'!$D$6:$D$25,INDEX('参数'!$E$6:$J$25,0,MATCH(B156,'参数'!$E$5:$J$5,0)),'参数'!$K$6:$K$25)/SUMPRODUCT('参数'!$C$6:$C$25,'参数'!$D$6:$D$25,INDEX('参数'!$E$6:$J$25,0,MATCH(B156,'参数'!$E$5:$J$5,0)),'参数'!$K$6:$K$25))</x:f>
      </x:c>
      <x:c r="E156" s="223" t="str">
        <x:f>IF(D156="","",SUMPRODUCT(ABS(L156:AE156),'参数'!$C$6:$C$25,'参数'!$D$6:$D$25,INDEX('参数'!$E$6:$J$25,0,MATCH(B156,'参数'!$E$5:$J$5,0)))/SUMPRODUCT('参数'!$C$6:$C$25,'参数'!$D$6:$D$25,INDEX('参数'!$E$6:$J$25,0,MATCH(B156,'参数'!$E$5:$J$5,0))))</x:f>
      </x:c>
      <x:c r="F156" s="194" t="str">
        <x:f>IF(D156="","",IF(D156&gt;='参数'!$B$30,1,IF(D156&lt;=-'参数'!$B$30,-1,0)))</x:f>
      </x:c>
      <x:c r="G156" s="194" t="str">
        <x:f>IF(C156="","",IF(C156&gt;='参数'!$B$37,1,IF(C156&lt;=-'参数'!$B$37,-1,0)))</x:f>
      </x:c>
      <x:c r="H156" s="194" t="str">
        <x:f>IF(OR(F156="",G156=""),"",--(F156=G156))</x:f>
      </x:c>
      <x:c r="I156" s="214" t="str">
        <x:f>IF(D156="","",D156*'参数'!$B$34)</x:f>
      </x:c>
      <x:c r="J156" s="214" t="str">
        <x:f>IF(OR(C156="",I156=""),"",ABS(C156-I156))</x:f>
      </x:c>
      <x:c r="K156" s="194" t="str">
        <x:f>IF(D156="","",IF(MAX(ABS(SUM(L156:M156)),ABS(SUM(N156:P156)),ABS(Q156),ABS(SUM(R156:T156)),ABS(SUM(U156:V156)),ABS(SUM(W156:Y156)),ABS(SUM(Z156:AB156)),ABS(SUM(AC156:AE156)))=ABS(SUM(L156:M156)),"订单流",IF(MAX(ABS(SUM(L156:M156)),ABS(SUM(N156:P156)),ABS(Q156),ABS(SUM(R156:T156)),ABS(SUM(U156:V156)),ABS(SUM(W156:Y156)),ABS(SUM(Z156:AB156)),ABS(SUM(AC156:AE156)))=ABS(SUM(N156:P156)),"流动性",IF(MAX(ABS(SUM(L156:M156)),ABS(SUM(N156:P156)),ABS(Q156),ABS(SUM(R156:T156)),ABS(SUM(U156:V156)),ABS(SUM(W156:Y156)),ABS(SUM(Z156:AB156)),ABS(SUM(AC156:AE156)))=ABS(Q156),"价格行为",IF(MAX(ABS(SUM(L156:M156)),ABS(SUM(N156:P156)),ABS(Q156),ABS(SUM(R156:T156)),ABS(SUM(U156:V156)),ABS(SUM(W156:Y156)),ABS(SUM(Z156:AB156)),ABS(SUM(AC156:AE156)))=ABS(SUM(R156:T156)),"杠杆/清算",IF(MAX(ABS(SUM(L156:M156)),ABS(SUM(N156:P156)),ABS(Q156),ABS(SUM(R156:T156)),ABS(SUM(U156:V156)),ABS(SUM(W156:Y156)),ABS(SUM(Z156:AB156)),ABS(SUM(AC156:AE156)))=ABS(SUM(U156:V156)),"衍生品",IF(MAX(ABS(SUM(L156:M156)),ABS(SUM(N156:P156)),ABS(Q156),ABS(SUM(R156:T156)),ABS(SUM(U156:V156)),ABS(SUM(W156:Y156)),ABS(SUM(Z156:AB156)),ABS(SUM(AC156:AE156)))=ABS(SUM(W156:Y156)),"跨市场",IF(MAX(ABS(SUM(L156:M156)),ABS(SUM(N156:P156)),ABS(Q156),ABS(SUM(R156:T156)),ABS(SUM(U156:V156)),ABS(SUM(W156:Y156)),ABS(SUM(Z156:AB156)),ABS(SUM(AC156:AE156)))=ABS(SUM(Z156:AB156)),"宏观代理","事件"))))))))</x:f>
      </x:c>
      <x:c r="L156" s="198"/>
      <x:c r="M156" s="198"/>
      <x:c r="N156" s="198"/>
      <x:c r="O156" s="198"/>
      <x:c r="P156" s="198"/>
      <x:c r="Q156" s="198"/>
      <x:c r="R156" s="198"/>
      <x:c r="S156" s="198"/>
      <x:c r="T156" s="198"/>
      <x:c r="U156" s="198"/>
      <x:c r="V156" s="198"/>
      <x:c r="W156" s="198"/>
      <x:c r="X156" s="198"/>
      <x:c r="Y156" s="198"/>
      <x:c r="Z156" s="198"/>
      <x:c r="AA156" s="198"/>
      <x:c r="AB156" s="198"/>
      <x:c r="AC156" s="198"/>
      <x:c r="AD156" s="198"/>
      <x:c r="AE156" s="198"/>
      <x:c r="AF156" s="215"/>
    </x:row>
    <x:row r="157">
      <x:c r="A157" s="238"/>
      <x:c r="B157" s="215" t="str">
        <x:v>正常</x:v>
      </x:c>
      <x:c r="C157" s="199"/>
      <x:c r="D157" s="223" t="str">
        <x:f>IF(COUNTA(L157:AE157)=0,"",SUMPRODUCT(L157:AE157,'参数'!$C$6:$C$25,'参数'!$D$6:$D$25,INDEX('参数'!$E$6:$J$25,0,MATCH(B157,'参数'!$E$5:$J$5,0)),'参数'!$K$6:$K$25)/SUMPRODUCT('参数'!$C$6:$C$25,'参数'!$D$6:$D$25,INDEX('参数'!$E$6:$J$25,0,MATCH(B157,'参数'!$E$5:$J$5,0)),'参数'!$K$6:$K$25))</x:f>
      </x:c>
      <x:c r="E157" s="223" t="str">
        <x:f>IF(D157="","",SUMPRODUCT(ABS(L157:AE157),'参数'!$C$6:$C$25,'参数'!$D$6:$D$25,INDEX('参数'!$E$6:$J$25,0,MATCH(B157,'参数'!$E$5:$J$5,0)))/SUMPRODUCT('参数'!$C$6:$C$25,'参数'!$D$6:$D$25,INDEX('参数'!$E$6:$J$25,0,MATCH(B157,'参数'!$E$5:$J$5,0))))</x:f>
      </x:c>
      <x:c r="F157" s="194" t="str">
        <x:f>IF(D157="","",IF(D157&gt;='参数'!$B$30,1,IF(D157&lt;=-'参数'!$B$30,-1,0)))</x:f>
      </x:c>
      <x:c r="G157" s="194" t="str">
        <x:f>IF(C157="","",IF(C157&gt;='参数'!$B$37,1,IF(C157&lt;=-'参数'!$B$37,-1,0)))</x:f>
      </x:c>
      <x:c r="H157" s="194" t="str">
        <x:f>IF(OR(F157="",G157=""),"",--(F157=G157))</x:f>
      </x:c>
      <x:c r="I157" s="214" t="str">
        <x:f>IF(D157="","",D157*'参数'!$B$34)</x:f>
      </x:c>
      <x:c r="J157" s="214" t="str">
        <x:f>IF(OR(C157="",I157=""),"",ABS(C157-I157))</x:f>
      </x:c>
      <x:c r="K157" s="194" t="str">
        <x:f>IF(D157="","",IF(MAX(ABS(SUM(L157:M157)),ABS(SUM(N157:P157)),ABS(Q157),ABS(SUM(R157:T157)),ABS(SUM(U157:V157)),ABS(SUM(W157:Y157)),ABS(SUM(Z157:AB157)),ABS(SUM(AC157:AE157)))=ABS(SUM(L157:M157)),"订单流",IF(MAX(ABS(SUM(L157:M157)),ABS(SUM(N157:P157)),ABS(Q157),ABS(SUM(R157:T157)),ABS(SUM(U157:V157)),ABS(SUM(W157:Y157)),ABS(SUM(Z157:AB157)),ABS(SUM(AC157:AE157)))=ABS(SUM(N157:P157)),"流动性",IF(MAX(ABS(SUM(L157:M157)),ABS(SUM(N157:P157)),ABS(Q157),ABS(SUM(R157:T157)),ABS(SUM(U157:V157)),ABS(SUM(W157:Y157)),ABS(SUM(Z157:AB157)),ABS(SUM(AC157:AE157)))=ABS(Q157),"价格行为",IF(MAX(ABS(SUM(L157:M157)),ABS(SUM(N157:P157)),ABS(Q157),ABS(SUM(R157:T157)),ABS(SUM(U157:V157)),ABS(SUM(W157:Y157)),ABS(SUM(Z157:AB157)),ABS(SUM(AC157:AE157)))=ABS(SUM(R157:T157)),"杠杆/清算",IF(MAX(ABS(SUM(L157:M157)),ABS(SUM(N157:P157)),ABS(Q157),ABS(SUM(R157:T157)),ABS(SUM(U157:V157)),ABS(SUM(W157:Y157)),ABS(SUM(Z157:AB157)),ABS(SUM(AC157:AE157)))=ABS(SUM(U157:V157)),"衍生品",IF(MAX(ABS(SUM(L157:M157)),ABS(SUM(N157:P157)),ABS(Q157),ABS(SUM(R157:T157)),ABS(SUM(U157:V157)),ABS(SUM(W157:Y157)),ABS(SUM(Z157:AB157)),ABS(SUM(AC157:AE157)))=ABS(SUM(W157:Y157)),"跨市场",IF(MAX(ABS(SUM(L157:M157)),ABS(SUM(N157:P157)),ABS(Q157),ABS(SUM(R157:T157)),ABS(SUM(U157:V157)),ABS(SUM(W157:Y157)),ABS(SUM(Z157:AB157)),ABS(SUM(AC157:AE157)))=ABS(SUM(Z157:AB157)),"宏观代理","事件"))))))))</x:f>
      </x:c>
      <x:c r="L157" s="198"/>
      <x:c r="M157" s="198"/>
      <x:c r="N157" s="198"/>
      <x:c r="O157" s="198"/>
      <x:c r="P157" s="198"/>
      <x:c r="Q157" s="198"/>
      <x:c r="R157" s="198"/>
      <x:c r="S157" s="198"/>
      <x:c r="T157" s="198"/>
      <x:c r="U157" s="198"/>
      <x:c r="V157" s="198"/>
      <x:c r="W157" s="198"/>
      <x:c r="X157" s="198"/>
      <x:c r="Y157" s="198"/>
      <x:c r="Z157" s="198"/>
      <x:c r="AA157" s="198"/>
      <x:c r="AB157" s="198"/>
      <x:c r="AC157" s="198"/>
      <x:c r="AD157" s="198"/>
      <x:c r="AE157" s="198"/>
      <x:c r="AF157" s="215"/>
    </x:row>
    <x:row r="158">
      <x:c r="A158" s="238"/>
      <x:c r="B158" s="215" t="str">
        <x:v>正常</x:v>
      </x:c>
      <x:c r="C158" s="199"/>
      <x:c r="D158" s="223" t="str">
        <x:f>IF(COUNTA(L158:AE158)=0,"",SUMPRODUCT(L158:AE158,'参数'!$C$6:$C$25,'参数'!$D$6:$D$25,INDEX('参数'!$E$6:$J$25,0,MATCH(B158,'参数'!$E$5:$J$5,0)),'参数'!$K$6:$K$25)/SUMPRODUCT('参数'!$C$6:$C$25,'参数'!$D$6:$D$25,INDEX('参数'!$E$6:$J$25,0,MATCH(B158,'参数'!$E$5:$J$5,0)),'参数'!$K$6:$K$25))</x:f>
      </x:c>
      <x:c r="E158" s="223" t="str">
        <x:f>IF(D158="","",SUMPRODUCT(ABS(L158:AE158),'参数'!$C$6:$C$25,'参数'!$D$6:$D$25,INDEX('参数'!$E$6:$J$25,0,MATCH(B158,'参数'!$E$5:$J$5,0)))/SUMPRODUCT('参数'!$C$6:$C$25,'参数'!$D$6:$D$25,INDEX('参数'!$E$6:$J$25,0,MATCH(B158,'参数'!$E$5:$J$5,0))))</x:f>
      </x:c>
      <x:c r="F158" s="194" t="str">
        <x:f>IF(D158="","",IF(D158&gt;='参数'!$B$30,1,IF(D158&lt;=-'参数'!$B$30,-1,0)))</x:f>
      </x:c>
      <x:c r="G158" s="194" t="str">
        <x:f>IF(C158="","",IF(C158&gt;='参数'!$B$37,1,IF(C158&lt;=-'参数'!$B$37,-1,0)))</x:f>
      </x:c>
      <x:c r="H158" s="194" t="str">
        <x:f>IF(OR(F158="",G158=""),"",--(F158=G158))</x:f>
      </x:c>
      <x:c r="I158" s="214" t="str">
        <x:f>IF(D158="","",D158*'参数'!$B$34)</x:f>
      </x:c>
      <x:c r="J158" s="214" t="str">
        <x:f>IF(OR(C158="",I158=""),"",ABS(C158-I158))</x:f>
      </x:c>
      <x:c r="K158" s="194" t="str">
        <x:f>IF(D158="","",IF(MAX(ABS(SUM(L158:M158)),ABS(SUM(N158:P158)),ABS(Q158),ABS(SUM(R158:T158)),ABS(SUM(U158:V158)),ABS(SUM(W158:Y158)),ABS(SUM(Z158:AB158)),ABS(SUM(AC158:AE158)))=ABS(SUM(L158:M158)),"订单流",IF(MAX(ABS(SUM(L158:M158)),ABS(SUM(N158:P158)),ABS(Q158),ABS(SUM(R158:T158)),ABS(SUM(U158:V158)),ABS(SUM(W158:Y158)),ABS(SUM(Z158:AB158)),ABS(SUM(AC158:AE158)))=ABS(SUM(N158:P158)),"流动性",IF(MAX(ABS(SUM(L158:M158)),ABS(SUM(N158:P158)),ABS(Q158),ABS(SUM(R158:T158)),ABS(SUM(U158:V158)),ABS(SUM(W158:Y158)),ABS(SUM(Z158:AB158)),ABS(SUM(AC158:AE158)))=ABS(Q158),"价格行为",IF(MAX(ABS(SUM(L158:M158)),ABS(SUM(N158:P158)),ABS(Q158),ABS(SUM(R158:T158)),ABS(SUM(U158:V158)),ABS(SUM(W158:Y158)),ABS(SUM(Z158:AB158)),ABS(SUM(AC158:AE158)))=ABS(SUM(R158:T158)),"杠杆/清算",IF(MAX(ABS(SUM(L158:M158)),ABS(SUM(N158:P158)),ABS(Q158),ABS(SUM(R158:T158)),ABS(SUM(U158:V158)),ABS(SUM(W158:Y158)),ABS(SUM(Z158:AB158)),ABS(SUM(AC158:AE158)))=ABS(SUM(U158:V158)),"衍生品",IF(MAX(ABS(SUM(L158:M158)),ABS(SUM(N158:P158)),ABS(Q158),ABS(SUM(R158:T158)),ABS(SUM(U158:V158)),ABS(SUM(W158:Y158)),ABS(SUM(Z158:AB158)),ABS(SUM(AC158:AE158)))=ABS(SUM(W158:Y158)),"跨市场",IF(MAX(ABS(SUM(L158:M158)),ABS(SUM(N158:P158)),ABS(Q158),ABS(SUM(R158:T158)),ABS(SUM(U158:V158)),ABS(SUM(W158:Y158)),ABS(SUM(Z158:AB158)),ABS(SUM(AC158:AE158)))=ABS(SUM(Z158:AB158)),"宏观代理","事件"))))))))</x:f>
      </x:c>
      <x:c r="L158" s="198"/>
      <x:c r="M158" s="198"/>
      <x:c r="N158" s="198"/>
      <x:c r="O158" s="198"/>
      <x:c r="P158" s="198"/>
      <x:c r="Q158" s="198"/>
      <x:c r="R158" s="198"/>
      <x:c r="S158" s="198"/>
      <x:c r="T158" s="198"/>
      <x:c r="U158" s="198"/>
      <x:c r="V158" s="198"/>
      <x:c r="W158" s="198"/>
      <x:c r="X158" s="198"/>
      <x:c r="Y158" s="198"/>
      <x:c r="Z158" s="198"/>
      <x:c r="AA158" s="198"/>
      <x:c r="AB158" s="198"/>
      <x:c r="AC158" s="198"/>
      <x:c r="AD158" s="198"/>
      <x:c r="AE158" s="198"/>
      <x:c r="AF158" s="215"/>
    </x:row>
    <x:row r="159">
      <x:c r="A159" s="238"/>
      <x:c r="B159" s="215" t="str">
        <x:v>正常</x:v>
      </x:c>
      <x:c r="C159" s="199"/>
      <x:c r="D159" s="223" t="str">
        <x:f>IF(COUNTA(L159:AE159)=0,"",SUMPRODUCT(L159:AE159,'参数'!$C$6:$C$25,'参数'!$D$6:$D$25,INDEX('参数'!$E$6:$J$25,0,MATCH(B159,'参数'!$E$5:$J$5,0)),'参数'!$K$6:$K$25)/SUMPRODUCT('参数'!$C$6:$C$25,'参数'!$D$6:$D$25,INDEX('参数'!$E$6:$J$25,0,MATCH(B159,'参数'!$E$5:$J$5,0)),'参数'!$K$6:$K$25))</x:f>
      </x:c>
      <x:c r="E159" s="223" t="str">
        <x:f>IF(D159="","",SUMPRODUCT(ABS(L159:AE159),'参数'!$C$6:$C$25,'参数'!$D$6:$D$25,INDEX('参数'!$E$6:$J$25,0,MATCH(B159,'参数'!$E$5:$J$5,0)))/SUMPRODUCT('参数'!$C$6:$C$25,'参数'!$D$6:$D$25,INDEX('参数'!$E$6:$J$25,0,MATCH(B159,'参数'!$E$5:$J$5,0))))</x:f>
      </x:c>
      <x:c r="F159" s="194" t="str">
        <x:f>IF(D159="","",IF(D159&gt;='参数'!$B$30,1,IF(D159&lt;=-'参数'!$B$30,-1,0)))</x:f>
      </x:c>
      <x:c r="G159" s="194" t="str">
        <x:f>IF(C159="","",IF(C159&gt;='参数'!$B$37,1,IF(C159&lt;=-'参数'!$B$37,-1,0)))</x:f>
      </x:c>
      <x:c r="H159" s="194" t="str">
        <x:f>IF(OR(F159="",G159=""),"",--(F159=G159))</x:f>
      </x:c>
      <x:c r="I159" s="214" t="str">
        <x:f>IF(D159="","",D159*'参数'!$B$34)</x:f>
      </x:c>
      <x:c r="J159" s="214" t="str">
        <x:f>IF(OR(C159="",I159=""),"",ABS(C159-I159))</x:f>
      </x:c>
      <x:c r="K159" s="194" t="str">
        <x:f>IF(D159="","",IF(MAX(ABS(SUM(L159:M159)),ABS(SUM(N159:P159)),ABS(Q159),ABS(SUM(R159:T159)),ABS(SUM(U159:V159)),ABS(SUM(W159:Y159)),ABS(SUM(Z159:AB159)),ABS(SUM(AC159:AE159)))=ABS(SUM(L159:M159)),"订单流",IF(MAX(ABS(SUM(L159:M159)),ABS(SUM(N159:P159)),ABS(Q159),ABS(SUM(R159:T159)),ABS(SUM(U159:V159)),ABS(SUM(W159:Y159)),ABS(SUM(Z159:AB159)),ABS(SUM(AC159:AE159)))=ABS(SUM(N159:P159)),"流动性",IF(MAX(ABS(SUM(L159:M159)),ABS(SUM(N159:P159)),ABS(Q159),ABS(SUM(R159:T159)),ABS(SUM(U159:V159)),ABS(SUM(W159:Y159)),ABS(SUM(Z159:AB159)),ABS(SUM(AC159:AE159)))=ABS(Q159),"价格行为",IF(MAX(ABS(SUM(L159:M159)),ABS(SUM(N159:P159)),ABS(Q159),ABS(SUM(R159:T159)),ABS(SUM(U159:V159)),ABS(SUM(W159:Y159)),ABS(SUM(Z159:AB159)),ABS(SUM(AC159:AE159)))=ABS(SUM(R159:T159)),"杠杆/清算",IF(MAX(ABS(SUM(L159:M159)),ABS(SUM(N159:P159)),ABS(Q159),ABS(SUM(R159:T159)),ABS(SUM(U159:V159)),ABS(SUM(W159:Y159)),ABS(SUM(Z159:AB159)),ABS(SUM(AC159:AE159)))=ABS(SUM(U159:V159)),"衍生品",IF(MAX(ABS(SUM(L159:M159)),ABS(SUM(N159:P159)),ABS(Q159),ABS(SUM(R159:T159)),ABS(SUM(U159:V159)),ABS(SUM(W159:Y159)),ABS(SUM(Z159:AB159)),ABS(SUM(AC159:AE159)))=ABS(SUM(W159:Y159)),"跨市场",IF(MAX(ABS(SUM(L159:M159)),ABS(SUM(N159:P159)),ABS(Q159),ABS(SUM(R159:T159)),ABS(SUM(U159:V159)),ABS(SUM(W159:Y159)),ABS(SUM(Z159:AB159)),ABS(SUM(AC159:AE159)))=ABS(SUM(Z159:AB159)),"宏观代理","事件"))))))))</x:f>
      </x:c>
      <x:c r="L159" s="198"/>
      <x:c r="M159" s="198"/>
      <x:c r="N159" s="198"/>
      <x:c r="O159" s="198"/>
      <x:c r="P159" s="198"/>
      <x:c r="Q159" s="198"/>
      <x:c r="R159" s="198"/>
      <x:c r="S159" s="198"/>
      <x:c r="T159" s="198"/>
      <x:c r="U159" s="198"/>
      <x:c r="V159" s="198"/>
      <x:c r="W159" s="198"/>
      <x:c r="X159" s="198"/>
      <x:c r="Y159" s="198"/>
      <x:c r="Z159" s="198"/>
      <x:c r="AA159" s="198"/>
      <x:c r="AB159" s="198"/>
      <x:c r="AC159" s="198"/>
      <x:c r="AD159" s="198"/>
      <x:c r="AE159" s="198"/>
      <x:c r="AF159" s="215"/>
    </x:row>
    <x:row r="160">
      <x:c r="A160" s="238"/>
      <x:c r="B160" s="215" t="str">
        <x:v>正常</x:v>
      </x:c>
      <x:c r="C160" s="199"/>
      <x:c r="D160" s="223" t="str">
        <x:f>IF(COUNTA(L160:AE160)=0,"",SUMPRODUCT(L160:AE160,'参数'!$C$6:$C$25,'参数'!$D$6:$D$25,INDEX('参数'!$E$6:$J$25,0,MATCH(B160,'参数'!$E$5:$J$5,0)),'参数'!$K$6:$K$25)/SUMPRODUCT('参数'!$C$6:$C$25,'参数'!$D$6:$D$25,INDEX('参数'!$E$6:$J$25,0,MATCH(B160,'参数'!$E$5:$J$5,0)),'参数'!$K$6:$K$25))</x:f>
      </x:c>
      <x:c r="E160" s="223" t="str">
        <x:f>IF(D160="","",SUMPRODUCT(ABS(L160:AE160),'参数'!$C$6:$C$25,'参数'!$D$6:$D$25,INDEX('参数'!$E$6:$J$25,0,MATCH(B160,'参数'!$E$5:$J$5,0)))/SUMPRODUCT('参数'!$C$6:$C$25,'参数'!$D$6:$D$25,INDEX('参数'!$E$6:$J$25,0,MATCH(B160,'参数'!$E$5:$J$5,0))))</x:f>
      </x:c>
      <x:c r="F160" s="194" t="str">
        <x:f>IF(D160="","",IF(D160&gt;='参数'!$B$30,1,IF(D160&lt;=-'参数'!$B$30,-1,0)))</x:f>
      </x:c>
      <x:c r="G160" s="194" t="str">
        <x:f>IF(C160="","",IF(C160&gt;='参数'!$B$37,1,IF(C160&lt;=-'参数'!$B$37,-1,0)))</x:f>
      </x:c>
      <x:c r="H160" s="194" t="str">
        <x:f>IF(OR(F160="",G160=""),"",--(F160=G160))</x:f>
      </x:c>
      <x:c r="I160" s="214" t="str">
        <x:f>IF(D160="","",D160*'参数'!$B$34)</x:f>
      </x:c>
      <x:c r="J160" s="214" t="str">
        <x:f>IF(OR(C160="",I160=""),"",ABS(C160-I160))</x:f>
      </x:c>
      <x:c r="K160" s="194" t="str">
        <x:f>IF(D160="","",IF(MAX(ABS(SUM(L160:M160)),ABS(SUM(N160:P160)),ABS(Q160),ABS(SUM(R160:T160)),ABS(SUM(U160:V160)),ABS(SUM(W160:Y160)),ABS(SUM(Z160:AB160)),ABS(SUM(AC160:AE160)))=ABS(SUM(L160:M160)),"订单流",IF(MAX(ABS(SUM(L160:M160)),ABS(SUM(N160:P160)),ABS(Q160),ABS(SUM(R160:T160)),ABS(SUM(U160:V160)),ABS(SUM(W160:Y160)),ABS(SUM(Z160:AB160)),ABS(SUM(AC160:AE160)))=ABS(SUM(N160:P160)),"流动性",IF(MAX(ABS(SUM(L160:M160)),ABS(SUM(N160:P160)),ABS(Q160),ABS(SUM(R160:T160)),ABS(SUM(U160:V160)),ABS(SUM(W160:Y160)),ABS(SUM(Z160:AB160)),ABS(SUM(AC160:AE160)))=ABS(Q160),"价格行为",IF(MAX(ABS(SUM(L160:M160)),ABS(SUM(N160:P160)),ABS(Q160),ABS(SUM(R160:T160)),ABS(SUM(U160:V160)),ABS(SUM(W160:Y160)),ABS(SUM(Z160:AB160)),ABS(SUM(AC160:AE160)))=ABS(SUM(R160:T160)),"杠杆/清算",IF(MAX(ABS(SUM(L160:M160)),ABS(SUM(N160:P160)),ABS(Q160),ABS(SUM(R160:T160)),ABS(SUM(U160:V160)),ABS(SUM(W160:Y160)),ABS(SUM(Z160:AB160)),ABS(SUM(AC160:AE160)))=ABS(SUM(U160:V160)),"衍生品",IF(MAX(ABS(SUM(L160:M160)),ABS(SUM(N160:P160)),ABS(Q160),ABS(SUM(R160:T160)),ABS(SUM(U160:V160)),ABS(SUM(W160:Y160)),ABS(SUM(Z160:AB160)),ABS(SUM(AC160:AE160)))=ABS(SUM(W160:Y160)),"跨市场",IF(MAX(ABS(SUM(L160:M160)),ABS(SUM(N160:P160)),ABS(Q160),ABS(SUM(R160:T160)),ABS(SUM(U160:V160)),ABS(SUM(W160:Y160)),ABS(SUM(Z160:AB160)),ABS(SUM(AC160:AE160)))=ABS(SUM(Z160:AB160)),"宏观代理","事件"))))))))</x:f>
      </x:c>
      <x:c r="L160" s="198"/>
      <x:c r="M160" s="198"/>
      <x:c r="N160" s="198"/>
      <x:c r="O160" s="198"/>
      <x:c r="P160" s="198"/>
      <x:c r="Q160" s="198"/>
      <x:c r="R160" s="198"/>
      <x:c r="S160" s="198"/>
      <x:c r="T160" s="198"/>
      <x:c r="U160" s="198"/>
      <x:c r="V160" s="198"/>
      <x:c r="W160" s="198"/>
      <x:c r="X160" s="198"/>
      <x:c r="Y160" s="198"/>
      <x:c r="Z160" s="198"/>
      <x:c r="AA160" s="198"/>
      <x:c r="AB160" s="198"/>
      <x:c r="AC160" s="198"/>
      <x:c r="AD160" s="198"/>
      <x:c r="AE160" s="198"/>
      <x:c r="AF160" s="215"/>
    </x:row>
    <x:row r="161">
      <x:c r="A161" s="238"/>
      <x:c r="B161" s="215" t="str">
        <x:v>正常</x:v>
      </x:c>
      <x:c r="C161" s="199"/>
      <x:c r="D161" s="223" t="str">
        <x:f>IF(COUNTA(L161:AE161)=0,"",SUMPRODUCT(L161:AE161,'参数'!$C$6:$C$25,'参数'!$D$6:$D$25,INDEX('参数'!$E$6:$J$25,0,MATCH(B161,'参数'!$E$5:$J$5,0)),'参数'!$K$6:$K$25)/SUMPRODUCT('参数'!$C$6:$C$25,'参数'!$D$6:$D$25,INDEX('参数'!$E$6:$J$25,0,MATCH(B161,'参数'!$E$5:$J$5,0)),'参数'!$K$6:$K$25))</x:f>
      </x:c>
      <x:c r="E161" s="223" t="str">
        <x:f>IF(D161="","",SUMPRODUCT(ABS(L161:AE161),'参数'!$C$6:$C$25,'参数'!$D$6:$D$25,INDEX('参数'!$E$6:$J$25,0,MATCH(B161,'参数'!$E$5:$J$5,0)))/SUMPRODUCT('参数'!$C$6:$C$25,'参数'!$D$6:$D$25,INDEX('参数'!$E$6:$J$25,0,MATCH(B161,'参数'!$E$5:$J$5,0))))</x:f>
      </x:c>
      <x:c r="F161" s="194" t="str">
        <x:f>IF(D161="","",IF(D161&gt;='参数'!$B$30,1,IF(D161&lt;=-'参数'!$B$30,-1,0)))</x:f>
      </x:c>
      <x:c r="G161" s="194" t="str">
        <x:f>IF(C161="","",IF(C161&gt;='参数'!$B$37,1,IF(C161&lt;=-'参数'!$B$37,-1,0)))</x:f>
      </x:c>
      <x:c r="H161" s="194" t="str">
        <x:f>IF(OR(F161="",G161=""),"",--(F161=G161))</x:f>
      </x:c>
      <x:c r="I161" s="214" t="str">
        <x:f>IF(D161="","",D161*'参数'!$B$34)</x:f>
      </x:c>
      <x:c r="J161" s="214" t="str">
        <x:f>IF(OR(C161="",I161=""),"",ABS(C161-I161))</x:f>
      </x:c>
      <x:c r="K161" s="194" t="str">
        <x:f>IF(D161="","",IF(MAX(ABS(SUM(L161:M161)),ABS(SUM(N161:P161)),ABS(Q161),ABS(SUM(R161:T161)),ABS(SUM(U161:V161)),ABS(SUM(W161:Y161)),ABS(SUM(Z161:AB161)),ABS(SUM(AC161:AE161)))=ABS(SUM(L161:M161)),"订单流",IF(MAX(ABS(SUM(L161:M161)),ABS(SUM(N161:P161)),ABS(Q161),ABS(SUM(R161:T161)),ABS(SUM(U161:V161)),ABS(SUM(W161:Y161)),ABS(SUM(Z161:AB161)),ABS(SUM(AC161:AE161)))=ABS(SUM(N161:P161)),"流动性",IF(MAX(ABS(SUM(L161:M161)),ABS(SUM(N161:P161)),ABS(Q161),ABS(SUM(R161:T161)),ABS(SUM(U161:V161)),ABS(SUM(W161:Y161)),ABS(SUM(Z161:AB161)),ABS(SUM(AC161:AE161)))=ABS(Q161),"价格行为",IF(MAX(ABS(SUM(L161:M161)),ABS(SUM(N161:P161)),ABS(Q161),ABS(SUM(R161:T161)),ABS(SUM(U161:V161)),ABS(SUM(W161:Y161)),ABS(SUM(Z161:AB161)),ABS(SUM(AC161:AE161)))=ABS(SUM(R161:T161)),"杠杆/清算",IF(MAX(ABS(SUM(L161:M161)),ABS(SUM(N161:P161)),ABS(Q161),ABS(SUM(R161:T161)),ABS(SUM(U161:V161)),ABS(SUM(W161:Y161)),ABS(SUM(Z161:AB161)),ABS(SUM(AC161:AE161)))=ABS(SUM(U161:V161)),"衍生品",IF(MAX(ABS(SUM(L161:M161)),ABS(SUM(N161:P161)),ABS(Q161),ABS(SUM(R161:T161)),ABS(SUM(U161:V161)),ABS(SUM(W161:Y161)),ABS(SUM(Z161:AB161)),ABS(SUM(AC161:AE161)))=ABS(SUM(W161:Y161)),"跨市场",IF(MAX(ABS(SUM(L161:M161)),ABS(SUM(N161:P161)),ABS(Q161),ABS(SUM(R161:T161)),ABS(SUM(U161:V161)),ABS(SUM(W161:Y161)),ABS(SUM(Z161:AB161)),ABS(SUM(AC161:AE161)))=ABS(SUM(Z161:AB161)),"宏观代理","事件"))))))))</x:f>
      </x:c>
      <x:c r="L161" s="198"/>
      <x:c r="M161" s="198"/>
      <x:c r="N161" s="198"/>
      <x:c r="O161" s="198"/>
      <x:c r="P161" s="198"/>
      <x:c r="Q161" s="198"/>
      <x:c r="R161" s="198"/>
      <x:c r="S161" s="198"/>
      <x:c r="T161" s="198"/>
      <x:c r="U161" s="198"/>
      <x:c r="V161" s="198"/>
      <x:c r="W161" s="198"/>
      <x:c r="X161" s="198"/>
      <x:c r="Y161" s="198"/>
      <x:c r="Z161" s="198"/>
      <x:c r="AA161" s="198"/>
      <x:c r="AB161" s="198"/>
      <x:c r="AC161" s="198"/>
      <x:c r="AD161" s="198"/>
      <x:c r="AE161" s="198"/>
      <x:c r="AF161" s="215"/>
    </x:row>
    <x:row r="162">
      <x:c r="A162" s="238"/>
      <x:c r="B162" s="215" t="str">
        <x:v>正常</x:v>
      </x:c>
      <x:c r="C162" s="199"/>
      <x:c r="D162" s="223" t="str">
        <x:f>IF(COUNTA(L162:AE162)=0,"",SUMPRODUCT(L162:AE162,'参数'!$C$6:$C$25,'参数'!$D$6:$D$25,INDEX('参数'!$E$6:$J$25,0,MATCH(B162,'参数'!$E$5:$J$5,0)),'参数'!$K$6:$K$25)/SUMPRODUCT('参数'!$C$6:$C$25,'参数'!$D$6:$D$25,INDEX('参数'!$E$6:$J$25,0,MATCH(B162,'参数'!$E$5:$J$5,0)),'参数'!$K$6:$K$25))</x:f>
      </x:c>
      <x:c r="E162" s="223" t="str">
        <x:f>IF(D162="","",SUMPRODUCT(ABS(L162:AE162),'参数'!$C$6:$C$25,'参数'!$D$6:$D$25,INDEX('参数'!$E$6:$J$25,0,MATCH(B162,'参数'!$E$5:$J$5,0)))/SUMPRODUCT('参数'!$C$6:$C$25,'参数'!$D$6:$D$25,INDEX('参数'!$E$6:$J$25,0,MATCH(B162,'参数'!$E$5:$J$5,0))))</x:f>
      </x:c>
      <x:c r="F162" s="194" t="str">
        <x:f>IF(D162="","",IF(D162&gt;='参数'!$B$30,1,IF(D162&lt;=-'参数'!$B$30,-1,0)))</x:f>
      </x:c>
      <x:c r="G162" s="194" t="str">
        <x:f>IF(C162="","",IF(C162&gt;='参数'!$B$37,1,IF(C162&lt;=-'参数'!$B$37,-1,0)))</x:f>
      </x:c>
      <x:c r="H162" s="194" t="str">
        <x:f>IF(OR(F162="",G162=""),"",--(F162=G162))</x:f>
      </x:c>
      <x:c r="I162" s="214" t="str">
        <x:f>IF(D162="","",D162*'参数'!$B$34)</x:f>
      </x:c>
      <x:c r="J162" s="214" t="str">
        <x:f>IF(OR(C162="",I162=""),"",ABS(C162-I162))</x:f>
      </x:c>
      <x:c r="K162" s="194" t="str">
        <x:f>IF(D162="","",IF(MAX(ABS(SUM(L162:M162)),ABS(SUM(N162:P162)),ABS(Q162),ABS(SUM(R162:T162)),ABS(SUM(U162:V162)),ABS(SUM(W162:Y162)),ABS(SUM(Z162:AB162)),ABS(SUM(AC162:AE162)))=ABS(SUM(L162:M162)),"订单流",IF(MAX(ABS(SUM(L162:M162)),ABS(SUM(N162:P162)),ABS(Q162),ABS(SUM(R162:T162)),ABS(SUM(U162:V162)),ABS(SUM(W162:Y162)),ABS(SUM(Z162:AB162)),ABS(SUM(AC162:AE162)))=ABS(SUM(N162:P162)),"流动性",IF(MAX(ABS(SUM(L162:M162)),ABS(SUM(N162:P162)),ABS(Q162),ABS(SUM(R162:T162)),ABS(SUM(U162:V162)),ABS(SUM(W162:Y162)),ABS(SUM(Z162:AB162)),ABS(SUM(AC162:AE162)))=ABS(Q162),"价格行为",IF(MAX(ABS(SUM(L162:M162)),ABS(SUM(N162:P162)),ABS(Q162),ABS(SUM(R162:T162)),ABS(SUM(U162:V162)),ABS(SUM(W162:Y162)),ABS(SUM(Z162:AB162)),ABS(SUM(AC162:AE162)))=ABS(SUM(R162:T162)),"杠杆/清算",IF(MAX(ABS(SUM(L162:M162)),ABS(SUM(N162:P162)),ABS(Q162),ABS(SUM(R162:T162)),ABS(SUM(U162:V162)),ABS(SUM(W162:Y162)),ABS(SUM(Z162:AB162)),ABS(SUM(AC162:AE162)))=ABS(SUM(U162:V162)),"衍生品",IF(MAX(ABS(SUM(L162:M162)),ABS(SUM(N162:P162)),ABS(Q162),ABS(SUM(R162:T162)),ABS(SUM(U162:V162)),ABS(SUM(W162:Y162)),ABS(SUM(Z162:AB162)),ABS(SUM(AC162:AE162)))=ABS(SUM(W162:Y162)),"跨市场",IF(MAX(ABS(SUM(L162:M162)),ABS(SUM(N162:P162)),ABS(Q162),ABS(SUM(R162:T162)),ABS(SUM(U162:V162)),ABS(SUM(W162:Y162)),ABS(SUM(Z162:AB162)),ABS(SUM(AC162:AE162)))=ABS(SUM(Z162:AB162)),"宏观代理","事件"))))))))</x:f>
      </x:c>
      <x:c r="L162" s="198"/>
      <x:c r="M162" s="198"/>
      <x:c r="N162" s="198"/>
      <x:c r="O162" s="198"/>
      <x:c r="P162" s="198"/>
      <x:c r="Q162" s="198"/>
      <x:c r="R162" s="198"/>
      <x:c r="S162" s="198"/>
      <x:c r="T162" s="198"/>
      <x:c r="U162" s="198"/>
      <x:c r="V162" s="198"/>
      <x:c r="W162" s="198"/>
      <x:c r="X162" s="198"/>
      <x:c r="Y162" s="198"/>
      <x:c r="Z162" s="198"/>
      <x:c r="AA162" s="198"/>
      <x:c r="AB162" s="198"/>
      <x:c r="AC162" s="198"/>
      <x:c r="AD162" s="198"/>
      <x:c r="AE162" s="198"/>
      <x:c r="AF162" s="215"/>
    </x:row>
    <x:row r="163">
      <x:c r="A163" s="238"/>
      <x:c r="B163" s="215" t="str">
        <x:v>正常</x:v>
      </x:c>
      <x:c r="C163" s="199"/>
      <x:c r="D163" s="223" t="str">
        <x:f>IF(COUNTA(L163:AE163)=0,"",SUMPRODUCT(L163:AE163,'参数'!$C$6:$C$25,'参数'!$D$6:$D$25,INDEX('参数'!$E$6:$J$25,0,MATCH(B163,'参数'!$E$5:$J$5,0)),'参数'!$K$6:$K$25)/SUMPRODUCT('参数'!$C$6:$C$25,'参数'!$D$6:$D$25,INDEX('参数'!$E$6:$J$25,0,MATCH(B163,'参数'!$E$5:$J$5,0)),'参数'!$K$6:$K$25))</x:f>
      </x:c>
      <x:c r="E163" s="223" t="str">
        <x:f>IF(D163="","",SUMPRODUCT(ABS(L163:AE163),'参数'!$C$6:$C$25,'参数'!$D$6:$D$25,INDEX('参数'!$E$6:$J$25,0,MATCH(B163,'参数'!$E$5:$J$5,0)))/SUMPRODUCT('参数'!$C$6:$C$25,'参数'!$D$6:$D$25,INDEX('参数'!$E$6:$J$25,0,MATCH(B163,'参数'!$E$5:$J$5,0))))</x:f>
      </x:c>
      <x:c r="F163" s="194" t="str">
        <x:f>IF(D163="","",IF(D163&gt;='参数'!$B$30,1,IF(D163&lt;=-'参数'!$B$30,-1,0)))</x:f>
      </x:c>
      <x:c r="G163" s="194" t="str">
        <x:f>IF(C163="","",IF(C163&gt;='参数'!$B$37,1,IF(C163&lt;=-'参数'!$B$37,-1,0)))</x:f>
      </x:c>
      <x:c r="H163" s="194" t="str">
        <x:f>IF(OR(F163="",G163=""),"",--(F163=G163))</x:f>
      </x:c>
      <x:c r="I163" s="214" t="str">
        <x:f>IF(D163="","",D163*'参数'!$B$34)</x:f>
      </x:c>
      <x:c r="J163" s="214" t="str">
        <x:f>IF(OR(C163="",I163=""),"",ABS(C163-I163))</x:f>
      </x:c>
      <x:c r="K163" s="194" t="str">
        <x:f>IF(D163="","",IF(MAX(ABS(SUM(L163:M163)),ABS(SUM(N163:P163)),ABS(Q163),ABS(SUM(R163:T163)),ABS(SUM(U163:V163)),ABS(SUM(W163:Y163)),ABS(SUM(Z163:AB163)),ABS(SUM(AC163:AE163)))=ABS(SUM(L163:M163)),"订单流",IF(MAX(ABS(SUM(L163:M163)),ABS(SUM(N163:P163)),ABS(Q163),ABS(SUM(R163:T163)),ABS(SUM(U163:V163)),ABS(SUM(W163:Y163)),ABS(SUM(Z163:AB163)),ABS(SUM(AC163:AE163)))=ABS(SUM(N163:P163)),"流动性",IF(MAX(ABS(SUM(L163:M163)),ABS(SUM(N163:P163)),ABS(Q163),ABS(SUM(R163:T163)),ABS(SUM(U163:V163)),ABS(SUM(W163:Y163)),ABS(SUM(Z163:AB163)),ABS(SUM(AC163:AE163)))=ABS(Q163),"价格行为",IF(MAX(ABS(SUM(L163:M163)),ABS(SUM(N163:P163)),ABS(Q163),ABS(SUM(R163:T163)),ABS(SUM(U163:V163)),ABS(SUM(W163:Y163)),ABS(SUM(Z163:AB163)),ABS(SUM(AC163:AE163)))=ABS(SUM(R163:T163)),"杠杆/清算",IF(MAX(ABS(SUM(L163:M163)),ABS(SUM(N163:P163)),ABS(Q163),ABS(SUM(R163:T163)),ABS(SUM(U163:V163)),ABS(SUM(W163:Y163)),ABS(SUM(Z163:AB163)),ABS(SUM(AC163:AE163)))=ABS(SUM(U163:V163)),"衍生品",IF(MAX(ABS(SUM(L163:M163)),ABS(SUM(N163:P163)),ABS(Q163),ABS(SUM(R163:T163)),ABS(SUM(U163:V163)),ABS(SUM(W163:Y163)),ABS(SUM(Z163:AB163)),ABS(SUM(AC163:AE163)))=ABS(SUM(W163:Y163)),"跨市场",IF(MAX(ABS(SUM(L163:M163)),ABS(SUM(N163:P163)),ABS(Q163),ABS(SUM(R163:T163)),ABS(SUM(U163:V163)),ABS(SUM(W163:Y163)),ABS(SUM(Z163:AB163)),ABS(SUM(AC163:AE163)))=ABS(SUM(Z163:AB163)),"宏观代理","事件"))))))))</x:f>
      </x:c>
      <x:c r="L163" s="198"/>
      <x:c r="M163" s="198"/>
      <x:c r="N163" s="198"/>
      <x:c r="O163" s="198"/>
      <x:c r="P163" s="198"/>
      <x:c r="Q163" s="198"/>
      <x:c r="R163" s="198"/>
      <x:c r="S163" s="198"/>
      <x:c r="T163" s="198"/>
      <x:c r="U163" s="198"/>
      <x:c r="V163" s="198"/>
      <x:c r="W163" s="198"/>
      <x:c r="X163" s="198"/>
      <x:c r="Y163" s="198"/>
      <x:c r="Z163" s="198"/>
      <x:c r="AA163" s="198"/>
      <x:c r="AB163" s="198"/>
      <x:c r="AC163" s="198"/>
      <x:c r="AD163" s="198"/>
      <x:c r="AE163" s="198"/>
      <x:c r="AF163" s="215"/>
    </x:row>
    <x:row r="164">
      <x:c r="A164" s="238"/>
      <x:c r="B164" s="215" t="str">
        <x:v>正常</x:v>
      </x:c>
      <x:c r="C164" s="199"/>
      <x:c r="D164" s="223" t="str">
        <x:f>IF(COUNTA(L164:AE164)=0,"",SUMPRODUCT(L164:AE164,'参数'!$C$6:$C$25,'参数'!$D$6:$D$25,INDEX('参数'!$E$6:$J$25,0,MATCH(B164,'参数'!$E$5:$J$5,0)),'参数'!$K$6:$K$25)/SUMPRODUCT('参数'!$C$6:$C$25,'参数'!$D$6:$D$25,INDEX('参数'!$E$6:$J$25,0,MATCH(B164,'参数'!$E$5:$J$5,0)),'参数'!$K$6:$K$25))</x:f>
      </x:c>
      <x:c r="E164" s="223" t="str">
        <x:f>IF(D164="","",SUMPRODUCT(ABS(L164:AE164),'参数'!$C$6:$C$25,'参数'!$D$6:$D$25,INDEX('参数'!$E$6:$J$25,0,MATCH(B164,'参数'!$E$5:$J$5,0)))/SUMPRODUCT('参数'!$C$6:$C$25,'参数'!$D$6:$D$25,INDEX('参数'!$E$6:$J$25,0,MATCH(B164,'参数'!$E$5:$J$5,0))))</x:f>
      </x:c>
      <x:c r="F164" s="194" t="str">
        <x:f>IF(D164="","",IF(D164&gt;='参数'!$B$30,1,IF(D164&lt;=-'参数'!$B$30,-1,0)))</x:f>
      </x:c>
      <x:c r="G164" s="194" t="str">
        <x:f>IF(C164="","",IF(C164&gt;='参数'!$B$37,1,IF(C164&lt;=-'参数'!$B$37,-1,0)))</x:f>
      </x:c>
      <x:c r="H164" s="194" t="str">
        <x:f>IF(OR(F164="",G164=""),"",--(F164=G164))</x:f>
      </x:c>
      <x:c r="I164" s="214" t="str">
        <x:f>IF(D164="","",D164*'参数'!$B$34)</x:f>
      </x:c>
      <x:c r="J164" s="214" t="str">
        <x:f>IF(OR(C164="",I164=""),"",ABS(C164-I164))</x:f>
      </x:c>
      <x:c r="K164" s="194" t="str">
        <x:f>IF(D164="","",IF(MAX(ABS(SUM(L164:M164)),ABS(SUM(N164:P164)),ABS(Q164),ABS(SUM(R164:T164)),ABS(SUM(U164:V164)),ABS(SUM(W164:Y164)),ABS(SUM(Z164:AB164)),ABS(SUM(AC164:AE164)))=ABS(SUM(L164:M164)),"订单流",IF(MAX(ABS(SUM(L164:M164)),ABS(SUM(N164:P164)),ABS(Q164),ABS(SUM(R164:T164)),ABS(SUM(U164:V164)),ABS(SUM(W164:Y164)),ABS(SUM(Z164:AB164)),ABS(SUM(AC164:AE164)))=ABS(SUM(N164:P164)),"流动性",IF(MAX(ABS(SUM(L164:M164)),ABS(SUM(N164:P164)),ABS(Q164),ABS(SUM(R164:T164)),ABS(SUM(U164:V164)),ABS(SUM(W164:Y164)),ABS(SUM(Z164:AB164)),ABS(SUM(AC164:AE164)))=ABS(Q164),"价格行为",IF(MAX(ABS(SUM(L164:M164)),ABS(SUM(N164:P164)),ABS(Q164),ABS(SUM(R164:T164)),ABS(SUM(U164:V164)),ABS(SUM(W164:Y164)),ABS(SUM(Z164:AB164)),ABS(SUM(AC164:AE164)))=ABS(SUM(R164:T164)),"杠杆/清算",IF(MAX(ABS(SUM(L164:M164)),ABS(SUM(N164:P164)),ABS(Q164),ABS(SUM(R164:T164)),ABS(SUM(U164:V164)),ABS(SUM(W164:Y164)),ABS(SUM(Z164:AB164)),ABS(SUM(AC164:AE164)))=ABS(SUM(U164:V164)),"衍生品",IF(MAX(ABS(SUM(L164:M164)),ABS(SUM(N164:P164)),ABS(Q164),ABS(SUM(R164:T164)),ABS(SUM(U164:V164)),ABS(SUM(W164:Y164)),ABS(SUM(Z164:AB164)),ABS(SUM(AC164:AE164)))=ABS(SUM(W164:Y164)),"跨市场",IF(MAX(ABS(SUM(L164:M164)),ABS(SUM(N164:P164)),ABS(Q164),ABS(SUM(R164:T164)),ABS(SUM(U164:V164)),ABS(SUM(W164:Y164)),ABS(SUM(Z164:AB164)),ABS(SUM(AC164:AE164)))=ABS(SUM(Z164:AB164)),"宏观代理","事件"))))))))</x:f>
      </x:c>
      <x:c r="L164" s="198"/>
      <x:c r="M164" s="198"/>
      <x:c r="N164" s="198"/>
      <x:c r="O164" s="198"/>
      <x:c r="P164" s="198"/>
      <x:c r="Q164" s="198"/>
      <x:c r="R164" s="198"/>
      <x:c r="S164" s="198"/>
      <x:c r="T164" s="198"/>
      <x:c r="U164" s="198"/>
      <x:c r="V164" s="198"/>
      <x:c r="W164" s="198"/>
      <x:c r="X164" s="198"/>
      <x:c r="Y164" s="198"/>
      <x:c r="Z164" s="198"/>
      <x:c r="AA164" s="198"/>
      <x:c r="AB164" s="198"/>
      <x:c r="AC164" s="198"/>
      <x:c r="AD164" s="198"/>
      <x:c r="AE164" s="198"/>
      <x:c r="AF164" s="215"/>
    </x:row>
    <x:row r="165">
      <x:c r="A165" s="238"/>
      <x:c r="B165" s="215" t="str">
        <x:v>正常</x:v>
      </x:c>
      <x:c r="C165" s="199"/>
      <x:c r="D165" s="223" t="str">
        <x:f>IF(COUNTA(L165:AE165)=0,"",SUMPRODUCT(L165:AE165,'参数'!$C$6:$C$25,'参数'!$D$6:$D$25,INDEX('参数'!$E$6:$J$25,0,MATCH(B165,'参数'!$E$5:$J$5,0)),'参数'!$K$6:$K$25)/SUMPRODUCT('参数'!$C$6:$C$25,'参数'!$D$6:$D$25,INDEX('参数'!$E$6:$J$25,0,MATCH(B165,'参数'!$E$5:$J$5,0)),'参数'!$K$6:$K$25))</x:f>
      </x:c>
      <x:c r="E165" s="223" t="str">
        <x:f>IF(D165="","",SUMPRODUCT(ABS(L165:AE165),'参数'!$C$6:$C$25,'参数'!$D$6:$D$25,INDEX('参数'!$E$6:$J$25,0,MATCH(B165,'参数'!$E$5:$J$5,0)))/SUMPRODUCT('参数'!$C$6:$C$25,'参数'!$D$6:$D$25,INDEX('参数'!$E$6:$J$25,0,MATCH(B165,'参数'!$E$5:$J$5,0))))</x:f>
      </x:c>
      <x:c r="F165" s="194" t="str">
        <x:f>IF(D165="","",IF(D165&gt;='参数'!$B$30,1,IF(D165&lt;=-'参数'!$B$30,-1,0)))</x:f>
      </x:c>
      <x:c r="G165" s="194" t="str">
        <x:f>IF(C165="","",IF(C165&gt;='参数'!$B$37,1,IF(C165&lt;=-'参数'!$B$37,-1,0)))</x:f>
      </x:c>
      <x:c r="H165" s="194" t="str">
        <x:f>IF(OR(F165="",G165=""),"",--(F165=G165))</x:f>
      </x:c>
      <x:c r="I165" s="214" t="str">
        <x:f>IF(D165="","",D165*'参数'!$B$34)</x:f>
      </x:c>
      <x:c r="J165" s="214" t="str">
        <x:f>IF(OR(C165="",I165=""),"",ABS(C165-I165))</x:f>
      </x:c>
      <x:c r="K165" s="194" t="str">
        <x:f>IF(D165="","",IF(MAX(ABS(SUM(L165:M165)),ABS(SUM(N165:P165)),ABS(Q165),ABS(SUM(R165:T165)),ABS(SUM(U165:V165)),ABS(SUM(W165:Y165)),ABS(SUM(Z165:AB165)),ABS(SUM(AC165:AE165)))=ABS(SUM(L165:M165)),"订单流",IF(MAX(ABS(SUM(L165:M165)),ABS(SUM(N165:P165)),ABS(Q165),ABS(SUM(R165:T165)),ABS(SUM(U165:V165)),ABS(SUM(W165:Y165)),ABS(SUM(Z165:AB165)),ABS(SUM(AC165:AE165)))=ABS(SUM(N165:P165)),"流动性",IF(MAX(ABS(SUM(L165:M165)),ABS(SUM(N165:P165)),ABS(Q165),ABS(SUM(R165:T165)),ABS(SUM(U165:V165)),ABS(SUM(W165:Y165)),ABS(SUM(Z165:AB165)),ABS(SUM(AC165:AE165)))=ABS(Q165),"价格行为",IF(MAX(ABS(SUM(L165:M165)),ABS(SUM(N165:P165)),ABS(Q165),ABS(SUM(R165:T165)),ABS(SUM(U165:V165)),ABS(SUM(W165:Y165)),ABS(SUM(Z165:AB165)),ABS(SUM(AC165:AE165)))=ABS(SUM(R165:T165)),"杠杆/清算",IF(MAX(ABS(SUM(L165:M165)),ABS(SUM(N165:P165)),ABS(Q165),ABS(SUM(R165:T165)),ABS(SUM(U165:V165)),ABS(SUM(W165:Y165)),ABS(SUM(Z165:AB165)),ABS(SUM(AC165:AE165)))=ABS(SUM(U165:V165)),"衍生品",IF(MAX(ABS(SUM(L165:M165)),ABS(SUM(N165:P165)),ABS(Q165),ABS(SUM(R165:T165)),ABS(SUM(U165:V165)),ABS(SUM(W165:Y165)),ABS(SUM(Z165:AB165)),ABS(SUM(AC165:AE165)))=ABS(SUM(W165:Y165)),"跨市场",IF(MAX(ABS(SUM(L165:M165)),ABS(SUM(N165:P165)),ABS(Q165),ABS(SUM(R165:T165)),ABS(SUM(U165:V165)),ABS(SUM(W165:Y165)),ABS(SUM(Z165:AB165)),ABS(SUM(AC165:AE165)))=ABS(SUM(Z165:AB165)),"宏观代理","事件"))))))))</x:f>
      </x:c>
      <x:c r="L165" s="198"/>
      <x:c r="M165" s="198"/>
      <x:c r="N165" s="198"/>
      <x:c r="O165" s="198"/>
      <x:c r="P165" s="198"/>
      <x:c r="Q165" s="198"/>
      <x:c r="R165" s="198"/>
      <x:c r="S165" s="198"/>
      <x:c r="T165" s="198"/>
      <x:c r="U165" s="198"/>
      <x:c r="V165" s="198"/>
      <x:c r="W165" s="198"/>
      <x:c r="X165" s="198"/>
      <x:c r="Y165" s="198"/>
      <x:c r="Z165" s="198"/>
      <x:c r="AA165" s="198"/>
      <x:c r="AB165" s="198"/>
      <x:c r="AC165" s="198"/>
      <x:c r="AD165" s="198"/>
      <x:c r="AE165" s="198"/>
      <x:c r="AF165" s="215"/>
    </x:row>
    <x:row r="166">
      <x:c r="A166" s="238"/>
      <x:c r="B166" s="215" t="str">
        <x:v>正常</x:v>
      </x:c>
      <x:c r="C166" s="199"/>
      <x:c r="D166" s="223" t="str">
        <x:f>IF(COUNTA(L166:AE166)=0,"",SUMPRODUCT(L166:AE166,'参数'!$C$6:$C$25,'参数'!$D$6:$D$25,INDEX('参数'!$E$6:$J$25,0,MATCH(B166,'参数'!$E$5:$J$5,0)),'参数'!$K$6:$K$25)/SUMPRODUCT('参数'!$C$6:$C$25,'参数'!$D$6:$D$25,INDEX('参数'!$E$6:$J$25,0,MATCH(B166,'参数'!$E$5:$J$5,0)),'参数'!$K$6:$K$25))</x:f>
      </x:c>
      <x:c r="E166" s="223" t="str">
        <x:f>IF(D166="","",SUMPRODUCT(ABS(L166:AE166),'参数'!$C$6:$C$25,'参数'!$D$6:$D$25,INDEX('参数'!$E$6:$J$25,0,MATCH(B166,'参数'!$E$5:$J$5,0)))/SUMPRODUCT('参数'!$C$6:$C$25,'参数'!$D$6:$D$25,INDEX('参数'!$E$6:$J$25,0,MATCH(B166,'参数'!$E$5:$J$5,0))))</x:f>
      </x:c>
      <x:c r="F166" s="194" t="str">
        <x:f>IF(D166="","",IF(D166&gt;='参数'!$B$30,1,IF(D166&lt;=-'参数'!$B$30,-1,0)))</x:f>
      </x:c>
      <x:c r="G166" s="194" t="str">
        <x:f>IF(C166="","",IF(C166&gt;='参数'!$B$37,1,IF(C166&lt;=-'参数'!$B$37,-1,0)))</x:f>
      </x:c>
      <x:c r="H166" s="194" t="str">
        <x:f>IF(OR(F166="",G166=""),"",--(F166=G166))</x:f>
      </x:c>
      <x:c r="I166" s="214" t="str">
        <x:f>IF(D166="","",D166*'参数'!$B$34)</x:f>
      </x:c>
      <x:c r="J166" s="214" t="str">
        <x:f>IF(OR(C166="",I166=""),"",ABS(C166-I166))</x:f>
      </x:c>
      <x:c r="K166" s="194" t="str">
        <x:f>IF(D166="","",IF(MAX(ABS(SUM(L166:M166)),ABS(SUM(N166:P166)),ABS(Q166),ABS(SUM(R166:T166)),ABS(SUM(U166:V166)),ABS(SUM(W166:Y166)),ABS(SUM(Z166:AB166)),ABS(SUM(AC166:AE166)))=ABS(SUM(L166:M166)),"订单流",IF(MAX(ABS(SUM(L166:M166)),ABS(SUM(N166:P166)),ABS(Q166),ABS(SUM(R166:T166)),ABS(SUM(U166:V166)),ABS(SUM(W166:Y166)),ABS(SUM(Z166:AB166)),ABS(SUM(AC166:AE166)))=ABS(SUM(N166:P166)),"流动性",IF(MAX(ABS(SUM(L166:M166)),ABS(SUM(N166:P166)),ABS(Q166),ABS(SUM(R166:T166)),ABS(SUM(U166:V166)),ABS(SUM(W166:Y166)),ABS(SUM(Z166:AB166)),ABS(SUM(AC166:AE166)))=ABS(Q166),"价格行为",IF(MAX(ABS(SUM(L166:M166)),ABS(SUM(N166:P166)),ABS(Q166),ABS(SUM(R166:T166)),ABS(SUM(U166:V166)),ABS(SUM(W166:Y166)),ABS(SUM(Z166:AB166)),ABS(SUM(AC166:AE166)))=ABS(SUM(R166:T166)),"杠杆/清算",IF(MAX(ABS(SUM(L166:M166)),ABS(SUM(N166:P166)),ABS(Q166),ABS(SUM(R166:T166)),ABS(SUM(U166:V166)),ABS(SUM(W166:Y166)),ABS(SUM(Z166:AB166)),ABS(SUM(AC166:AE166)))=ABS(SUM(U166:V166)),"衍生品",IF(MAX(ABS(SUM(L166:M166)),ABS(SUM(N166:P166)),ABS(Q166),ABS(SUM(R166:T166)),ABS(SUM(U166:V166)),ABS(SUM(W166:Y166)),ABS(SUM(Z166:AB166)),ABS(SUM(AC166:AE166)))=ABS(SUM(W166:Y166)),"跨市场",IF(MAX(ABS(SUM(L166:M166)),ABS(SUM(N166:P166)),ABS(Q166),ABS(SUM(R166:T166)),ABS(SUM(U166:V166)),ABS(SUM(W166:Y166)),ABS(SUM(Z166:AB166)),ABS(SUM(AC166:AE166)))=ABS(SUM(Z166:AB166)),"宏观代理","事件"))))))))</x:f>
      </x:c>
      <x:c r="L166" s="198"/>
      <x:c r="M166" s="198"/>
      <x:c r="N166" s="198"/>
      <x:c r="O166" s="198"/>
      <x:c r="P166" s="198"/>
      <x:c r="Q166" s="198"/>
      <x:c r="R166" s="198"/>
      <x:c r="S166" s="198"/>
      <x:c r="T166" s="198"/>
      <x:c r="U166" s="198"/>
      <x:c r="V166" s="198"/>
      <x:c r="W166" s="198"/>
      <x:c r="X166" s="198"/>
      <x:c r="Y166" s="198"/>
      <x:c r="Z166" s="198"/>
      <x:c r="AA166" s="198"/>
      <x:c r="AB166" s="198"/>
      <x:c r="AC166" s="198"/>
      <x:c r="AD166" s="198"/>
      <x:c r="AE166" s="198"/>
      <x:c r="AF166" s="215"/>
    </x:row>
    <x:row r="167">
      <x:c r="A167" s="238"/>
      <x:c r="B167" s="215" t="str">
        <x:v>正常</x:v>
      </x:c>
      <x:c r="C167" s="199"/>
      <x:c r="D167" s="223" t="str">
        <x:f>IF(COUNTA(L167:AE167)=0,"",SUMPRODUCT(L167:AE167,'参数'!$C$6:$C$25,'参数'!$D$6:$D$25,INDEX('参数'!$E$6:$J$25,0,MATCH(B167,'参数'!$E$5:$J$5,0)),'参数'!$K$6:$K$25)/SUMPRODUCT('参数'!$C$6:$C$25,'参数'!$D$6:$D$25,INDEX('参数'!$E$6:$J$25,0,MATCH(B167,'参数'!$E$5:$J$5,0)),'参数'!$K$6:$K$25))</x:f>
      </x:c>
      <x:c r="E167" s="223" t="str">
        <x:f>IF(D167="","",SUMPRODUCT(ABS(L167:AE167),'参数'!$C$6:$C$25,'参数'!$D$6:$D$25,INDEX('参数'!$E$6:$J$25,0,MATCH(B167,'参数'!$E$5:$J$5,0)))/SUMPRODUCT('参数'!$C$6:$C$25,'参数'!$D$6:$D$25,INDEX('参数'!$E$6:$J$25,0,MATCH(B167,'参数'!$E$5:$J$5,0))))</x:f>
      </x:c>
      <x:c r="F167" s="194" t="str">
        <x:f>IF(D167="","",IF(D167&gt;='参数'!$B$30,1,IF(D167&lt;=-'参数'!$B$30,-1,0)))</x:f>
      </x:c>
      <x:c r="G167" s="194" t="str">
        <x:f>IF(C167="","",IF(C167&gt;='参数'!$B$37,1,IF(C167&lt;=-'参数'!$B$37,-1,0)))</x:f>
      </x:c>
      <x:c r="H167" s="194" t="str">
        <x:f>IF(OR(F167="",G167=""),"",--(F167=G167))</x:f>
      </x:c>
      <x:c r="I167" s="214" t="str">
        <x:f>IF(D167="","",D167*'参数'!$B$34)</x:f>
      </x:c>
      <x:c r="J167" s="214" t="str">
        <x:f>IF(OR(C167="",I167=""),"",ABS(C167-I167))</x:f>
      </x:c>
      <x:c r="K167" s="194" t="str">
        <x:f>IF(D167="","",IF(MAX(ABS(SUM(L167:M167)),ABS(SUM(N167:P167)),ABS(Q167),ABS(SUM(R167:T167)),ABS(SUM(U167:V167)),ABS(SUM(W167:Y167)),ABS(SUM(Z167:AB167)),ABS(SUM(AC167:AE167)))=ABS(SUM(L167:M167)),"订单流",IF(MAX(ABS(SUM(L167:M167)),ABS(SUM(N167:P167)),ABS(Q167),ABS(SUM(R167:T167)),ABS(SUM(U167:V167)),ABS(SUM(W167:Y167)),ABS(SUM(Z167:AB167)),ABS(SUM(AC167:AE167)))=ABS(SUM(N167:P167)),"流动性",IF(MAX(ABS(SUM(L167:M167)),ABS(SUM(N167:P167)),ABS(Q167),ABS(SUM(R167:T167)),ABS(SUM(U167:V167)),ABS(SUM(W167:Y167)),ABS(SUM(Z167:AB167)),ABS(SUM(AC167:AE167)))=ABS(Q167),"价格行为",IF(MAX(ABS(SUM(L167:M167)),ABS(SUM(N167:P167)),ABS(Q167),ABS(SUM(R167:T167)),ABS(SUM(U167:V167)),ABS(SUM(W167:Y167)),ABS(SUM(Z167:AB167)),ABS(SUM(AC167:AE167)))=ABS(SUM(R167:T167)),"杠杆/清算",IF(MAX(ABS(SUM(L167:M167)),ABS(SUM(N167:P167)),ABS(Q167),ABS(SUM(R167:T167)),ABS(SUM(U167:V167)),ABS(SUM(W167:Y167)),ABS(SUM(Z167:AB167)),ABS(SUM(AC167:AE167)))=ABS(SUM(U167:V167)),"衍生品",IF(MAX(ABS(SUM(L167:M167)),ABS(SUM(N167:P167)),ABS(Q167),ABS(SUM(R167:T167)),ABS(SUM(U167:V167)),ABS(SUM(W167:Y167)),ABS(SUM(Z167:AB167)),ABS(SUM(AC167:AE167)))=ABS(SUM(W167:Y167)),"跨市场",IF(MAX(ABS(SUM(L167:M167)),ABS(SUM(N167:P167)),ABS(Q167),ABS(SUM(R167:T167)),ABS(SUM(U167:V167)),ABS(SUM(W167:Y167)),ABS(SUM(Z167:AB167)),ABS(SUM(AC167:AE167)))=ABS(SUM(Z167:AB167)),"宏观代理","事件"))))))))</x:f>
      </x:c>
      <x:c r="L167" s="198"/>
      <x:c r="M167" s="198"/>
      <x:c r="N167" s="198"/>
      <x:c r="O167" s="198"/>
      <x:c r="P167" s="198"/>
      <x:c r="Q167" s="198"/>
      <x:c r="R167" s="198"/>
      <x:c r="S167" s="198"/>
      <x:c r="T167" s="198"/>
      <x:c r="U167" s="198"/>
      <x:c r="V167" s="198"/>
      <x:c r="W167" s="198"/>
      <x:c r="X167" s="198"/>
      <x:c r="Y167" s="198"/>
      <x:c r="Z167" s="198"/>
      <x:c r="AA167" s="198"/>
      <x:c r="AB167" s="198"/>
      <x:c r="AC167" s="198"/>
      <x:c r="AD167" s="198"/>
      <x:c r="AE167" s="198"/>
      <x:c r="AF167" s="215"/>
    </x:row>
    <x:row r="168">
      <x:c r="A168" s="238"/>
      <x:c r="B168" s="215" t="str">
        <x:v>正常</x:v>
      </x:c>
      <x:c r="C168" s="199"/>
      <x:c r="D168" s="223" t="str">
        <x:f>IF(COUNTA(L168:AE168)=0,"",SUMPRODUCT(L168:AE168,'参数'!$C$6:$C$25,'参数'!$D$6:$D$25,INDEX('参数'!$E$6:$J$25,0,MATCH(B168,'参数'!$E$5:$J$5,0)),'参数'!$K$6:$K$25)/SUMPRODUCT('参数'!$C$6:$C$25,'参数'!$D$6:$D$25,INDEX('参数'!$E$6:$J$25,0,MATCH(B168,'参数'!$E$5:$J$5,0)),'参数'!$K$6:$K$25))</x:f>
      </x:c>
      <x:c r="E168" s="223" t="str">
        <x:f>IF(D168="","",SUMPRODUCT(ABS(L168:AE168),'参数'!$C$6:$C$25,'参数'!$D$6:$D$25,INDEX('参数'!$E$6:$J$25,0,MATCH(B168,'参数'!$E$5:$J$5,0)))/SUMPRODUCT('参数'!$C$6:$C$25,'参数'!$D$6:$D$25,INDEX('参数'!$E$6:$J$25,0,MATCH(B168,'参数'!$E$5:$J$5,0))))</x:f>
      </x:c>
      <x:c r="F168" s="194" t="str">
        <x:f>IF(D168="","",IF(D168&gt;='参数'!$B$30,1,IF(D168&lt;=-'参数'!$B$30,-1,0)))</x:f>
      </x:c>
      <x:c r="G168" s="194" t="str">
        <x:f>IF(C168="","",IF(C168&gt;='参数'!$B$37,1,IF(C168&lt;=-'参数'!$B$37,-1,0)))</x:f>
      </x:c>
      <x:c r="H168" s="194" t="str">
        <x:f>IF(OR(F168="",G168=""),"",--(F168=G168))</x:f>
      </x:c>
      <x:c r="I168" s="214" t="str">
        <x:f>IF(D168="","",D168*'参数'!$B$34)</x:f>
      </x:c>
      <x:c r="J168" s="214" t="str">
        <x:f>IF(OR(C168="",I168=""),"",ABS(C168-I168))</x:f>
      </x:c>
      <x:c r="K168" s="194" t="str">
        <x:f>IF(D168="","",IF(MAX(ABS(SUM(L168:M168)),ABS(SUM(N168:P168)),ABS(Q168),ABS(SUM(R168:T168)),ABS(SUM(U168:V168)),ABS(SUM(W168:Y168)),ABS(SUM(Z168:AB168)),ABS(SUM(AC168:AE168)))=ABS(SUM(L168:M168)),"订单流",IF(MAX(ABS(SUM(L168:M168)),ABS(SUM(N168:P168)),ABS(Q168),ABS(SUM(R168:T168)),ABS(SUM(U168:V168)),ABS(SUM(W168:Y168)),ABS(SUM(Z168:AB168)),ABS(SUM(AC168:AE168)))=ABS(SUM(N168:P168)),"流动性",IF(MAX(ABS(SUM(L168:M168)),ABS(SUM(N168:P168)),ABS(Q168),ABS(SUM(R168:T168)),ABS(SUM(U168:V168)),ABS(SUM(W168:Y168)),ABS(SUM(Z168:AB168)),ABS(SUM(AC168:AE168)))=ABS(Q168),"价格行为",IF(MAX(ABS(SUM(L168:M168)),ABS(SUM(N168:P168)),ABS(Q168),ABS(SUM(R168:T168)),ABS(SUM(U168:V168)),ABS(SUM(W168:Y168)),ABS(SUM(Z168:AB168)),ABS(SUM(AC168:AE168)))=ABS(SUM(R168:T168)),"杠杆/清算",IF(MAX(ABS(SUM(L168:M168)),ABS(SUM(N168:P168)),ABS(Q168),ABS(SUM(R168:T168)),ABS(SUM(U168:V168)),ABS(SUM(W168:Y168)),ABS(SUM(Z168:AB168)),ABS(SUM(AC168:AE168)))=ABS(SUM(U168:V168)),"衍生品",IF(MAX(ABS(SUM(L168:M168)),ABS(SUM(N168:P168)),ABS(Q168),ABS(SUM(R168:T168)),ABS(SUM(U168:V168)),ABS(SUM(W168:Y168)),ABS(SUM(Z168:AB168)),ABS(SUM(AC168:AE168)))=ABS(SUM(W168:Y168)),"跨市场",IF(MAX(ABS(SUM(L168:M168)),ABS(SUM(N168:P168)),ABS(Q168),ABS(SUM(R168:T168)),ABS(SUM(U168:V168)),ABS(SUM(W168:Y168)),ABS(SUM(Z168:AB168)),ABS(SUM(AC168:AE168)))=ABS(SUM(Z168:AB168)),"宏观代理","事件"))))))))</x:f>
      </x:c>
      <x:c r="L168" s="198"/>
      <x:c r="M168" s="198"/>
      <x:c r="N168" s="198"/>
      <x:c r="O168" s="198"/>
      <x:c r="P168" s="198"/>
      <x:c r="Q168" s="198"/>
      <x:c r="R168" s="198"/>
      <x:c r="S168" s="198"/>
      <x:c r="T168" s="198"/>
      <x:c r="U168" s="198"/>
      <x:c r="V168" s="198"/>
      <x:c r="W168" s="198"/>
      <x:c r="X168" s="198"/>
      <x:c r="Y168" s="198"/>
      <x:c r="Z168" s="198"/>
      <x:c r="AA168" s="198"/>
      <x:c r="AB168" s="198"/>
      <x:c r="AC168" s="198"/>
      <x:c r="AD168" s="198"/>
      <x:c r="AE168" s="198"/>
      <x:c r="AF168" s="215"/>
    </x:row>
    <x:row r="169">
      <x:c r="A169" s="238"/>
      <x:c r="B169" s="215" t="str">
        <x:v>正常</x:v>
      </x:c>
      <x:c r="C169" s="199"/>
      <x:c r="D169" s="223" t="str">
        <x:f>IF(COUNTA(L169:AE169)=0,"",SUMPRODUCT(L169:AE169,'参数'!$C$6:$C$25,'参数'!$D$6:$D$25,INDEX('参数'!$E$6:$J$25,0,MATCH(B169,'参数'!$E$5:$J$5,0)),'参数'!$K$6:$K$25)/SUMPRODUCT('参数'!$C$6:$C$25,'参数'!$D$6:$D$25,INDEX('参数'!$E$6:$J$25,0,MATCH(B169,'参数'!$E$5:$J$5,0)),'参数'!$K$6:$K$25))</x:f>
      </x:c>
      <x:c r="E169" s="223" t="str">
        <x:f>IF(D169="","",SUMPRODUCT(ABS(L169:AE169),'参数'!$C$6:$C$25,'参数'!$D$6:$D$25,INDEX('参数'!$E$6:$J$25,0,MATCH(B169,'参数'!$E$5:$J$5,0)))/SUMPRODUCT('参数'!$C$6:$C$25,'参数'!$D$6:$D$25,INDEX('参数'!$E$6:$J$25,0,MATCH(B169,'参数'!$E$5:$J$5,0))))</x:f>
      </x:c>
      <x:c r="F169" s="194" t="str">
        <x:f>IF(D169="","",IF(D169&gt;='参数'!$B$30,1,IF(D169&lt;=-'参数'!$B$30,-1,0)))</x:f>
      </x:c>
      <x:c r="G169" s="194" t="str">
        <x:f>IF(C169="","",IF(C169&gt;='参数'!$B$37,1,IF(C169&lt;=-'参数'!$B$37,-1,0)))</x:f>
      </x:c>
      <x:c r="H169" s="194" t="str">
        <x:f>IF(OR(F169="",G169=""),"",--(F169=G169))</x:f>
      </x:c>
      <x:c r="I169" s="214" t="str">
        <x:f>IF(D169="","",D169*'参数'!$B$34)</x:f>
      </x:c>
      <x:c r="J169" s="214" t="str">
        <x:f>IF(OR(C169="",I169=""),"",ABS(C169-I169))</x:f>
      </x:c>
      <x:c r="K169" s="194" t="str">
        <x:f>IF(D169="","",IF(MAX(ABS(SUM(L169:M169)),ABS(SUM(N169:P169)),ABS(Q169),ABS(SUM(R169:T169)),ABS(SUM(U169:V169)),ABS(SUM(W169:Y169)),ABS(SUM(Z169:AB169)),ABS(SUM(AC169:AE169)))=ABS(SUM(L169:M169)),"订单流",IF(MAX(ABS(SUM(L169:M169)),ABS(SUM(N169:P169)),ABS(Q169),ABS(SUM(R169:T169)),ABS(SUM(U169:V169)),ABS(SUM(W169:Y169)),ABS(SUM(Z169:AB169)),ABS(SUM(AC169:AE169)))=ABS(SUM(N169:P169)),"流动性",IF(MAX(ABS(SUM(L169:M169)),ABS(SUM(N169:P169)),ABS(Q169),ABS(SUM(R169:T169)),ABS(SUM(U169:V169)),ABS(SUM(W169:Y169)),ABS(SUM(Z169:AB169)),ABS(SUM(AC169:AE169)))=ABS(Q169),"价格行为",IF(MAX(ABS(SUM(L169:M169)),ABS(SUM(N169:P169)),ABS(Q169),ABS(SUM(R169:T169)),ABS(SUM(U169:V169)),ABS(SUM(W169:Y169)),ABS(SUM(Z169:AB169)),ABS(SUM(AC169:AE169)))=ABS(SUM(R169:T169)),"杠杆/清算",IF(MAX(ABS(SUM(L169:M169)),ABS(SUM(N169:P169)),ABS(Q169),ABS(SUM(R169:T169)),ABS(SUM(U169:V169)),ABS(SUM(W169:Y169)),ABS(SUM(Z169:AB169)),ABS(SUM(AC169:AE169)))=ABS(SUM(U169:V169)),"衍生品",IF(MAX(ABS(SUM(L169:M169)),ABS(SUM(N169:P169)),ABS(Q169),ABS(SUM(R169:T169)),ABS(SUM(U169:V169)),ABS(SUM(W169:Y169)),ABS(SUM(Z169:AB169)),ABS(SUM(AC169:AE169)))=ABS(SUM(W169:Y169)),"跨市场",IF(MAX(ABS(SUM(L169:M169)),ABS(SUM(N169:P169)),ABS(Q169),ABS(SUM(R169:T169)),ABS(SUM(U169:V169)),ABS(SUM(W169:Y169)),ABS(SUM(Z169:AB169)),ABS(SUM(AC169:AE169)))=ABS(SUM(Z169:AB169)),"宏观代理","事件"))))))))</x:f>
      </x:c>
      <x:c r="L169" s="198"/>
      <x:c r="M169" s="198"/>
      <x:c r="N169" s="198"/>
      <x:c r="O169" s="198"/>
      <x:c r="P169" s="198"/>
      <x:c r="Q169" s="198"/>
      <x:c r="R169" s="198"/>
      <x:c r="S169" s="198"/>
      <x:c r="T169" s="198"/>
      <x:c r="U169" s="198"/>
      <x:c r="V169" s="198"/>
      <x:c r="W169" s="198"/>
      <x:c r="X169" s="198"/>
      <x:c r="Y169" s="198"/>
      <x:c r="Z169" s="198"/>
      <x:c r="AA169" s="198"/>
      <x:c r="AB169" s="198"/>
      <x:c r="AC169" s="198"/>
      <x:c r="AD169" s="198"/>
      <x:c r="AE169" s="198"/>
      <x:c r="AF169" s="215"/>
    </x:row>
    <x:row r="170">
      <x:c r="A170" s="238"/>
      <x:c r="B170" s="215" t="str">
        <x:v>正常</x:v>
      </x:c>
      <x:c r="C170" s="199"/>
      <x:c r="D170" s="223" t="str">
        <x:f>IF(COUNTA(L170:AE170)=0,"",SUMPRODUCT(L170:AE170,'参数'!$C$6:$C$25,'参数'!$D$6:$D$25,INDEX('参数'!$E$6:$J$25,0,MATCH(B170,'参数'!$E$5:$J$5,0)),'参数'!$K$6:$K$25)/SUMPRODUCT('参数'!$C$6:$C$25,'参数'!$D$6:$D$25,INDEX('参数'!$E$6:$J$25,0,MATCH(B170,'参数'!$E$5:$J$5,0)),'参数'!$K$6:$K$25))</x:f>
      </x:c>
      <x:c r="E170" s="223" t="str">
        <x:f>IF(D170="","",SUMPRODUCT(ABS(L170:AE170),'参数'!$C$6:$C$25,'参数'!$D$6:$D$25,INDEX('参数'!$E$6:$J$25,0,MATCH(B170,'参数'!$E$5:$J$5,0)))/SUMPRODUCT('参数'!$C$6:$C$25,'参数'!$D$6:$D$25,INDEX('参数'!$E$6:$J$25,0,MATCH(B170,'参数'!$E$5:$J$5,0))))</x:f>
      </x:c>
      <x:c r="F170" s="194" t="str">
        <x:f>IF(D170="","",IF(D170&gt;='参数'!$B$30,1,IF(D170&lt;=-'参数'!$B$30,-1,0)))</x:f>
      </x:c>
      <x:c r="G170" s="194" t="str">
        <x:f>IF(C170="","",IF(C170&gt;='参数'!$B$37,1,IF(C170&lt;=-'参数'!$B$37,-1,0)))</x:f>
      </x:c>
      <x:c r="H170" s="194" t="str">
        <x:f>IF(OR(F170="",G170=""),"",--(F170=G170))</x:f>
      </x:c>
      <x:c r="I170" s="214" t="str">
        <x:f>IF(D170="","",D170*'参数'!$B$34)</x:f>
      </x:c>
      <x:c r="J170" s="214" t="str">
        <x:f>IF(OR(C170="",I170=""),"",ABS(C170-I170))</x:f>
      </x:c>
      <x:c r="K170" s="194" t="str">
        <x:f>IF(D170="","",IF(MAX(ABS(SUM(L170:M170)),ABS(SUM(N170:P170)),ABS(Q170),ABS(SUM(R170:T170)),ABS(SUM(U170:V170)),ABS(SUM(W170:Y170)),ABS(SUM(Z170:AB170)),ABS(SUM(AC170:AE170)))=ABS(SUM(L170:M170)),"订单流",IF(MAX(ABS(SUM(L170:M170)),ABS(SUM(N170:P170)),ABS(Q170),ABS(SUM(R170:T170)),ABS(SUM(U170:V170)),ABS(SUM(W170:Y170)),ABS(SUM(Z170:AB170)),ABS(SUM(AC170:AE170)))=ABS(SUM(N170:P170)),"流动性",IF(MAX(ABS(SUM(L170:M170)),ABS(SUM(N170:P170)),ABS(Q170),ABS(SUM(R170:T170)),ABS(SUM(U170:V170)),ABS(SUM(W170:Y170)),ABS(SUM(Z170:AB170)),ABS(SUM(AC170:AE170)))=ABS(Q170),"价格行为",IF(MAX(ABS(SUM(L170:M170)),ABS(SUM(N170:P170)),ABS(Q170),ABS(SUM(R170:T170)),ABS(SUM(U170:V170)),ABS(SUM(W170:Y170)),ABS(SUM(Z170:AB170)),ABS(SUM(AC170:AE170)))=ABS(SUM(R170:T170)),"杠杆/清算",IF(MAX(ABS(SUM(L170:M170)),ABS(SUM(N170:P170)),ABS(Q170),ABS(SUM(R170:T170)),ABS(SUM(U170:V170)),ABS(SUM(W170:Y170)),ABS(SUM(Z170:AB170)),ABS(SUM(AC170:AE170)))=ABS(SUM(U170:V170)),"衍生品",IF(MAX(ABS(SUM(L170:M170)),ABS(SUM(N170:P170)),ABS(Q170),ABS(SUM(R170:T170)),ABS(SUM(U170:V170)),ABS(SUM(W170:Y170)),ABS(SUM(Z170:AB170)),ABS(SUM(AC170:AE170)))=ABS(SUM(W170:Y170)),"跨市场",IF(MAX(ABS(SUM(L170:M170)),ABS(SUM(N170:P170)),ABS(Q170),ABS(SUM(R170:T170)),ABS(SUM(U170:V170)),ABS(SUM(W170:Y170)),ABS(SUM(Z170:AB170)),ABS(SUM(AC170:AE170)))=ABS(SUM(Z170:AB170)),"宏观代理","事件"))))))))</x:f>
      </x:c>
      <x:c r="L170" s="198"/>
      <x:c r="M170" s="198"/>
      <x:c r="N170" s="198"/>
      <x:c r="O170" s="198"/>
      <x:c r="P170" s="198"/>
      <x:c r="Q170" s="198"/>
      <x:c r="R170" s="198"/>
      <x:c r="S170" s="198"/>
      <x:c r="T170" s="198"/>
      <x:c r="U170" s="198"/>
      <x:c r="V170" s="198"/>
      <x:c r="W170" s="198"/>
      <x:c r="X170" s="198"/>
      <x:c r="Y170" s="198"/>
      <x:c r="Z170" s="198"/>
      <x:c r="AA170" s="198"/>
      <x:c r="AB170" s="198"/>
      <x:c r="AC170" s="198"/>
      <x:c r="AD170" s="198"/>
      <x:c r="AE170" s="198"/>
      <x:c r="AF170" s="215"/>
    </x:row>
    <x:row r="171">
      <x:c r="A171" s="238"/>
      <x:c r="B171" s="215" t="str">
        <x:v>正常</x:v>
      </x:c>
      <x:c r="C171" s="199"/>
      <x:c r="D171" s="223" t="str">
        <x:f>IF(COUNTA(L171:AE171)=0,"",SUMPRODUCT(L171:AE171,'参数'!$C$6:$C$25,'参数'!$D$6:$D$25,INDEX('参数'!$E$6:$J$25,0,MATCH(B171,'参数'!$E$5:$J$5,0)),'参数'!$K$6:$K$25)/SUMPRODUCT('参数'!$C$6:$C$25,'参数'!$D$6:$D$25,INDEX('参数'!$E$6:$J$25,0,MATCH(B171,'参数'!$E$5:$J$5,0)),'参数'!$K$6:$K$25))</x:f>
      </x:c>
      <x:c r="E171" s="223" t="str">
        <x:f>IF(D171="","",SUMPRODUCT(ABS(L171:AE171),'参数'!$C$6:$C$25,'参数'!$D$6:$D$25,INDEX('参数'!$E$6:$J$25,0,MATCH(B171,'参数'!$E$5:$J$5,0)))/SUMPRODUCT('参数'!$C$6:$C$25,'参数'!$D$6:$D$25,INDEX('参数'!$E$6:$J$25,0,MATCH(B171,'参数'!$E$5:$J$5,0))))</x:f>
      </x:c>
      <x:c r="F171" s="194" t="str">
        <x:f>IF(D171="","",IF(D171&gt;='参数'!$B$30,1,IF(D171&lt;=-'参数'!$B$30,-1,0)))</x:f>
      </x:c>
      <x:c r="G171" s="194" t="str">
        <x:f>IF(C171="","",IF(C171&gt;='参数'!$B$37,1,IF(C171&lt;=-'参数'!$B$37,-1,0)))</x:f>
      </x:c>
      <x:c r="H171" s="194" t="str">
        <x:f>IF(OR(F171="",G171=""),"",--(F171=G171))</x:f>
      </x:c>
      <x:c r="I171" s="214" t="str">
        <x:f>IF(D171="","",D171*'参数'!$B$34)</x:f>
      </x:c>
      <x:c r="J171" s="214" t="str">
        <x:f>IF(OR(C171="",I171=""),"",ABS(C171-I171))</x:f>
      </x:c>
      <x:c r="K171" s="194" t="str">
        <x:f>IF(D171="","",IF(MAX(ABS(SUM(L171:M171)),ABS(SUM(N171:P171)),ABS(Q171),ABS(SUM(R171:T171)),ABS(SUM(U171:V171)),ABS(SUM(W171:Y171)),ABS(SUM(Z171:AB171)),ABS(SUM(AC171:AE171)))=ABS(SUM(L171:M171)),"订单流",IF(MAX(ABS(SUM(L171:M171)),ABS(SUM(N171:P171)),ABS(Q171),ABS(SUM(R171:T171)),ABS(SUM(U171:V171)),ABS(SUM(W171:Y171)),ABS(SUM(Z171:AB171)),ABS(SUM(AC171:AE171)))=ABS(SUM(N171:P171)),"流动性",IF(MAX(ABS(SUM(L171:M171)),ABS(SUM(N171:P171)),ABS(Q171),ABS(SUM(R171:T171)),ABS(SUM(U171:V171)),ABS(SUM(W171:Y171)),ABS(SUM(Z171:AB171)),ABS(SUM(AC171:AE171)))=ABS(Q171),"价格行为",IF(MAX(ABS(SUM(L171:M171)),ABS(SUM(N171:P171)),ABS(Q171),ABS(SUM(R171:T171)),ABS(SUM(U171:V171)),ABS(SUM(W171:Y171)),ABS(SUM(Z171:AB171)),ABS(SUM(AC171:AE171)))=ABS(SUM(R171:T171)),"杠杆/清算",IF(MAX(ABS(SUM(L171:M171)),ABS(SUM(N171:P171)),ABS(Q171),ABS(SUM(R171:T171)),ABS(SUM(U171:V171)),ABS(SUM(W171:Y171)),ABS(SUM(Z171:AB171)),ABS(SUM(AC171:AE171)))=ABS(SUM(U171:V171)),"衍生品",IF(MAX(ABS(SUM(L171:M171)),ABS(SUM(N171:P171)),ABS(Q171),ABS(SUM(R171:T171)),ABS(SUM(U171:V171)),ABS(SUM(W171:Y171)),ABS(SUM(Z171:AB171)),ABS(SUM(AC171:AE171)))=ABS(SUM(W171:Y171)),"跨市场",IF(MAX(ABS(SUM(L171:M171)),ABS(SUM(N171:P171)),ABS(Q171),ABS(SUM(R171:T171)),ABS(SUM(U171:V171)),ABS(SUM(W171:Y171)),ABS(SUM(Z171:AB171)),ABS(SUM(AC171:AE171)))=ABS(SUM(Z171:AB171)),"宏观代理","事件"))))))))</x:f>
      </x:c>
      <x:c r="L171" s="198"/>
      <x:c r="M171" s="198"/>
      <x:c r="N171" s="198"/>
      <x:c r="O171" s="198"/>
      <x:c r="P171" s="198"/>
      <x:c r="Q171" s="198"/>
      <x:c r="R171" s="198"/>
      <x:c r="S171" s="198"/>
      <x:c r="T171" s="198"/>
      <x:c r="U171" s="198"/>
      <x:c r="V171" s="198"/>
      <x:c r="W171" s="198"/>
      <x:c r="X171" s="198"/>
      <x:c r="Y171" s="198"/>
      <x:c r="Z171" s="198"/>
      <x:c r="AA171" s="198"/>
      <x:c r="AB171" s="198"/>
      <x:c r="AC171" s="198"/>
      <x:c r="AD171" s="198"/>
      <x:c r="AE171" s="198"/>
      <x:c r="AF171" s="215"/>
    </x:row>
    <x:row r="172">
      <x:c r="A172" s="238"/>
      <x:c r="B172" s="215" t="str">
        <x:v>正常</x:v>
      </x:c>
      <x:c r="C172" s="199"/>
      <x:c r="D172" s="223" t="str">
        <x:f>IF(COUNTA(L172:AE172)=0,"",SUMPRODUCT(L172:AE172,'参数'!$C$6:$C$25,'参数'!$D$6:$D$25,INDEX('参数'!$E$6:$J$25,0,MATCH(B172,'参数'!$E$5:$J$5,0)),'参数'!$K$6:$K$25)/SUMPRODUCT('参数'!$C$6:$C$25,'参数'!$D$6:$D$25,INDEX('参数'!$E$6:$J$25,0,MATCH(B172,'参数'!$E$5:$J$5,0)),'参数'!$K$6:$K$25))</x:f>
      </x:c>
      <x:c r="E172" s="223" t="str">
        <x:f>IF(D172="","",SUMPRODUCT(ABS(L172:AE172),'参数'!$C$6:$C$25,'参数'!$D$6:$D$25,INDEX('参数'!$E$6:$J$25,0,MATCH(B172,'参数'!$E$5:$J$5,0)))/SUMPRODUCT('参数'!$C$6:$C$25,'参数'!$D$6:$D$25,INDEX('参数'!$E$6:$J$25,0,MATCH(B172,'参数'!$E$5:$J$5,0))))</x:f>
      </x:c>
      <x:c r="F172" s="194" t="str">
        <x:f>IF(D172="","",IF(D172&gt;='参数'!$B$30,1,IF(D172&lt;=-'参数'!$B$30,-1,0)))</x:f>
      </x:c>
      <x:c r="G172" s="194" t="str">
        <x:f>IF(C172="","",IF(C172&gt;='参数'!$B$37,1,IF(C172&lt;=-'参数'!$B$37,-1,0)))</x:f>
      </x:c>
      <x:c r="H172" s="194" t="str">
        <x:f>IF(OR(F172="",G172=""),"",--(F172=G172))</x:f>
      </x:c>
      <x:c r="I172" s="214" t="str">
        <x:f>IF(D172="","",D172*'参数'!$B$34)</x:f>
      </x:c>
      <x:c r="J172" s="214" t="str">
        <x:f>IF(OR(C172="",I172=""),"",ABS(C172-I172))</x:f>
      </x:c>
      <x:c r="K172" s="194" t="str">
        <x:f>IF(D172="","",IF(MAX(ABS(SUM(L172:M172)),ABS(SUM(N172:P172)),ABS(Q172),ABS(SUM(R172:T172)),ABS(SUM(U172:V172)),ABS(SUM(W172:Y172)),ABS(SUM(Z172:AB172)),ABS(SUM(AC172:AE172)))=ABS(SUM(L172:M172)),"订单流",IF(MAX(ABS(SUM(L172:M172)),ABS(SUM(N172:P172)),ABS(Q172),ABS(SUM(R172:T172)),ABS(SUM(U172:V172)),ABS(SUM(W172:Y172)),ABS(SUM(Z172:AB172)),ABS(SUM(AC172:AE172)))=ABS(SUM(N172:P172)),"流动性",IF(MAX(ABS(SUM(L172:M172)),ABS(SUM(N172:P172)),ABS(Q172),ABS(SUM(R172:T172)),ABS(SUM(U172:V172)),ABS(SUM(W172:Y172)),ABS(SUM(Z172:AB172)),ABS(SUM(AC172:AE172)))=ABS(Q172),"价格行为",IF(MAX(ABS(SUM(L172:M172)),ABS(SUM(N172:P172)),ABS(Q172),ABS(SUM(R172:T172)),ABS(SUM(U172:V172)),ABS(SUM(W172:Y172)),ABS(SUM(Z172:AB172)),ABS(SUM(AC172:AE172)))=ABS(SUM(R172:T172)),"杠杆/清算",IF(MAX(ABS(SUM(L172:M172)),ABS(SUM(N172:P172)),ABS(Q172),ABS(SUM(R172:T172)),ABS(SUM(U172:V172)),ABS(SUM(W172:Y172)),ABS(SUM(Z172:AB172)),ABS(SUM(AC172:AE172)))=ABS(SUM(U172:V172)),"衍生品",IF(MAX(ABS(SUM(L172:M172)),ABS(SUM(N172:P172)),ABS(Q172),ABS(SUM(R172:T172)),ABS(SUM(U172:V172)),ABS(SUM(W172:Y172)),ABS(SUM(Z172:AB172)),ABS(SUM(AC172:AE172)))=ABS(SUM(W172:Y172)),"跨市场",IF(MAX(ABS(SUM(L172:M172)),ABS(SUM(N172:P172)),ABS(Q172),ABS(SUM(R172:T172)),ABS(SUM(U172:V172)),ABS(SUM(W172:Y172)),ABS(SUM(Z172:AB172)),ABS(SUM(AC172:AE172)))=ABS(SUM(Z172:AB172)),"宏观代理","事件"))))))))</x:f>
      </x:c>
      <x:c r="L172" s="198"/>
      <x:c r="M172" s="198"/>
      <x:c r="N172" s="198"/>
      <x:c r="O172" s="198"/>
      <x:c r="P172" s="198"/>
      <x:c r="Q172" s="198"/>
      <x:c r="R172" s="198"/>
      <x:c r="S172" s="198"/>
      <x:c r="T172" s="198"/>
      <x:c r="U172" s="198"/>
      <x:c r="V172" s="198"/>
      <x:c r="W172" s="198"/>
      <x:c r="X172" s="198"/>
      <x:c r="Y172" s="198"/>
      <x:c r="Z172" s="198"/>
      <x:c r="AA172" s="198"/>
      <x:c r="AB172" s="198"/>
      <x:c r="AC172" s="198"/>
      <x:c r="AD172" s="198"/>
      <x:c r="AE172" s="198"/>
      <x:c r="AF172" s="215"/>
    </x:row>
    <x:row r="173">
      <x:c r="A173" s="238"/>
      <x:c r="B173" s="215" t="str">
        <x:v>正常</x:v>
      </x:c>
      <x:c r="C173" s="199"/>
      <x:c r="D173" s="223" t="str">
        <x:f>IF(COUNTA(L173:AE173)=0,"",SUMPRODUCT(L173:AE173,'参数'!$C$6:$C$25,'参数'!$D$6:$D$25,INDEX('参数'!$E$6:$J$25,0,MATCH(B173,'参数'!$E$5:$J$5,0)),'参数'!$K$6:$K$25)/SUMPRODUCT('参数'!$C$6:$C$25,'参数'!$D$6:$D$25,INDEX('参数'!$E$6:$J$25,0,MATCH(B173,'参数'!$E$5:$J$5,0)),'参数'!$K$6:$K$25))</x:f>
      </x:c>
      <x:c r="E173" s="223" t="str">
        <x:f>IF(D173="","",SUMPRODUCT(ABS(L173:AE173),'参数'!$C$6:$C$25,'参数'!$D$6:$D$25,INDEX('参数'!$E$6:$J$25,0,MATCH(B173,'参数'!$E$5:$J$5,0)))/SUMPRODUCT('参数'!$C$6:$C$25,'参数'!$D$6:$D$25,INDEX('参数'!$E$6:$J$25,0,MATCH(B173,'参数'!$E$5:$J$5,0))))</x:f>
      </x:c>
      <x:c r="F173" s="194" t="str">
        <x:f>IF(D173="","",IF(D173&gt;='参数'!$B$30,1,IF(D173&lt;=-'参数'!$B$30,-1,0)))</x:f>
      </x:c>
      <x:c r="G173" s="194" t="str">
        <x:f>IF(C173="","",IF(C173&gt;='参数'!$B$37,1,IF(C173&lt;=-'参数'!$B$37,-1,0)))</x:f>
      </x:c>
      <x:c r="H173" s="194" t="str">
        <x:f>IF(OR(F173="",G173=""),"",--(F173=G173))</x:f>
      </x:c>
      <x:c r="I173" s="214" t="str">
        <x:f>IF(D173="","",D173*'参数'!$B$34)</x:f>
      </x:c>
      <x:c r="J173" s="214" t="str">
        <x:f>IF(OR(C173="",I173=""),"",ABS(C173-I173))</x:f>
      </x:c>
      <x:c r="K173" s="194" t="str">
        <x:f>IF(D173="","",IF(MAX(ABS(SUM(L173:M173)),ABS(SUM(N173:P173)),ABS(Q173),ABS(SUM(R173:T173)),ABS(SUM(U173:V173)),ABS(SUM(W173:Y173)),ABS(SUM(Z173:AB173)),ABS(SUM(AC173:AE173)))=ABS(SUM(L173:M173)),"订单流",IF(MAX(ABS(SUM(L173:M173)),ABS(SUM(N173:P173)),ABS(Q173),ABS(SUM(R173:T173)),ABS(SUM(U173:V173)),ABS(SUM(W173:Y173)),ABS(SUM(Z173:AB173)),ABS(SUM(AC173:AE173)))=ABS(SUM(N173:P173)),"流动性",IF(MAX(ABS(SUM(L173:M173)),ABS(SUM(N173:P173)),ABS(Q173),ABS(SUM(R173:T173)),ABS(SUM(U173:V173)),ABS(SUM(W173:Y173)),ABS(SUM(Z173:AB173)),ABS(SUM(AC173:AE173)))=ABS(Q173),"价格行为",IF(MAX(ABS(SUM(L173:M173)),ABS(SUM(N173:P173)),ABS(Q173),ABS(SUM(R173:T173)),ABS(SUM(U173:V173)),ABS(SUM(W173:Y173)),ABS(SUM(Z173:AB173)),ABS(SUM(AC173:AE173)))=ABS(SUM(R173:T173)),"杠杆/清算",IF(MAX(ABS(SUM(L173:M173)),ABS(SUM(N173:P173)),ABS(Q173),ABS(SUM(R173:T173)),ABS(SUM(U173:V173)),ABS(SUM(W173:Y173)),ABS(SUM(Z173:AB173)),ABS(SUM(AC173:AE173)))=ABS(SUM(U173:V173)),"衍生品",IF(MAX(ABS(SUM(L173:M173)),ABS(SUM(N173:P173)),ABS(Q173),ABS(SUM(R173:T173)),ABS(SUM(U173:V173)),ABS(SUM(W173:Y173)),ABS(SUM(Z173:AB173)),ABS(SUM(AC173:AE173)))=ABS(SUM(W173:Y173)),"跨市场",IF(MAX(ABS(SUM(L173:M173)),ABS(SUM(N173:P173)),ABS(Q173),ABS(SUM(R173:T173)),ABS(SUM(U173:V173)),ABS(SUM(W173:Y173)),ABS(SUM(Z173:AB173)),ABS(SUM(AC173:AE173)))=ABS(SUM(Z173:AB173)),"宏观代理","事件"))))))))</x:f>
      </x:c>
      <x:c r="L173" s="198"/>
      <x:c r="M173" s="198"/>
      <x:c r="N173" s="198"/>
      <x:c r="O173" s="198"/>
      <x:c r="P173" s="198"/>
      <x:c r="Q173" s="198"/>
      <x:c r="R173" s="198"/>
      <x:c r="S173" s="198"/>
      <x:c r="T173" s="198"/>
      <x:c r="U173" s="198"/>
      <x:c r="V173" s="198"/>
      <x:c r="W173" s="198"/>
      <x:c r="X173" s="198"/>
      <x:c r="Y173" s="198"/>
      <x:c r="Z173" s="198"/>
      <x:c r="AA173" s="198"/>
      <x:c r="AB173" s="198"/>
      <x:c r="AC173" s="198"/>
      <x:c r="AD173" s="198"/>
      <x:c r="AE173" s="198"/>
      <x:c r="AF173" s="215"/>
    </x:row>
    <x:row r="174">
      <x:c r="A174" s="238"/>
      <x:c r="B174" s="215" t="str">
        <x:v>正常</x:v>
      </x:c>
      <x:c r="C174" s="199"/>
      <x:c r="D174" s="223" t="str">
        <x:f>IF(COUNTA(L174:AE174)=0,"",SUMPRODUCT(L174:AE174,'参数'!$C$6:$C$25,'参数'!$D$6:$D$25,INDEX('参数'!$E$6:$J$25,0,MATCH(B174,'参数'!$E$5:$J$5,0)),'参数'!$K$6:$K$25)/SUMPRODUCT('参数'!$C$6:$C$25,'参数'!$D$6:$D$25,INDEX('参数'!$E$6:$J$25,0,MATCH(B174,'参数'!$E$5:$J$5,0)),'参数'!$K$6:$K$25))</x:f>
      </x:c>
      <x:c r="E174" s="223" t="str">
        <x:f>IF(D174="","",SUMPRODUCT(ABS(L174:AE174),'参数'!$C$6:$C$25,'参数'!$D$6:$D$25,INDEX('参数'!$E$6:$J$25,0,MATCH(B174,'参数'!$E$5:$J$5,0)))/SUMPRODUCT('参数'!$C$6:$C$25,'参数'!$D$6:$D$25,INDEX('参数'!$E$6:$J$25,0,MATCH(B174,'参数'!$E$5:$J$5,0))))</x:f>
      </x:c>
      <x:c r="F174" s="194" t="str">
        <x:f>IF(D174="","",IF(D174&gt;='参数'!$B$30,1,IF(D174&lt;=-'参数'!$B$30,-1,0)))</x:f>
      </x:c>
      <x:c r="G174" s="194" t="str">
        <x:f>IF(C174="","",IF(C174&gt;='参数'!$B$37,1,IF(C174&lt;=-'参数'!$B$37,-1,0)))</x:f>
      </x:c>
      <x:c r="H174" s="194" t="str">
        <x:f>IF(OR(F174="",G174=""),"",--(F174=G174))</x:f>
      </x:c>
      <x:c r="I174" s="214" t="str">
        <x:f>IF(D174="","",D174*'参数'!$B$34)</x:f>
      </x:c>
      <x:c r="J174" s="214" t="str">
        <x:f>IF(OR(C174="",I174=""),"",ABS(C174-I174))</x:f>
      </x:c>
      <x:c r="K174" s="194" t="str">
        <x:f>IF(D174="","",IF(MAX(ABS(SUM(L174:M174)),ABS(SUM(N174:P174)),ABS(Q174),ABS(SUM(R174:T174)),ABS(SUM(U174:V174)),ABS(SUM(W174:Y174)),ABS(SUM(Z174:AB174)),ABS(SUM(AC174:AE174)))=ABS(SUM(L174:M174)),"订单流",IF(MAX(ABS(SUM(L174:M174)),ABS(SUM(N174:P174)),ABS(Q174),ABS(SUM(R174:T174)),ABS(SUM(U174:V174)),ABS(SUM(W174:Y174)),ABS(SUM(Z174:AB174)),ABS(SUM(AC174:AE174)))=ABS(SUM(N174:P174)),"流动性",IF(MAX(ABS(SUM(L174:M174)),ABS(SUM(N174:P174)),ABS(Q174),ABS(SUM(R174:T174)),ABS(SUM(U174:V174)),ABS(SUM(W174:Y174)),ABS(SUM(Z174:AB174)),ABS(SUM(AC174:AE174)))=ABS(Q174),"价格行为",IF(MAX(ABS(SUM(L174:M174)),ABS(SUM(N174:P174)),ABS(Q174),ABS(SUM(R174:T174)),ABS(SUM(U174:V174)),ABS(SUM(W174:Y174)),ABS(SUM(Z174:AB174)),ABS(SUM(AC174:AE174)))=ABS(SUM(R174:T174)),"杠杆/清算",IF(MAX(ABS(SUM(L174:M174)),ABS(SUM(N174:P174)),ABS(Q174),ABS(SUM(R174:T174)),ABS(SUM(U174:V174)),ABS(SUM(W174:Y174)),ABS(SUM(Z174:AB174)),ABS(SUM(AC174:AE174)))=ABS(SUM(U174:V174)),"衍生品",IF(MAX(ABS(SUM(L174:M174)),ABS(SUM(N174:P174)),ABS(Q174),ABS(SUM(R174:T174)),ABS(SUM(U174:V174)),ABS(SUM(W174:Y174)),ABS(SUM(Z174:AB174)),ABS(SUM(AC174:AE174)))=ABS(SUM(W174:Y174)),"跨市场",IF(MAX(ABS(SUM(L174:M174)),ABS(SUM(N174:P174)),ABS(Q174),ABS(SUM(R174:T174)),ABS(SUM(U174:V174)),ABS(SUM(W174:Y174)),ABS(SUM(Z174:AB174)),ABS(SUM(AC174:AE174)))=ABS(SUM(Z174:AB174)),"宏观代理","事件"))))))))</x:f>
      </x:c>
      <x:c r="L174" s="198"/>
      <x:c r="M174" s="198"/>
      <x:c r="N174" s="198"/>
      <x:c r="O174" s="198"/>
      <x:c r="P174" s="198"/>
      <x:c r="Q174" s="198"/>
      <x:c r="R174" s="198"/>
      <x:c r="S174" s="198"/>
      <x:c r="T174" s="198"/>
      <x:c r="U174" s="198"/>
      <x:c r="V174" s="198"/>
      <x:c r="W174" s="198"/>
      <x:c r="X174" s="198"/>
      <x:c r="Y174" s="198"/>
      <x:c r="Z174" s="198"/>
      <x:c r="AA174" s="198"/>
      <x:c r="AB174" s="198"/>
      <x:c r="AC174" s="198"/>
      <x:c r="AD174" s="198"/>
      <x:c r="AE174" s="198"/>
      <x:c r="AF174" s="215"/>
    </x:row>
    <x:row r="175">
      <x:c r="A175" s="238"/>
      <x:c r="B175" s="215" t="str">
        <x:v>正常</x:v>
      </x:c>
      <x:c r="C175" s="199"/>
      <x:c r="D175" s="223" t="str">
        <x:f>IF(COUNTA(L175:AE175)=0,"",SUMPRODUCT(L175:AE175,'参数'!$C$6:$C$25,'参数'!$D$6:$D$25,INDEX('参数'!$E$6:$J$25,0,MATCH(B175,'参数'!$E$5:$J$5,0)),'参数'!$K$6:$K$25)/SUMPRODUCT('参数'!$C$6:$C$25,'参数'!$D$6:$D$25,INDEX('参数'!$E$6:$J$25,0,MATCH(B175,'参数'!$E$5:$J$5,0)),'参数'!$K$6:$K$25))</x:f>
      </x:c>
      <x:c r="E175" s="223" t="str">
        <x:f>IF(D175="","",SUMPRODUCT(ABS(L175:AE175),'参数'!$C$6:$C$25,'参数'!$D$6:$D$25,INDEX('参数'!$E$6:$J$25,0,MATCH(B175,'参数'!$E$5:$J$5,0)))/SUMPRODUCT('参数'!$C$6:$C$25,'参数'!$D$6:$D$25,INDEX('参数'!$E$6:$J$25,0,MATCH(B175,'参数'!$E$5:$J$5,0))))</x:f>
      </x:c>
      <x:c r="F175" s="194" t="str">
        <x:f>IF(D175="","",IF(D175&gt;='参数'!$B$30,1,IF(D175&lt;=-'参数'!$B$30,-1,0)))</x:f>
      </x:c>
      <x:c r="G175" s="194" t="str">
        <x:f>IF(C175="","",IF(C175&gt;='参数'!$B$37,1,IF(C175&lt;=-'参数'!$B$37,-1,0)))</x:f>
      </x:c>
      <x:c r="H175" s="194" t="str">
        <x:f>IF(OR(F175="",G175=""),"",--(F175=G175))</x:f>
      </x:c>
      <x:c r="I175" s="214" t="str">
        <x:f>IF(D175="","",D175*'参数'!$B$34)</x:f>
      </x:c>
      <x:c r="J175" s="214" t="str">
        <x:f>IF(OR(C175="",I175=""),"",ABS(C175-I175))</x:f>
      </x:c>
      <x:c r="K175" s="194" t="str">
        <x:f>IF(D175="","",IF(MAX(ABS(SUM(L175:M175)),ABS(SUM(N175:P175)),ABS(Q175),ABS(SUM(R175:T175)),ABS(SUM(U175:V175)),ABS(SUM(W175:Y175)),ABS(SUM(Z175:AB175)),ABS(SUM(AC175:AE175)))=ABS(SUM(L175:M175)),"订单流",IF(MAX(ABS(SUM(L175:M175)),ABS(SUM(N175:P175)),ABS(Q175),ABS(SUM(R175:T175)),ABS(SUM(U175:V175)),ABS(SUM(W175:Y175)),ABS(SUM(Z175:AB175)),ABS(SUM(AC175:AE175)))=ABS(SUM(N175:P175)),"流动性",IF(MAX(ABS(SUM(L175:M175)),ABS(SUM(N175:P175)),ABS(Q175),ABS(SUM(R175:T175)),ABS(SUM(U175:V175)),ABS(SUM(W175:Y175)),ABS(SUM(Z175:AB175)),ABS(SUM(AC175:AE175)))=ABS(Q175),"价格行为",IF(MAX(ABS(SUM(L175:M175)),ABS(SUM(N175:P175)),ABS(Q175),ABS(SUM(R175:T175)),ABS(SUM(U175:V175)),ABS(SUM(W175:Y175)),ABS(SUM(Z175:AB175)),ABS(SUM(AC175:AE175)))=ABS(SUM(R175:T175)),"杠杆/清算",IF(MAX(ABS(SUM(L175:M175)),ABS(SUM(N175:P175)),ABS(Q175),ABS(SUM(R175:T175)),ABS(SUM(U175:V175)),ABS(SUM(W175:Y175)),ABS(SUM(Z175:AB175)),ABS(SUM(AC175:AE175)))=ABS(SUM(U175:V175)),"衍生品",IF(MAX(ABS(SUM(L175:M175)),ABS(SUM(N175:P175)),ABS(Q175),ABS(SUM(R175:T175)),ABS(SUM(U175:V175)),ABS(SUM(W175:Y175)),ABS(SUM(Z175:AB175)),ABS(SUM(AC175:AE175)))=ABS(SUM(W175:Y175)),"跨市场",IF(MAX(ABS(SUM(L175:M175)),ABS(SUM(N175:P175)),ABS(Q175),ABS(SUM(R175:T175)),ABS(SUM(U175:V175)),ABS(SUM(W175:Y175)),ABS(SUM(Z175:AB175)),ABS(SUM(AC175:AE175)))=ABS(SUM(Z175:AB175)),"宏观代理","事件"))))))))</x:f>
      </x:c>
      <x:c r="L175" s="198"/>
      <x:c r="M175" s="198"/>
      <x:c r="N175" s="198"/>
      <x:c r="O175" s="198"/>
      <x:c r="P175" s="198"/>
      <x:c r="Q175" s="198"/>
      <x:c r="R175" s="198"/>
      <x:c r="S175" s="198"/>
      <x:c r="T175" s="198"/>
      <x:c r="U175" s="198"/>
      <x:c r="V175" s="198"/>
      <x:c r="W175" s="198"/>
      <x:c r="X175" s="198"/>
      <x:c r="Y175" s="198"/>
      <x:c r="Z175" s="198"/>
      <x:c r="AA175" s="198"/>
      <x:c r="AB175" s="198"/>
      <x:c r="AC175" s="198"/>
      <x:c r="AD175" s="198"/>
      <x:c r="AE175" s="198"/>
      <x:c r="AF175" s="215"/>
    </x:row>
    <x:row r="176">
      <x:c r="A176" s="238"/>
      <x:c r="B176" s="215" t="str">
        <x:v>正常</x:v>
      </x:c>
      <x:c r="C176" s="199"/>
      <x:c r="D176" s="223" t="str">
        <x:f>IF(COUNTA(L176:AE176)=0,"",SUMPRODUCT(L176:AE176,'参数'!$C$6:$C$25,'参数'!$D$6:$D$25,INDEX('参数'!$E$6:$J$25,0,MATCH(B176,'参数'!$E$5:$J$5,0)),'参数'!$K$6:$K$25)/SUMPRODUCT('参数'!$C$6:$C$25,'参数'!$D$6:$D$25,INDEX('参数'!$E$6:$J$25,0,MATCH(B176,'参数'!$E$5:$J$5,0)),'参数'!$K$6:$K$25))</x:f>
      </x:c>
      <x:c r="E176" s="223" t="str">
        <x:f>IF(D176="","",SUMPRODUCT(ABS(L176:AE176),'参数'!$C$6:$C$25,'参数'!$D$6:$D$25,INDEX('参数'!$E$6:$J$25,0,MATCH(B176,'参数'!$E$5:$J$5,0)))/SUMPRODUCT('参数'!$C$6:$C$25,'参数'!$D$6:$D$25,INDEX('参数'!$E$6:$J$25,0,MATCH(B176,'参数'!$E$5:$J$5,0))))</x:f>
      </x:c>
      <x:c r="F176" s="194" t="str">
        <x:f>IF(D176="","",IF(D176&gt;='参数'!$B$30,1,IF(D176&lt;=-'参数'!$B$30,-1,0)))</x:f>
      </x:c>
      <x:c r="G176" s="194" t="str">
        <x:f>IF(C176="","",IF(C176&gt;='参数'!$B$37,1,IF(C176&lt;=-'参数'!$B$37,-1,0)))</x:f>
      </x:c>
      <x:c r="H176" s="194" t="str">
        <x:f>IF(OR(F176="",G176=""),"",--(F176=G176))</x:f>
      </x:c>
      <x:c r="I176" s="214" t="str">
        <x:f>IF(D176="","",D176*'参数'!$B$34)</x:f>
      </x:c>
      <x:c r="J176" s="214" t="str">
        <x:f>IF(OR(C176="",I176=""),"",ABS(C176-I176))</x:f>
      </x:c>
      <x:c r="K176" s="194" t="str">
        <x:f>IF(D176="","",IF(MAX(ABS(SUM(L176:M176)),ABS(SUM(N176:P176)),ABS(Q176),ABS(SUM(R176:T176)),ABS(SUM(U176:V176)),ABS(SUM(W176:Y176)),ABS(SUM(Z176:AB176)),ABS(SUM(AC176:AE176)))=ABS(SUM(L176:M176)),"订单流",IF(MAX(ABS(SUM(L176:M176)),ABS(SUM(N176:P176)),ABS(Q176),ABS(SUM(R176:T176)),ABS(SUM(U176:V176)),ABS(SUM(W176:Y176)),ABS(SUM(Z176:AB176)),ABS(SUM(AC176:AE176)))=ABS(SUM(N176:P176)),"流动性",IF(MAX(ABS(SUM(L176:M176)),ABS(SUM(N176:P176)),ABS(Q176),ABS(SUM(R176:T176)),ABS(SUM(U176:V176)),ABS(SUM(W176:Y176)),ABS(SUM(Z176:AB176)),ABS(SUM(AC176:AE176)))=ABS(Q176),"价格行为",IF(MAX(ABS(SUM(L176:M176)),ABS(SUM(N176:P176)),ABS(Q176),ABS(SUM(R176:T176)),ABS(SUM(U176:V176)),ABS(SUM(W176:Y176)),ABS(SUM(Z176:AB176)),ABS(SUM(AC176:AE176)))=ABS(SUM(R176:T176)),"杠杆/清算",IF(MAX(ABS(SUM(L176:M176)),ABS(SUM(N176:P176)),ABS(Q176),ABS(SUM(R176:T176)),ABS(SUM(U176:V176)),ABS(SUM(W176:Y176)),ABS(SUM(Z176:AB176)),ABS(SUM(AC176:AE176)))=ABS(SUM(U176:V176)),"衍生品",IF(MAX(ABS(SUM(L176:M176)),ABS(SUM(N176:P176)),ABS(Q176),ABS(SUM(R176:T176)),ABS(SUM(U176:V176)),ABS(SUM(W176:Y176)),ABS(SUM(Z176:AB176)),ABS(SUM(AC176:AE176)))=ABS(SUM(W176:Y176)),"跨市场",IF(MAX(ABS(SUM(L176:M176)),ABS(SUM(N176:P176)),ABS(Q176),ABS(SUM(R176:T176)),ABS(SUM(U176:V176)),ABS(SUM(W176:Y176)),ABS(SUM(Z176:AB176)),ABS(SUM(AC176:AE176)))=ABS(SUM(Z176:AB176)),"宏观代理","事件"))))))))</x:f>
      </x:c>
      <x:c r="L176" s="198"/>
      <x:c r="M176" s="198"/>
      <x:c r="N176" s="198"/>
      <x:c r="O176" s="198"/>
      <x:c r="P176" s="198"/>
      <x:c r="Q176" s="198"/>
      <x:c r="R176" s="198"/>
      <x:c r="S176" s="198"/>
      <x:c r="T176" s="198"/>
      <x:c r="U176" s="198"/>
      <x:c r="V176" s="198"/>
      <x:c r="W176" s="198"/>
      <x:c r="X176" s="198"/>
      <x:c r="Y176" s="198"/>
      <x:c r="Z176" s="198"/>
      <x:c r="AA176" s="198"/>
      <x:c r="AB176" s="198"/>
      <x:c r="AC176" s="198"/>
      <x:c r="AD176" s="198"/>
      <x:c r="AE176" s="198"/>
      <x:c r="AF176" s="215"/>
    </x:row>
    <x:row r="177">
      <x:c r="A177" s="238"/>
      <x:c r="B177" s="215" t="str">
        <x:v>正常</x:v>
      </x:c>
      <x:c r="C177" s="199"/>
      <x:c r="D177" s="223" t="str">
        <x:f>IF(COUNTA(L177:AE177)=0,"",SUMPRODUCT(L177:AE177,'参数'!$C$6:$C$25,'参数'!$D$6:$D$25,INDEX('参数'!$E$6:$J$25,0,MATCH(B177,'参数'!$E$5:$J$5,0)),'参数'!$K$6:$K$25)/SUMPRODUCT('参数'!$C$6:$C$25,'参数'!$D$6:$D$25,INDEX('参数'!$E$6:$J$25,0,MATCH(B177,'参数'!$E$5:$J$5,0)),'参数'!$K$6:$K$25))</x:f>
      </x:c>
      <x:c r="E177" s="223" t="str">
        <x:f>IF(D177="","",SUMPRODUCT(ABS(L177:AE177),'参数'!$C$6:$C$25,'参数'!$D$6:$D$25,INDEX('参数'!$E$6:$J$25,0,MATCH(B177,'参数'!$E$5:$J$5,0)))/SUMPRODUCT('参数'!$C$6:$C$25,'参数'!$D$6:$D$25,INDEX('参数'!$E$6:$J$25,0,MATCH(B177,'参数'!$E$5:$J$5,0))))</x:f>
      </x:c>
      <x:c r="F177" s="194" t="str">
        <x:f>IF(D177="","",IF(D177&gt;='参数'!$B$30,1,IF(D177&lt;=-'参数'!$B$30,-1,0)))</x:f>
      </x:c>
      <x:c r="G177" s="194" t="str">
        <x:f>IF(C177="","",IF(C177&gt;='参数'!$B$37,1,IF(C177&lt;=-'参数'!$B$37,-1,0)))</x:f>
      </x:c>
      <x:c r="H177" s="194" t="str">
        <x:f>IF(OR(F177="",G177=""),"",--(F177=G177))</x:f>
      </x:c>
      <x:c r="I177" s="214" t="str">
        <x:f>IF(D177="","",D177*'参数'!$B$34)</x:f>
      </x:c>
      <x:c r="J177" s="214" t="str">
        <x:f>IF(OR(C177="",I177=""),"",ABS(C177-I177))</x:f>
      </x:c>
      <x:c r="K177" s="194" t="str">
        <x:f>IF(D177="","",IF(MAX(ABS(SUM(L177:M177)),ABS(SUM(N177:P177)),ABS(Q177),ABS(SUM(R177:T177)),ABS(SUM(U177:V177)),ABS(SUM(W177:Y177)),ABS(SUM(Z177:AB177)),ABS(SUM(AC177:AE177)))=ABS(SUM(L177:M177)),"订单流",IF(MAX(ABS(SUM(L177:M177)),ABS(SUM(N177:P177)),ABS(Q177),ABS(SUM(R177:T177)),ABS(SUM(U177:V177)),ABS(SUM(W177:Y177)),ABS(SUM(Z177:AB177)),ABS(SUM(AC177:AE177)))=ABS(SUM(N177:P177)),"流动性",IF(MAX(ABS(SUM(L177:M177)),ABS(SUM(N177:P177)),ABS(Q177),ABS(SUM(R177:T177)),ABS(SUM(U177:V177)),ABS(SUM(W177:Y177)),ABS(SUM(Z177:AB177)),ABS(SUM(AC177:AE177)))=ABS(Q177),"价格行为",IF(MAX(ABS(SUM(L177:M177)),ABS(SUM(N177:P177)),ABS(Q177),ABS(SUM(R177:T177)),ABS(SUM(U177:V177)),ABS(SUM(W177:Y177)),ABS(SUM(Z177:AB177)),ABS(SUM(AC177:AE177)))=ABS(SUM(R177:T177)),"杠杆/清算",IF(MAX(ABS(SUM(L177:M177)),ABS(SUM(N177:P177)),ABS(Q177),ABS(SUM(R177:T177)),ABS(SUM(U177:V177)),ABS(SUM(W177:Y177)),ABS(SUM(Z177:AB177)),ABS(SUM(AC177:AE177)))=ABS(SUM(U177:V177)),"衍生品",IF(MAX(ABS(SUM(L177:M177)),ABS(SUM(N177:P177)),ABS(Q177),ABS(SUM(R177:T177)),ABS(SUM(U177:V177)),ABS(SUM(W177:Y177)),ABS(SUM(Z177:AB177)),ABS(SUM(AC177:AE177)))=ABS(SUM(W177:Y177)),"跨市场",IF(MAX(ABS(SUM(L177:M177)),ABS(SUM(N177:P177)),ABS(Q177),ABS(SUM(R177:T177)),ABS(SUM(U177:V177)),ABS(SUM(W177:Y177)),ABS(SUM(Z177:AB177)),ABS(SUM(AC177:AE177)))=ABS(SUM(Z177:AB177)),"宏观代理","事件"))))))))</x:f>
      </x:c>
      <x:c r="L177" s="198"/>
      <x:c r="M177" s="198"/>
      <x:c r="N177" s="198"/>
      <x:c r="O177" s="198"/>
      <x:c r="P177" s="198"/>
      <x:c r="Q177" s="198"/>
      <x:c r="R177" s="198"/>
      <x:c r="S177" s="198"/>
      <x:c r="T177" s="198"/>
      <x:c r="U177" s="198"/>
      <x:c r="V177" s="198"/>
      <x:c r="W177" s="198"/>
      <x:c r="X177" s="198"/>
      <x:c r="Y177" s="198"/>
      <x:c r="Z177" s="198"/>
      <x:c r="AA177" s="198"/>
      <x:c r="AB177" s="198"/>
      <x:c r="AC177" s="198"/>
      <x:c r="AD177" s="198"/>
      <x:c r="AE177" s="198"/>
      <x:c r="AF177" s="215"/>
    </x:row>
    <x:row r="178">
      <x:c r="A178" s="238"/>
      <x:c r="B178" s="215" t="str">
        <x:v>正常</x:v>
      </x:c>
      <x:c r="C178" s="199"/>
      <x:c r="D178" s="223" t="str">
        <x:f>IF(COUNTA(L178:AE178)=0,"",SUMPRODUCT(L178:AE178,'参数'!$C$6:$C$25,'参数'!$D$6:$D$25,INDEX('参数'!$E$6:$J$25,0,MATCH(B178,'参数'!$E$5:$J$5,0)),'参数'!$K$6:$K$25)/SUMPRODUCT('参数'!$C$6:$C$25,'参数'!$D$6:$D$25,INDEX('参数'!$E$6:$J$25,0,MATCH(B178,'参数'!$E$5:$J$5,0)),'参数'!$K$6:$K$25))</x:f>
      </x:c>
      <x:c r="E178" s="223" t="str">
        <x:f>IF(D178="","",SUMPRODUCT(ABS(L178:AE178),'参数'!$C$6:$C$25,'参数'!$D$6:$D$25,INDEX('参数'!$E$6:$J$25,0,MATCH(B178,'参数'!$E$5:$J$5,0)))/SUMPRODUCT('参数'!$C$6:$C$25,'参数'!$D$6:$D$25,INDEX('参数'!$E$6:$J$25,0,MATCH(B178,'参数'!$E$5:$J$5,0))))</x:f>
      </x:c>
      <x:c r="F178" s="194" t="str">
        <x:f>IF(D178="","",IF(D178&gt;='参数'!$B$30,1,IF(D178&lt;=-'参数'!$B$30,-1,0)))</x:f>
      </x:c>
      <x:c r="G178" s="194" t="str">
        <x:f>IF(C178="","",IF(C178&gt;='参数'!$B$37,1,IF(C178&lt;=-'参数'!$B$37,-1,0)))</x:f>
      </x:c>
      <x:c r="H178" s="194" t="str">
        <x:f>IF(OR(F178="",G178=""),"",--(F178=G178))</x:f>
      </x:c>
      <x:c r="I178" s="214" t="str">
        <x:f>IF(D178="","",D178*'参数'!$B$34)</x:f>
      </x:c>
      <x:c r="J178" s="214" t="str">
        <x:f>IF(OR(C178="",I178=""),"",ABS(C178-I178))</x:f>
      </x:c>
      <x:c r="K178" s="194" t="str">
        <x:f>IF(D178="","",IF(MAX(ABS(SUM(L178:M178)),ABS(SUM(N178:P178)),ABS(Q178),ABS(SUM(R178:T178)),ABS(SUM(U178:V178)),ABS(SUM(W178:Y178)),ABS(SUM(Z178:AB178)),ABS(SUM(AC178:AE178)))=ABS(SUM(L178:M178)),"订单流",IF(MAX(ABS(SUM(L178:M178)),ABS(SUM(N178:P178)),ABS(Q178),ABS(SUM(R178:T178)),ABS(SUM(U178:V178)),ABS(SUM(W178:Y178)),ABS(SUM(Z178:AB178)),ABS(SUM(AC178:AE178)))=ABS(SUM(N178:P178)),"流动性",IF(MAX(ABS(SUM(L178:M178)),ABS(SUM(N178:P178)),ABS(Q178),ABS(SUM(R178:T178)),ABS(SUM(U178:V178)),ABS(SUM(W178:Y178)),ABS(SUM(Z178:AB178)),ABS(SUM(AC178:AE178)))=ABS(Q178),"价格行为",IF(MAX(ABS(SUM(L178:M178)),ABS(SUM(N178:P178)),ABS(Q178),ABS(SUM(R178:T178)),ABS(SUM(U178:V178)),ABS(SUM(W178:Y178)),ABS(SUM(Z178:AB178)),ABS(SUM(AC178:AE178)))=ABS(SUM(R178:T178)),"杠杆/清算",IF(MAX(ABS(SUM(L178:M178)),ABS(SUM(N178:P178)),ABS(Q178),ABS(SUM(R178:T178)),ABS(SUM(U178:V178)),ABS(SUM(W178:Y178)),ABS(SUM(Z178:AB178)),ABS(SUM(AC178:AE178)))=ABS(SUM(U178:V178)),"衍生品",IF(MAX(ABS(SUM(L178:M178)),ABS(SUM(N178:P178)),ABS(Q178),ABS(SUM(R178:T178)),ABS(SUM(U178:V178)),ABS(SUM(W178:Y178)),ABS(SUM(Z178:AB178)),ABS(SUM(AC178:AE178)))=ABS(SUM(W178:Y178)),"跨市场",IF(MAX(ABS(SUM(L178:M178)),ABS(SUM(N178:P178)),ABS(Q178),ABS(SUM(R178:T178)),ABS(SUM(U178:V178)),ABS(SUM(W178:Y178)),ABS(SUM(Z178:AB178)),ABS(SUM(AC178:AE178)))=ABS(SUM(Z178:AB178)),"宏观代理","事件"))))))))</x:f>
      </x:c>
      <x:c r="L178" s="198"/>
      <x:c r="M178" s="198"/>
      <x:c r="N178" s="198"/>
      <x:c r="O178" s="198"/>
      <x:c r="P178" s="198"/>
      <x:c r="Q178" s="198"/>
      <x:c r="R178" s="198"/>
      <x:c r="S178" s="198"/>
      <x:c r="T178" s="198"/>
      <x:c r="U178" s="198"/>
      <x:c r="V178" s="198"/>
      <x:c r="W178" s="198"/>
      <x:c r="X178" s="198"/>
      <x:c r="Y178" s="198"/>
      <x:c r="Z178" s="198"/>
      <x:c r="AA178" s="198"/>
      <x:c r="AB178" s="198"/>
      <x:c r="AC178" s="198"/>
      <x:c r="AD178" s="198"/>
      <x:c r="AE178" s="198"/>
      <x:c r="AF178" s="215"/>
    </x:row>
    <x:row r="179">
      <x:c r="A179" s="238"/>
      <x:c r="B179" s="215" t="str">
        <x:v>正常</x:v>
      </x:c>
      <x:c r="C179" s="199"/>
      <x:c r="D179" s="223" t="str">
        <x:f>IF(COUNTA(L179:AE179)=0,"",SUMPRODUCT(L179:AE179,'参数'!$C$6:$C$25,'参数'!$D$6:$D$25,INDEX('参数'!$E$6:$J$25,0,MATCH(B179,'参数'!$E$5:$J$5,0)),'参数'!$K$6:$K$25)/SUMPRODUCT('参数'!$C$6:$C$25,'参数'!$D$6:$D$25,INDEX('参数'!$E$6:$J$25,0,MATCH(B179,'参数'!$E$5:$J$5,0)),'参数'!$K$6:$K$25))</x:f>
      </x:c>
      <x:c r="E179" s="223" t="str">
        <x:f>IF(D179="","",SUMPRODUCT(ABS(L179:AE179),'参数'!$C$6:$C$25,'参数'!$D$6:$D$25,INDEX('参数'!$E$6:$J$25,0,MATCH(B179,'参数'!$E$5:$J$5,0)))/SUMPRODUCT('参数'!$C$6:$C$25,'参数'!$D$6:$D$25,INDEX('参数'!$E$6:$J$25,0,MATCH(B179,'参数'!$E$5:$J$5,0))))</x:f>
      </x:c>
      <x:c r="F179" s="194" t="str">
        <x:f>IF(D179="","",IF(D179&gt;='参数'!$B$30,1,IF(D179&lt;=-'参数'!$B$30,-1,0)))</x:f>
      </x:c>
      <x:c r="G179" s="194" t="str">
        <x:f>IF(C179="","",IF(C179&gt;='参数'!$B$37,1,IF(C179&lt;=-'参数'!$B$37,-1,0)))</x:f>
      </x:c>
      <x:c r="H179" s="194" t="str">
        <x:f>IF(OR(F179="",G179=""),"",--(F179=G179))</x:f>
      </x:c>
      <x:c r="I179" s="214" t="str">
        <x:f>IF(D179="","",D179*'参数'!$B$34)</x:f>
      </x:c>
      <x:c r="J179" s="214" t="str">
        <x:f>IF(OR(C179="",I179=""),"",ABS(C179-I179))</x:f>
      </x:c>
      <x:c r="K179" s="194" t="str">
        <x:f>IF(D179="","",IF(MAX(ABS(SUM(L179:M179)),ABS(SUM(N179:P179)),ABS(Q179),ABS(SUM(R179:T179)),ABS(SUM(U179:V179)),ABS(SUM(W179:Y179)),ABS(SUM(Z179:AB179)),ABS(SUM(AC179:AE179)))=ABS(SUM(L179:M179)),"订单流",IF(MAX(ABS(SUM(L179:M179)),ABS(SUM(N179:P179)),ABS(Q179),ABS(SUM(R179:T179)),ABS(SUM(U179:V179)),ABS(SUM(W179:Y179)),ABS(SUM(Z179:AB179)),ABS(SUM(AC179:AE179)))=ABS(SUM(N179:P179)),"流动性",IF(MAX(ABS(SUM(L179:M179)),ABS(SUM(N179:P179)),ABS(Q179),ABS(SUM(R179:T179)),ABS(SUM(U179:V179)),ABS(SUM(W179:Y179)),ABS(SUM(Z179:AB179)),ABS(SUM(AC179:AE179)))=ABS(Q179),"价格行为",IF(MAX(ABS(SUM(L179:M179)),ABS(SUM(N179:P179)),ABS(Q179),ABS(SUM(R179:T179)),ABS(SUM(U179:V179)),ABS(SUM(W179:Y179)),ABS(SUM(Z179:AB179)),ABS(SUM(AC179:AE179)))=ABS(SUM(R179:T179)),"杠杆/清算",IF(MAX(ABS(SUM(L179:M179)),ABS(SUM(N179:P179)),ABS(Q179),ABS(SUM(R179:T179)),ABS(SUM(U179:V179)),ABS(SUM(W179:Y179)),ABS(SUM(Z179:AB179)),ABS(SUM(AC179:AE179)))=ABS(SUM(U179:V179)),"衍生品",IF(MAX(ABS(SUM(L179:M179)),ABS(SUM(N179:P179)),ABS(Q179),ABS(SUM(R179:T179)),ABS(SUM(U179:V179)),ABS(SUM(W179:Y179)),ABS(SUM(Z179:AB179)),ABS(SUM(AC179:AE179)))=ABS(SUM(W179:Y179)),"跨市场",IF(MAX(ABS(SUM(L179:M179)),ABS(SUM(N179:P179)),ABS(Q179),ABS(SUM(R179:T179)),ABS(SUM(U179:V179)),ABS(SUM(W179:Y179)),ABS(SUM(Z179:AB179)),ABS(SUM(AC179:AE179)))=ABS(SUM(Z179:AB179)),"宏观代理","事件"))))))))</x:f>
      </x:c>
      <x:c r="L179" s="198"/>
      <x:c r="M179" s="198"/>
      <x:c r="N179" s="198"/>
      <x:c r="O179" s="198"/>
      <x:c r="P179" s="198"/>
      <x:c r="Q179" s="198"/>
      <x:c r="R179" s="198"/>
      <x:c r="S179" s="198"/>
      <x:c r="T179" s="198"/>
      <x:c r="U179" s="198"/>
      <x:c r="V179" s="198"/>
      <x:c r="W179" s="198"/>
      <x:c r="X179" s="198"/>
      <x:c r="Y179" s="198"/>
      <x:c r="Z179" s="198"/>
      <x:c r="AA179" s="198"/>
      <x:c r="AB179" s="198"/>
      <x:c r="AC179" s="198"/>
      <x:c r="AD179" s="198"/>
      <x:c r="AE179" s="198"/>
      <x:c r="AF179" s="215"/>
    </x:row>
    <x:row r="180">
      <x:c r="A180" s="238"/>
      <x:c r="B180" s="215" t="str">
        <x:v>正常</x:v>
      </x:c>
      <x:c r="C180" s="199"/>
      <x:c r="D180" s="223" t="str">
        <x:f>IF(COUNTA(L180:AE180)=0,"",SUMPRODUCT(L180:AE180,'参数'!$C$6:$C$25,'参数'!$D$6:$D$25,INDEX('参数'!$E$6:$J$25,0,MATCH(B180,'参数'!$E$5:$J$5,0)),'参数'!$K$6:$K$25)/SUMPRODUCT('参数'!$C$6:$C$25,'参数'!$D$6:$D$25,INDEX('参数'!$E$6:$J$25,0,MATCH(B180,'参数'!$E$5:$J$5,0)),'参数'!$K$6:$K$25))</x:f>
      </x:c>
      <x:c r="E180" s="223" t="str">
        <x:f>IF(D180="","",SUMPRODUCT(ABS(L180:AE180),'参数'!$C$6:$C$25,'参数'!$D$6:$D$25,INDEX('参数'!$E$6:$J$25,0,MATCH(B180,'参数'!$E$5:$J$5,0)))/SUMPRODUCT('参数'!$C$6:$C$25,'参数'!$D$6:$D$25,INDEX('参数'!$E$6:$J$25,0,MATCH(B180,'参数'!$E$5:$J$5,0))))</x:f>
      </x:c>
      <x:c r="F180" s="194" t="str">
        <x:f>IF(D180="","",IF(D180&gt;='参数'!$B$30,1,IF(D180&lt;=-'参数'!$B$30,-1,0)))</x:f>
      </x:c>
      <x:c r="G180" s="194" t="str">
        <x:f>IF(C180="","",IF(C180&gt;='参数'!$B$37,1,IF(C180&lt;=-'参数'!$B$37,-1,0)))</x:f>
      </x:c>
      <x:c r="H180" s="194" t="str">
        <x:f>IF(OR(F180="",G180=""),"",--(F180=G180))</x:f>
      </x:c>
      <x:c r="I180" s="214" t="str">
        <x:f>IF(D180="","",D180*'参数'!$B$34)</x:f>
      </x:c>
      <x:c r="J180" s="214" t="str">
        <x:f>IF(OR(C180="",I180=""),"",ABS(C180-I180))</x:f>
      </x:c>
      <x:c r="K180" s="194" t="str">
        <x:f>IF(D180="","",IF(MAX(ABS(SUM(L180:M180)),ABS(SUM(N180:P180)),ABS(Q180),ABS(SUM(R180:T180)),ABS(SUM(U180:V180)),ABS(SUM(W180:Y180)),ABS(SUM(Z180:AB180)),ABS(SUM(AC180:AE180)))=ABS(SUM(L180:M180)),"订单流",IF(MAX(ABS(SUM(L180:M180)),ABS(SUM(N180:P180)),ABS(Q180),ABS(SUM(R180:T180)),ABS(SUM(U180:V180)),ABS(SUM(W180:Y180)),ABS(SUM(Z180:AB180)),ABS(SUM(AC180:AE180)))=ABS(SUM(N180:P180)),"流动性",IF(MAX(ABS(SUM(L180:M180)),ABS(SUM(N180:P180)),ABS(Q180),ABS(SUM(R180:T180)),ABS(SUM(U180:V180)),ABS(SUM(W180:Y180)),ABS(SUM(Z180:AB180)),ABS(SUM(AC180:AE180)))=ABS(Q180),"价格行为",IF(MAX(ABS(SUM(L180:M180)),ABS(SUM(N180:P180)),ABS(Q180),ABS(SUM(R180:T180)),ABS(SUM(U180:V180)),ABS(SUM(W180:Y180)),ABS(SUM(Z180:AB180)),ABS(SUM(AC180:AE180)))=ABS(SUM(R180:T180)),"杠杆/清算",IF(MAX(ABS(SUM(L180:M180)),ABS(SUM(N180:P180)),ABS(Q180),ABS(SUM(R180:T180)),ABS(SUM(U180:V180)),ABS(SUM(W180:Y180)),ABS(SUM(Z180:AB180)),ABS(SUM(AC180:AE180)))=ABS(SUM(U180:V180)),"衍生品",IF(MAX(ABS(SUM(L180:M180)),ABS(SUM(N180:P180)),ABS(Q180),ABS(SUM(R180:T180)),ABS(SUM(U180:V180)),ABS(SUM(W180:Y180)),ABS(SUM(Z180:AB180)),ABS(SUM(AC180:AE180)))=ABS(SUM(W180:Y180)),"跨市场",IF(MAX(ABS(SUM(L180:M180)),ABS(SUM(N180:P180)),ABS(Q180),ABS(SUM(R180:T180)),ABS(SUM(U180:V180)),ABS(SUM(W180:Y180)),ABS(SUM(Z180:AB180)),ABS(SUM(AC180:AE180)))=ABS(SUM(Z180:AB180)),"宏观代理","事件"))))))))</x:f>
      </x:c>
      <x:c r="L180" s="198"/>
      <x:c r="M180" s="198"/>
      <x:c r="N180" s="198"/>
      <x:c r="O180" s="198"/>
      <x:c r="P180" s="198"/>
      <x:c r="Q180" s="198"/>
      <x:c r="R180" s="198"/>
      <x:c r="S180" s="198"/>
      <x:c r="T180" s="198"/>
      <x:c r="U180" s="198"/>
      <x:c r="V180" s="198"/>
      <x:c r="W180" s="198"/>
      <x:c r="X180" s="198"/>
      <x:c r="Y180" s="198"/>
      <x:c r="Z180" s="198"/>
      <x:c r="AA180" s="198"/>
      <x:c r="AB180" s="198"/>
      <x:c r="AC180" s="198"/>
      <x:c r="AD180" s="198"/>
      <x:c r="AE180" s="198"/>
      <x:c r="AF180" s="215"/>
    </x:row>
    <x:row r="181">
      <x:c r="A181" s="238"/>
      <x:c r="B181" s="215" t="str">
        <x:v>正常</x:v>
      </x:c>
      <x:c r="C181" s="199"/>
      <x:c r="D181" s="223" t="str">
        <x:f>IF(COUNTA(L181:AE181)=0,"",SUMPRODUCT(L181:AE181,'参数'!$C$6:$C$25,'参数'!$D$6:$D$25,INDEX('参数'!$E$6:$J$25,0,MATCH(B181,'参数'!$E$5:$J$5,0)),'参数'!$K$6:$K$25)/SUMPRODUCT('参数'!$C$6:$C$25,'参数'!$D$6:$D$25,INDEX('参数'!$E$6:$J$25,0,MATCH(B181,'参数'!$E$5:$J$5,0)),'参数'!$K$6:$K$25))</x:f>
      </x:c>
      <x:c r="E181" s="223" t="str">
        <x:f>IF(D181="","",SUMPRODUCT(ABS(L181:AE181),'参数'!$C$6:$C$25,'参数'!$D$6:$D$25,INDEX('参数'!$E$6:$J$25,0,MATCH(B181,'参数'!$E$5:$J$5,0)))/SUMPRODUCT('参数'!$C$6:$C$25,'参数'!$D$6:$D$25,INDEX('参数'!$E$6:$J$25,0,MATCH(B181,'参数'!$E$5:$J$5,0))))</x:f>
      </x:c>
      <x:c r="F181" s="194" t="str">
        <x:f>IF(D181="","",IF(D181&gt;='参数'!$B$30,1,IF(D181&lt;=-'参数'!$B$30,-1,0)))</x:f>
      </x:c>
      <x:c r="G181" s="194" t="str">
        <x:f>IF(C181="","",IF(C181&gt;='参数'!$B$37,1,IF(C181&lt;=-'参数'!$B$37,-1,0)))</x:f>
      </x:c>
      <x:c r="H181" s="194" t="str">
        <x:f>IF(OR(F181="",G181=""),"",--(F181=G181))</x:f>
      </x:c>
      <x:c r="I181" s="214" t="str">
        <x:f>IF(D181="","",D181*'参数'!$B$34)</x:f>
      </x:c>
      <x:c r="J181" s="214" t="str">
        <x:f>IF(OR(C181="",I181=""),"",ABS(C181-I181))</x:f>
      </x:c>
      <x:c r="K181" s="194" t="str">
        <x:f>IF(D181="","",IF(MAX(ABS(SUM(L181:M181)),ABS(SUM(N181:P181)),ABS(Q181),ABS(SUM(R181:T181)),ABS(SUM(U181:V181)),ABS(SUM(W181:Y181)),ABS(SUM(Z181:AB181)),ABS(SUM(AC181:AE181)))=ABS(SUM(L181:M181)),"订单流",IF(MAX(ABS(SUM(L181:M181)),ABS(SUM(N181:P181)),ABS(Q181),ABS(SUM(R181:T181)),ABS(SUM(U181:V181)),ABS(SUM(W181:Y181)),ABS(SUM(Z181:AB181)),ABS(SUM(AC181:AE181)))=ABS(SUM(N181:P181)),"流动性",IF(MAX(ABS(SUM(L181:M181)),ABS(SUM(N181:P181)),ABS(Q181),ABS(SUM(R181:T181)),ABS(SUM(U181:V181)),ABS(SUM(W181:Y181)),ABS(SUM(Z181:AB181)),ABS(SUM(AC181:AE181)))=ABS(Q181),"价格行为",IF(MAX(ABS(SUM(L181:M181)),ABS(SUM(N181:P181)),ABS(Q181),ABS(SUM(R181:T181)),ABS(SUM(U181:V181)),ABS(SUM(W181:Y181)),ABS(SUM(Z181:AB181)),ABS(SUM(AC181:AE181)))=ABS(SUM(R181:T181)),"杠杆/清算",IF(MAX(ABS(SUM(L181:M181)),ABS(SUM(N181:P181)),ABS(Q181),ABS(SUM(R181:T181)),ABS(SUM(U181:V181)),ABS(SUM(W181:Y181)),ABS(SUM(Z181:AB181)),ABS(SUM(AC181:AE181)))=ABS(SUM(U181:V181)),"衍生品",IF(MAX(ABS(SUM(L181:M181)),ABS(SUM(N181:P181)),ABS(Q181),ABS(SUM(R181:T181)),ABS(SUM(U181:V181)),ABS(SUM(W181:Y181)),ABS(SUM(Z181:AB181)),ABS(SUM(AC181:AE181)))=ABS(SUM(W181:Y181)),"跨市场",IF(MAX(ABS(SUM(L181:M181)),ABS(SUM(N181:P181)),ABS(Q181),ABS(SUM(R181:T181)),ABS(SUM(U181:V181)),ABS(SUM(W181:Y181)),ABS(SUM(Z181:AB181)),ABS(SUM(AC181:AE181)))=ABS(SUM(Z181:AB181)),"宏观代理","事件"))))))))</x:f>
      </x:c>
      <x:c r="L181" s="198"/>
      <x:c r="M181" s="198"/>
      <x:c r="N181" s="198"/>
      <x:c r="O181" s="198"/>
      <x:c r="P181" s="198"/>
      <x:c r="Q181" s="198"/>
      <x:c r="R181" s="198"/>
      <x:c r="S181" s="198"/>
      <x:c r="T181" s="198"/>
      <x:c r="U181" s="198"/>
      <x:c r="V181" s="198"/>
      <x:c r="W181" s="198"/>
      <x:c r="X181" s="198"/>
      <x:c r="Y181" s="198"/>
      <x:c r="Z181" s="198"/>
      <x:c r="AA181" s="198"/>
      <x:c r="AB181" s="198"/>
      <x:c r="AC181" s="198"/>
      <x:c r="AD181" s="198"/>
      <x:c r="AE181" s="198"/>
      <x:c r="AF181" s="215"/>
    </x:row>
    <x:row r="182">
      <x:c r="A182" s="238"/>
      <x:c r="B182" s="215" t="str">
        <x:v>正常</x:v>
      </x:c>
      <x:c r="C182" s="199"/>
      <x:c r="D182" s="223" t="str">
        <x:f>IF(COUNTA(L182:AE182)=0,"",SUMPRODUCT(L182:AE182,'参数'!$C$6:$C$25,'参数'!$D$6:$D$25,INDEX('参数'!$E$6:$J$25,0,MATCH(B182,'参数'!$E$5:$J$5,0)),'参数'!$K$6:$K$25)/SUMPRODUCT('参数'!$C$6:$C$25,'参数'!$D$6:$D$25,INDEX('参数'!$E$6:$J$25,0,MATCH(B182,'参数'!$E$5:$J$5,0)),'参数'!$K$6:$K$25))</x:f>
      </x:c>
      <x:c r="E182" s="223" t="str">
        <x:f>IF(D182="","",SUMPRODUCT(ABS(L182:AE182),'参数'!$C$6:$C$25,'参数'!$D$6:$D$25,INDEX('参数'!$E$6:$J$25,0,MATCH(B182,'参数'!$E$5:$J$5,0)))/SUMPRODUCT('参数'!$C$6:$C$25,'参数'!$D$6:$D$25,INDEX('参数'!$E$6:$J$25,0,MATCH(B182,'参数'!$E$5:$J$5,0))))</x:f>
      </x:c>
      <x:c r="F182" s="194" t="str">
        <x:f>IF(D182="","",IF(D182&gt;='参数'!$B$30,1,IF(D182&lt;=-'参数'!$B$30,-1,0)))</x:f>
      </x:c>
      <x:c r="G182" s="194" t="str">
        <x:f>IF(C182="","",IF(C182&gt;='参数'!$B$37,1,IF(C182&lt;=-'参数'!$B$37,-1,0)))</x:f>
      </x:c>
      <x:c r="H182" s="194" t="str">
        <x:f>IF(OR(F182="",G182=""),"",--(F182=G182))</x:f>
      </x:c>
      <x:c r="I182" s="214" t="str">
        <x:f>IF(D182="","",D182*'参数'!$B$34)</x:f>
      </x:c>
      <x:c r="J182" s="214" t="str">
        <x:f>IF(OR(C182="",I182=""),"",ABS(C182-I182))</x:f>
      </x:c>
      <x:c r="K182" s="194" t="str">
        <x:f>IF(D182="","",IF(MAX(ABS(SUM(L182:M182)),ABS(SUM(N182:P182)),ABS(Q182),ABS(SUM(R182:T182)),ABS(SUM(U182:V182)),ABS(SUM(W182:Y182)),ABS(SUM(Z182:AB182)),ABS(SUM(AC182:AE182)))=ABS(SUM(L182:M182)),"订单流",IF(MAX(ABS(SUM(L182:M182)),ABS(SUM(N182:P182)),ABS(Q182),ABS(SUM(R182:T182)),ABS(SUM(U182:V182)),ABS(SUM(W182:Y182)),ABS(SUM(Z182:AB182)),ABS(SUM(AC182:AE182)))=ABS(SUM(N182:P182)),"流动性",IF(MAX(ABS(SUM(L182:M182)),ABS(SUM(N182:P182)),ABS(Q182),ABS(SUM(R182:T182)),ABS(SUM(U182:V182)),ABS(SUM(W182:Y182)),ABS(SUM(Z182:AB182)),ABS(SUM(AC182:AE182)))=ABS(Q182),"价格行为",IF(MAX(ABS(SUM(L182:M182)),ABS(SUM(N182:P182)),ABS(Q182),ABS(SUM(R182:T182)),ABS(SUM(U182:V182)),ABS(SUM(W182:Y182)),ABS(SUM(Z182:AB182)),ABS(SUM(AC182:AE182)))=ABS(SUM(R182:T182)),"杠杆/清算",IF(MAX(ABS(SUM(L182:M182)),ABS(SUM(N182:P182)),ABS(Q182),ABS(SUM(R182:T182)),ABS(SUM(U182:V182)),ABS(SUM(W182:Y182)),ABS(SUM(Z182:AB182)),ABS(SUM(AC182:AE182)))=ABS(SUM(U182:V182)),"衍生品",IF(MAX(ABS(SUM(L182:M182)),ABS(SUM(N182:P182)),ABS(Q182),ABS(SUM(R182:T182)),ABS(SUM(U182:V182)),ABS(SUM(W182:Y182)),ABS(SUM(Z182:AB182)),ABS(SUM(AC182:AE182)))=ABS(SUM(W182:Y182)),"跨市场",IF(MAX(ABS(SUM(L182:M182)),ABS(SUM(N182:P182)),ABS(Q182),ABS(SUM(R182:T182)),ABS(SUM(U182:V182)),ABS(SUM(W182:Y182)),ABS(SUM(Z182:AB182)),ABS(SUM(AC182:AE182)))=ABS(SUM(Z182:AB182)),"宏观代理","事件"))))))))</x:f>
      </x:c>
      <x:c r="L182" s="198"/>
      <x:c r="M182" s="198"/>
      <x:c r="N182" s="198"/>
      <x:c r="O182" s="198"/>
      <x:c r="P182" s="198"/>
      <x:c r="Q182" s="198"/>
      <x:c r="R182" s="198"/>
      <x:c r="S182" s="198"/>
      <x:c r="T182" s="198"/>
      <x:c r="U182" s="198"/>
      <x:c r="V182" s="198"/>
      <x:c r="W182" s="198"/>
      <x:c r="X182" s="198"/>
      <x:c r="Y182" s="198"/>
      <x:c r="Z182" s="198"/>
      <x:c r="AA182" s="198"/>
      <x:c r="AB182" s="198"/>
      <x:c r="AC182" s="198"/>
      <x:c r="AD182" s="198"/>
      <x:c r="AE182" s="198"/>
      <x:c r="AF182" s="215"/>
    </x:row>
    <x:row r="183">
      <x:c r="A183" s="238"/>
      <x:c r="B183" s="215" t="str">
        <x:v>正常</x:v>
      </x:c>
      <x:c r="C183" s="199"/>
      <x:c r="D183" s="223" t="str">
        <x:f>IF(COUNTA(L183:AE183)=0,"",SUMPRODUCT(L183:AE183,'参数'!$C$6:$C$25,'参数'!$D$6:$D$25,INDEX('参数'!$E$6:$J$25,0,MATCH(B183,'参数'!$E$5:$J$5,0)),'参数'!$K$6:$K$25)/SUMPRODUCT('参数'!$C$6:$C$25,'参数'!$D$6:$D$25,INDEX('参数'!$E$6:$J$25,0,MATCH(B183,'参数'!$E$5:$J$5,0)),'参数'!$K$6:$K$25))</x:f>
      </x:c>
      <x:c r="E183" s="223" t="str">
        <x:f>IF(D183="","",SUMPRODUCT(ABS(L183:AE183),'参数'!$C$6:$C$25,'参数'!$D$6:$D$25,INDEX('参数'!$E$6:$J$25,0,MATCH(B183,'参数'!$E$5:$J$5,0)))/SUMPRODUCT('参数'!$C$6:$C$25,'参数'!$D$6:$D$25,INDEX('参数'!$E$6:$J$25,0,MATCH(B183,'参数'!$E$5:$J$5,0))))</x:f>
      </x:c>
      <x:c r="F183" s="194" t="str">
        <x:f>IF(D183="","",IF(D183&gt;='参数'!$B$30,1,IF(D183&lt;=-'参数'!$B$30,-1,0)))</x:f>
      </x:c>
      <x:c r="G183" s="194" t="str">
        <x:f>IF(C183="","",IF(C183&gt;='参数'!$B$37,1,IF(C183&lt;=-'参数'!$B$37,-1,0)))</x:f>
      </x:c>
      <x:c r="H183" s="194" t="str">
        <x:f>IF(OR(F183="",G183=""),"",--(F183=G183))</x:f>
      </x:c>
      <x:c r="I183" s="214" t="str">
        <x:f>IF(D183="","",D183*'参数'!$B$34)</x:f>
      </x:c>
      <x:c r="J183" s="214" t="str">
        <x:f>IF(OR(C183="",I183=""),"",ABS(C183-I183))</x:f>
      </x:c>
      <x:c r="K183" s="194" t="str">
        <x:f>IF(D183="","",IF(MAX(ABS(SUM(L183:M183)),ABS(SUM(N183:P183)),ABS(Q183),ABS(SUM(R183:T183)),ABS(SUM(U183:V183)),ABS(SUM(W183:Y183)),ABS(SUM(Z183:AB183)),ABS(SUM(AC183:AE183)))=ABS(SUM(L183:M183)),"订单流",IF(MAX(ABS(SUM(L183:M183)),ABS(SUM(N183:P183)),ABS(Q183),ABS(SUM(R183:T183)),ABS(SUM(U183:V183)),ABS(SUM(W183:Y183)),ABS(SUM(Z183:AB183)),ABS(SUM(AC183:AE183)))=ABS(SUM(N183:P183)),"流动性",IF(MAX(ABS(SUM(L183:M183)),ABS(SUM(N183:P183)),ABS(Q183),ABS(SUM(R183:T183)),ABS(SUM(U183:V183)),ABS(SUM(W183:Y183)),ABS(SUM(Z183:AB183)),ABS(SUM(AC183:AE183)))=ABS(Q183),"价格行为",IF(MAX(ABS(SUM(L183:M183)),ABS(SUM(N183:P183)),ABS(Q183),ABS(SUM(R183:T183)),ABS(SUM(U183:V183)),ABS(SUM(W183:Y183)),ABS(SUM(Z183:AB183)),ABS(SUM(AC183:AE183)))=ABS(SUM(R183:T183)),"杠杆/清算",IF(MAX(ABS(SUM(L183:M183)),ABS(SUM(N183:P183)),ABS(Q183),ABS(SUM(R183:T183)),ABS(SUM(U183:V183)),ABS(SUM(W183:Y183)),ABS(SUM(Z183:AB183)),ABS(SUM(AC183:AE183)))=ABS(SUM(U183:V183)),"衍生品",IF(MAX(ABS(SUM(L183:M183)),ABS(SUM(N183:P183)),ABS(Q183),ABS(SUM(R183:T183)),ABS(SUM(U183:V183)),ABS(SUM(W183:Y183)),ABS(SUM(Z183:AB183)),ABS(SUM(AC183:AE183)))=ABS(SUM(W183:Y183)),"跨市场",IF(MAX(ABS(SUM(L183:M183)),ABS(SUM(N183:P183)),ABS(Q183),ABS(SUM(R183:T183)),ABS(SUM(U183:V183)),ABS(SUM(W183:Y183)),ABS(SUM(Z183:AB183)),ABS(SUM(AC183:AE183)))=ABS(SUM(Z183:AB183)),"宏观代理","事件"))))))))</x:f>
      </x:c>
      <x:c r="L183" s="198"/>
      <x:c r="M183" s="198"/>
      <x:c r="N183" s="198"/>
      <x:c r="O183" s="198"/>
      <x:c r="P183" s="198"/>
      <x:c r="Q183" s="198"/>
      <x:c r="R183" s="198"/>
      <x:c r="S183" s="198"/>
      <x:c r="T183" s="198"/>
      <x:c r="U183" s="198"/>
      <x:c r="V183" s="198"/>
      <x:c r="W183" s="198"/>
      <x:c r="X183" s="198"/>
      <x:c r="Y183" s="198"/>
      <x:c r="Z183" s="198"/>
      <x:c r="AA183" s="198"/>
      <x:c r="AB183" s="198"/>
      <x:c r="AC183" s="198"/>
      <x:c r="AD183" s="198"/>
      <x:c r="AE183" s="198"/>
      <x:c r="AF183" s="215"/>
    </x:row>
    <x:row r="184">
      <x:c r="A184" s="238"/>
      <x:c r="B184" s="215" t="str">
        <x:v>正常</x:v>
      </x:c>
      <x:c r="C184" s="199"/>
      <x:c r="D184" s="223" t="str">
        <x:f>IF(COUNTA(L184:AE184)=0,"",SUMPRODUCT(L184:AE184,'参数'!$C$6:$C$25,'参数'!$D$6:$D$25,INDEX('参数'!$E$6:$J$25,0,MATCH(B184,'参数'!$E$5:$J$5,0)),'参数'!$K$6:$K$25)/SUMPRODUCT('参数'!$C$6:$C$25,'参数'!$D$6:$D$25,INDEX('参数'!$E$6:$J$25,0,MATCH(B184,'参数'!$E$5:$J$5,0)),'参数'!$K$6:$K$25))</x:f>
      </x:c>
      <x:c r="E184" s="223" t="str">
        <x:f>IF(D184="","",SUMPRODUCT(ABS(L184:AE184),'参数'!$C$6:$C$25,'参数'!$D$6:$D$25,INDEX('参数'!$E$6:$J$25,0,MATCH(B184,'参数'!$E$5:$J$5,0)))/SUMPRODUCT('参数'!$C$6:$C$25,'参数'!$D$6:$D$25,INDEX('参数'!$E$6:$J$25,0,MATCH(B184,'参数'!$E$5:$J$5,0))))</x:f>
      </x:c>
      <x:c r="F184" s="194" t="str">
        <x:f>IF(D184="","",IF(D184&gt;='参数'!$B$30,1,IF(D184&lt;=-'参数'!$B$30,-1,0)))</x:f>
      </x:c>
      <x:c r="G184" s="194" t="str">
        <x:f>IF(C184="","",IF(C184&gt;='参数'!$B$37,1,IF(C184&lt;=-'参数'!$B$37,-1,0)))</x:f>
      </x:c>
      <x:c r="H184" s="194" t="str">
        <x:f>IF(OR(F184="",G184=""),"",--(F184=G184))</x:f>
      </x:c>
      <x:c r="I184" s="214" t="str">
        <x:f>IF(D184="","",D184*'参数'!$B$34)</x:f>
      </x:c>
      <x:c r="J184" s="214" t="str">
        <x:f>IF(OR(C184="",I184=""),"",ABS(C184-I184))</x:f>
      </x:c>
      <x:c r="K184" s="194" t="str">
        <x:f>IF(D184="","",IF(MAX(ABS(SUM(L184:M184)),ABS(SUM(N184:P184)),ABS(Q184),ABS(SUM(R184:T184)),ABS(SUM(U184:V184)),ABS(SUM(W184:Y184)),ABS(SUM(Z184:AB184)),ABS(SUM(AC184:AE184)))=ABS(SUM(L184:M184)),"订单流",IF(MAX(ABS(SUM(L184:M184)),ABS(SUM(N184:P184)),ABS(Q184),ABS(SUM(R184:T184)),ABS(SUM(U184:V184)),ABS(SUM(W184:Y184)),ABS(SUM(Z184:AB184)),ABS(SUM(AC184:AE184)))=ABS(SUM(N184:P184)),"流动性",IF(MAX(ABS(SUM(L184:M184)),ABS(SUM(N184:P184)),ABS(Q184),ABS(SUM(R184:T184)),ABS(SUM(U184:V184)),ABS(SUM(W184:Y184)),ABS(SUM(Z184:AB184)),ABS(SUM(AC184:AE184)))=ABS(Q184),"价格行为",IF(MAX(ABS(SUM(L184:M184)),ABS(SUM(N184:P184)),ABS(Q184),ABS(SUM(R184:T184)),ABS(SUM(U184:V184)),ABS(SUM(W184:Y184)),ABS(SUM(Z184:AB184)),ABS(SUM(AC184:AE184)))=ABS(SUM(R184:T184)),"杠杆/清算",IF(MAX(ABS(SUM(L184:M184)),ABS(SUM(N184:P184)),ABS(Q184),ABS(SUM(R184:T184)),ABS(SUM(U184:V184)),ABS(SUM(W184:Y184)),ABS(SUM(Z184:AB184)),ABS(SUM(AC184:AE184)))=ABS(SUM(U184:V184)),"衍生品",IF(MAX(ABS(SUM(L184:M184)),ABS(SUM(N184:P184)),ABS(Q184),ABS(SUM(R184:T184)),ABS(SUM(U184:V184)),ABS(SUM(W184:Y184)),ABS(SUM(Z184:AB184)),ABS(SUM(AC184:AE184)))=ABS(SUM(W184:Y184)),"跨市场",IF(MAX(ABS(SUM(L184:M184)),ABS(SUM(N184:P184)),ABS(Q184),ABS(SUM(R184:T184)),ABS(SUM(U184:V184)),ABS(SUM(W184:Y184)),ABS(SUM(Z184:AB184)),ABS(SUM(AC184:AE184)))=ABS(SUM(Z184:AB184)),"宏观代理","事件"))))))))</x:f>
      </x:c>
      <x:c r="L184" s="198"/>
      <x:c r="M184" s="198"/>
      <x:c r="N184" s="198"/>
      <x:c r="O184" s="198"/>
      <x:c r="P184" s="198"/>
      <x:c r="Q184" s="198"/>
      <x:c r="R184" s="198"/>
      <x:c r="S184" s="198"/>
      <x:c r="T184" s="198"/>
      <x:c r="U184" s="198"/>
      <x:c r="V184" s="198"/>
      <x:c r="W184" s="198"/>
      <x:c r="X184" s="198"/>
      <x:c r="Y184" s="198"/>
      <x:c r="Z184" s="198"/>
      <x:c r="AA184" s="198"/>
      <x:c r="AB184" s="198"/>
      <x:c r="AC184" s="198"/>
      <x:c r="AD184" s="198"/>
      <x:c r="AE184" s="198"/>
      <x:c r="AF184" s="215"/>
    </x:row>
    <x:row r="185">
      <x:c r="A185" s="238"/>
      <x:c r="B185" s="215" t="str">
        <x:v>正常</x:v>
      </x:c>
      <x:c r="C185" s="199"/>
      <x:c r="D185" s="223" t="str">
        <x:f>IF(COUNTA(L185:AE185)=0,"",SUMPRODUCT(L185:AE185,'参数'!$C$6:$C$25,'参数'!$D$6:$D$25,INDEX('参数'!$E$6:$J$25,0,MATCH(B185,'参数'!$E$5:$J$5,0)),'参数'!$K$6:$K$25)/SUMPRODUCT('参数'!$C$6:$C$25,'参数'!$D$6:$D$25,INDEX('参数'!$E$6:$J$25,0,MATCH(B185,'参数'!$E$5:$J$5,0)),'参数'!$K$6:$K$25))</x:f>
      </x:c>
      <x:c r="E185" s="223" t="str">
        <x:f>IF(D185="","",SUMPRODUCT(ABS(L185:AE185),'参数'!$C$6:$C$25,'参数'!$D$6:$D$25,INDEX('参数'!$E$6:$J$25,0,MATCH(B185,'参数'!$E$5:$J$5,0)))/SUMPRODUCT('参数'!$C$6:$C$25,'参数'!$D$6:$D$25,INDEX('参数'!$E$6:$J$25,0,MATCH(B185,'参数'!$E$5:$J$5,0))))</x:f>
      </x:c>
      <x:c r="F185" s="194" t="str">
        <x:f>IF(D185="","",IF(D185&gt;='参数'!$B$30,1,IF(D185&lt;=-'参数'!$B$30,-1,0)))</x:f>
      </x:c>
      <x:c r="G185" s="194" t="str">
        <x:f>IF(C185="","",IF(C185&gt;='参数'!$B$37,1,IF(C185&lt;=-'参数'!$B$37,-1,0)))</x:f>
      </x:c>
      <x:c r="H185" s="194" t="str">
        <x:f>IF(OR(F185="",G185=""),"",--(F185=G185))</x:f>
      </x:c>
      <x:c r="I185" s="214" t="str">
        <x:f>IF(D185="","",D185*'参数'!$B$34)</x:f>
      </x:c>
      <x:c r="J185" s="214" t="str">
        <x:f>IF(OR(C185="",I185=""),"",ABS(C185-I185))</x:f>
      </x:c>
      <x:c r="K185" s="194" t="str">
        <x:f>IF(D185="","",IF(MAX(ABS(SUM(L185:M185)),ABS(SUM(N185:P185)),ABS(Q185),ABS(SUM(R185:T185)),ABS(SUM(U185:V185)),ABS(SUM(W185:Y185)),ABS(SUM(Z185:AB185)),ABS(SUM(AC185:AE185)))=ABS(SUM(L185:M185)),"订单流",IF(MAX(ABS(SUM(L185:M185)),ABS(SUM(N185:P185)),ABS(Q185),ABS(SUM(R185:T185)),ABS(SUM(U185:V185)),ABS(SUM(W185:Y185)),ABS(SUM(Z185:AB185)),ABS(SUM(AC185:AE185)))=ABS(SUM(N185:P185)),"流动性",IF(MAX(ABS(SUM(L185:M185)),ABS(SUM(N185:P185)),ABS(Q185),ABS(SUM(R185:T185)),ABS(SUM(U185:V185)),ABS(SUM(W185:Y185)),ABS(SUM(Z185:AB185)),ABS(SUM(AC185:AE185)))=ABS(Q185),"价格行为",IF(MAX(ABS(SUM(L185:M185)),ABS(SUM(N185:P185)),ABS(Q185),ABS(SUM(R185:T185)),ABS(SUM(U185:V185)),ABS(SUM(W185:Y185)),ABS(SUM(Z185:AB185)),ABS(SUM(AC185:AE185)))=ABS(SUM(R185:T185)),"杠杆/清算",IF(MAX(ABS(SUM(L185:M185)),ABS(SUM(N185:P185)),ABS(Q185),ABS(SUM(R185:T185)),ABS(SUM(U185:V185)),ABS(SUM(W185:Y185)),ABS(SUM(Z185:AB185)),ABS(SUM(AC185:AE185)))=ABS(SUM(U185:V185)),"衍生品",IF(MAX(ABS(SUM(L185:M185)),ABS(SUM(N185:P185)),ABS(Q185),ABS(SUM(R185:T185)),ABS(SUM(U185:V185)),ABS(SUM(W185:Y185)),ABS(SUM(Z185:AB185)),ABS(SUM(AC185:AE185)))=ABS(SUM(W185:Y185)),"跨市场",IF(MAX(ABS(SUM(L185:M185)),ABS(SUM(N185:P185)),ABS(Q185),ABS(SUM(R185:T185)),ABS(SUM(U185:V185)),ABS(SUM(W185:Y185)),ABS(SUM(Z185:AB185)),ABS(SUM(AC185:AE185)))=ABS(SUM(Z185:AB185)),"宏观代理","事件"))))))))</x:f>
      </x:c>
      <x:c r="L185" s="198"/>
      <x:c r="M185" s="198"/>
      <x:c r="N185" s="198"/>
      <x:c r="O185" s="198"/>
      <x:c r="P185" s="198"/>
      <x:c r="Q185" s="198"/>
      <x:c r="R185" s="198"/>
      <x:c r="S185" s="198"/>
      <x:c r="T185" s="198"/>
      <x:c r="U185" s="198"/>
      <x:c r="V185" s="198"/>
      <x:c r="W185" s="198"/>
      <x:c r="X185" s="198"/>
      <x:c r="Y185" s="198"/>
      <x:c r="Z185" s="198"/>
      <x:c r="AA185" s="198"/>
      <x:c r="AB185" s="198"/>
      <x:c r="AC185" s="198"/>
      <x:c r="AD185" s="198"/>
      <x:c r="AE185" s="198"/>
      <x:c r="AF185" s="215"/>
    </x:row>
    <x:row r="186">
      <x:c r="A186" s="238"/>
      <x:c r="B186" s="215" t="str">
        <x:v>正常</x:v>
      </x:c>
      <x:c r="C186" s="199"/>
      <x:c r="D186" s="223" t="str">
        <x:f>IF(COUNTA(L186:AE186)=0,"",SUMPRODUCT(L186:AE186,'参数'!$C$6:$C$25,'参数'!$D$6:$D$25,INDEX('参数'!$E$6:$J$25,0,MATCH(B186,'参数'!$E$5:$J$5,0)),'参数'!$K$6:$K$25)/SUMPRODUCT('参数'!$C$6:$C$25,'参数'!$D$6:$D$25,INDEX('参数'!$E$6:$J$25,0,MATCH(B186,'参数'!$E$5:$J$5,0)),'参数'!$K$6:$K$25))</x:f>
      </x:c>
      <x:c r="E186" s="223" t="str">
        <x:f>IF(D186="","",SUMPRODUCT(ABS(L186:AE186),'参数'!$C$6:$C$25,'参数'!$D$6:$D$25,INDEX('参数'!$E$6:$J$25,0,MATCH(B186,'参数'!$E$5:$J$5,0)))/SUMPRODUCT('参数'!$C$6:$C$25,'参数'!$D$6:$D$25,INDEX('参数'!$E$6:$J$25,0,MATCH(B186,'参数'!$E$5:$J$5,0))))</x:f>
      </x:c>
      <x:c r="F186" s="194" t="str">
        <x:f>IF(D186="","",IF(D186&gt;='参数'!$B$30,1,IF(D186&lt;=-'参数'!$B$30,-1,0)))</x:f>
      </x:c>
      <x:c r="G186" s="194" t="str">
        <x:f>IF(C186="","",IF(C186&gt;='参数'!$B$37,1,IF(C186&lt;=-'参数'!$B$37,-1,0)))</x:f>
      </x:c>
      <x:c r="H186" s="194" t="str">
        <x:f>IF(OR(F186="",G186=""),"",--(F186=G186))</x:f>
      </x:c>
      <x:c r="I186" s="214" t="str">
        <x:f>IF(D186="","",D186*'参数'!$B$34)</x:f>
      </x:c>
      <x:c r="J186" s="214" t="str">
        <x:f>IF(OR(C186="",I186=""),"",ABS(C186-I186))</x:f>
      </x:c>
      <x:c r="K186" s="194" t="str">
        <x:f>IF(D186="","",IF(MAX(ABS(SUM(L186:M186)),ABS(SUM(N186:P186)),ABS(Q186),ABS(SUM(R186:T186)),ABS(SUM(U186:V186)),ABS(SUM(W186:Y186)),ABS(SUM(Z186:AB186)),ABS(SUM(AC186:AE186)))=ABS(SUM(L186:M186)),"订单流",IF(MAX(ABS(SUM(L186:M186)),ABS(SUM(N186:P186)),ABS(Q186),ABS(SUM(R186:T186)),ABS(SUM(U186:V186)),ABS(SUM(W186:Y186)),ABS(SUM(Z186:AB186)),ABS(SUM(AC186:AE186)))=ABS(SUM(N186:P186)),"流动性",IF(MAX(ABS(SUM(L186:M186)),ABS(SUM(N186:P186)),ABS(Q186),ABS(SUM(R186:T186)),ABS(SUM(U186:V186)),ABS(SUM(W186:Y186)),ABS(SUM(Z186:AB186)),ABS(SUM(AC186:AE186)))=ABS(Q186),"价格行为",IF(MAX(ABS(SUM(L186:M186)),ABS(SUM(N186:P186)),ABS(Q186),ABS(SUM(R186:T186)),ABS(SUM(U186:V186)),ABS(SUM(W186:Y186)),ABS(SUM(Z186:AB186)),ABS(SUM(AC186:AE186)))=ABS(SUM(R186:T186)),"杠杆/清算",IF(MAX(ABS(SUM(L186:M186)),ABS(SUM(N186:P186)),ABS(Q186),ABS(SUM(R186:T186)),ABS(SUM(U186:V186)),ABS(SUM(W186:Y186)),ABS(SUM(Z186:AB186)),ABS(SUM(AC186:AE186)))=ABS(SUM(U186:V186)),"衍生品",IF(MAX(ABS(SUM(L186:M186)),ABS(SUM(N186:P186)),ABS(Q186),ABS(SUM(R186:T186)),ABS(SUM(U186:V186)),ABS(SUM(W186:Y186)),ABS(SUM(Z186:AB186)),ABS(SUM(AC186:AE186)))=ABS(SUM(W186:Y186)),"跨市场",IF(MAX(ABS(SUM(L186:M186)),ABS(SUM(N186:P186)),ABS(Q186),ABS(SUM(R186:T186)),ABS(SUM(U186:V186)),ABS(SUM(W186:Y186)),ABS(SUM(Z186:AB186)),ABS(SUM(AC186:AE186)))=ABS(SUM(Z186:AB186)),"宏观代理","事件"))))))))</x:f>
      </x:c>
      <x:c r="L186" s="198"/>
      <x:c r="M186" s="198"/>
      <x:c r="N186" s="198"/>
      <x:c r="O186" s="198"/>
      <x:c r="P186" s="198"/>
      <x:c r="Q186" s="198"/>
      <x:c r="R186" s="198"/>
      <x:c r="S186" s="198"/>
      <x:c r="T186" s="198"/>
      <x:c r="U186" s="198"/>
      <x:c r="V186" s="198"/>
      <x:c r="W186" s="198"/>
      <x:c r="X186" s="198"/>
      <x:c r="Y186" s="198"/>
      <x:c r="Z186" s="198"/>
      <x:c r="AA186" s="198"/>
      <x:c r="AB186" s="198"/>
      <x:c r="AC186" s="198"/>
      <x:c r="AD186" s="198"/>
      <x:c r="AE186" s="198"/>
      <x:c r="AF186" s="215"/>
    </x:row>
    <x:row r="187">
      <x:c r="A187" s="238"/>
      <x:c r="B187" s="215" t="str">
        <x:v>正常</x:v>
      </x:c>
      <x:c r="C187" s="199"/>
      <x:c r="D187" s="223" t="str">
        <x:f>IF(COUNTA(L187:AE187)=0,"",SUMPRODUCT(L187:AE187,'参数'!$C$6:$C$25,'参数'!$D$6:$D$25,INDEX('参数'!$E$6:$J$25,0,MATCH(B187,'参数'!$E$5:$J$5,0)),'参数'!$K$6:$K$25)/SUMPRODUCT('参数'!$C$6:$C$25,'参数'!$D$6:$D$25,INDEX('参数'!$E$6:$J$25,0,MATCH(B187,'参数'!$E$5:$J$5,0)),'参数'!$K$6:$K$25))</x:f>
      </x:c>
      <x:c r="E187" s="223" t="str">
        <x:f>IF(D187="","",SUMPRODUCT(ABS(L187:AE187),'参数'!$C$6:$C$25,'参数'!$D$6:$D$25,INDEX('参数'!$E$6:$J$25,0,MATCH(B187,'参数'!$E$5:$J$5,0)))/SUMPRODUCT('参数'!$C$6:$C$25,'参数'!$D$6:$D$25,INDEX('参数'!$E$6:$J$25,0,MATCH(B187,'参数'!$E$5:$J$5,0))))</x:f>
      </x:c>
      <x:c r="F187" s="194" t="str">
        <x:f>IF(D187="","",IF(D187&gt;='参数'!$B$30,1,IF(D187&lt;=-'参数'!$B$30,-1,0)))</x:f>
      </x:c>
      <x:c r="G187" s="194" t="str">
        <x:f>IF(C187="","",IF(C187&gt;='参数'!$B$37,1,IF(C187&lt;=-'参数'!$B$37,-1,0)))</x:f>
      </x:c>
      <x:c r="H187" s="194" t="str">
        <x:f>IF(OR(F187="",G187=""),"",--(F187=G187))</x:f>
      </x:c>
      <x:c r="I187" s="214" t="str">
        <x:f>IF(D187="","",D187*'参数'!$B$34)</x:f>
      </x:c>
      <x:c r="J187" s="214" t="str">
        <x:f>IF(OR(C187="",I187=""),"",ABS(C187-I187))</x:f>
      </x:c>
      <x:c r="K187" s="194" t="str">
        <x:f>IF(D187="","",IF(MAX(ABS(SUM(L187:M187)),ABS(SUM(N187:P187)),ABS(Q187),ABS(SUM(R187:T187)),ABS(SUM(U187:V187)),ABS(SUM(W187:Y187)),ABS(SUM(Z187:AB187)),ABS(SUM(AC187:AE187)))=ABS(SUM(L187:M187)),"订单流",IF(MAX(ABS(SUM(L187:M187)),ABS(SUM(N187:P187)),ABS(Q187),ABS(SUM(R187:T187)),ABS(SUM(U187:V187)),ABS(SUM(W187:Y187)),ABS(SUM(Z187:AB187)),ABS(SUM(AC187:AE187)))=ABS(SUM(N187:P187)),"流动性",IF(MAX(ABS(SUM(L187:M187)),ABS(SUM(N187:P187)),ABS(Q187),ABS(SUM(R187:T187)),ABS(SUM(U187:V187)),ABS(SUM(W187:Y187)),ABS(SUM(Z187:AB187)),ABS(SUM(AC187:AE187)))=ABS(Q187),"价格行为",IF(MAX(ABS(SUM(L187:M187)),ABS(SUM(N187:P187)),ABS(Q187),ABS(SUM(R187:T187)),ABS(SUM(U187:V187)),ABS(SUM(W187:Y187)),ABS(SUM(Z187:AB187)),ABS(SUM(AC187:AE187)))=ABS(SUM(R187:T187)),"杠杆/清算",IF(MAX(ABS(SUM(L187:M187)),ABS(SUM(N187:P187)),ABS(Q187),ABS(SUM(R187:T187)),ABS(SUM(U187:V187)),ABS(SUM(W187:Y187)),ABS(SUM(Z187:AB187)),ABS(SUM(AC187:AE187)))=ABS(SUM(U187:V187)),"衍生品",IF(MAX(ABS(SUM(L187:M187)),ABS(SUM(N187:P187)),ABS(Q187),ABS(SUM(R187:T187)),ABS(SUM(U187:V187)),ABS(SUM(W187:Y187)),ABS(SUM(Z187:AB187)),ABS(SUM(AC187:AE187)))=ABS(SUM(W187:Y187)),"跨市场",IF(MAX(ABS(SUM(L187:M187)),ABS(SUM(N187:P187)),ABS(Q187),ABS(SUM(R187:T187)),ABS(SUM(U187:V187)),ABS(SUM(W187:Y187)),ABS(SUM(Z187:AB187)),ABS(SUM(AC187:AE187)))=ABS(SUM(Z187:AB187)),"宏观代理","事件"))))))))</x:f>
      </x:c>
      <x:c r="L187" s="198"/>
      <x:c r="M187" s="198"/>
      <x:c r="N187" s="198"/>
      <x:c r="O187" s="198"/>
      <x:c r="P187" s="198"/>
      <x:c r="Q187" s="198"/>
      <x:c r="R187" s="198"/>
      <x:c r="S187" s="198"/>
      <x:c r="T187" s="198"/>
      <x:c r="U187" s="198"/>
      <x:c r="V187" s="198"/>
      <x:c r="W187" s="198"/>
      <x:c r="X187" s="198"/>
      <x:c r="Y187" s="198"/>
      <x:c r="Z187" s="198"/>
      <x:c r="AA187" s="198"/>
      <x:c r="AB187" s="198"/>
      <x:c r="AC187" s="198"/>
      <x:c r="AD187" s="198"/>
      <x:c r="AE187" s="198"/>
      <x:c r="AF187" s="215"/>
    </x:row>
    <x:row r="188">
      <x:c r="A188" s="238"/>
      <x:c r="B188" s="215" t="str">
        <x:v>正常</x:v>
      </x:c>
      <x:c r="C188" s="199"/>
      <x:c r="D188" s="223" t="str">
        <x:f>IF(COUNTA(L188:AE188)=0,"",SUMPRODUCT(L188:AE188,'参数'!$C$6:$C$25,'参数'!$D$6:$D$25,INDEX('参数'!$E$6:$J$25,0,MATCH(B188,'参数'!$E$5:$J$5,0)),'参数'!$K$6:$K$25)/SUMPRODUCT('参数'!$C$6:$C$25,'参数'!$D$6:$D$25,INDEX('参数'!$E$6:$J$25,0,MATCH(B188,'参数'!$E$5:$J$5,0)),'参数'!$K$6:$K$25))</x:f>
      </x:c>
      <x:c r="E188" s="223" t="str">
        <x:f>IF(D188="","",SUMPRODUCT(ABS(L188:AE188),'参数'!$C$6:$C$25,'参数'!$D$6:$D$25,INDEX('参数'!$E$6:$J$25,0,MATCH(B188,'参数'!$E$5:$J$5,0)))/SUMPRODUCT('参数'!$C$6:$C$25,'参数'!$D$6:$D$25,INDEX('参数'!$E$6:$J$25,0,MATCH(B188,'参数'!$E$5:$J$5,0))))</x:f>
      </x:c>
      <x:c r="F188" s="194" t="str">
        <x:f>IF(D188="","",IF(D188&gt;='参数'!$B$30,1,IF(D188&lt;=-'参数'!$B$30,-1,0)))</x:f>
      </x:c>
      <x:c r="G188" s="194" t="str">
        <x:f>IF(C188="","",IF(C188&gt;='参数'!$B$37,1,IF(C188&lt;=-'参数'!$B$37,-1,0)))</x:f>
      </x:c>
      <x:c r="H188" s="194" t="str">
        <x:f>IF(OR(F188="",G188=""),"",--(F188=G188))</x:f>
      </x:c>
      <x:c r="I188" s="214" t="str">
        <x:f>IF(D188="","",D188*'参数'!$B$34)</x:f>
      </x:c>
      <x:c r="J188" s="214" t="str">
        <x:f>IF(OR(C188="",I188=""),"",ABS(C188-I188))</x:f>
      </x:c>
      <x:c r="K188" s="194" t="str">
        <x:f>IF(D188="","",IF(MAX(ABS(SUM(L188:M188)),ABS(SUM(N188:P188)),ABS(Q188),ABS(SUM(R188:T188)),ABS(SUM(U188:V188)),ABS(SUM(W188:Y188)),ABS(SUM(Z188:AB188)),ABS(SUM(AC188:AE188)))=ABS(SUM(L188:M188)),"订单流",IF(MAX(ABS(SUM(L188:M188)),ABS(SUM(N188:P188)),ABS(Q188),ABS(SUM(R188:T188)),ABS(SUM(U188:V188)),ABS(SUM(W188:Y188)),ABS(SUM(Z188:AB188)),ABS(SUM(AC188:AE188)))=ABS(SUM(N188:P188)),"流动性",IF(MAX(ABS(SUM(L188:M188)),ABS(SUM(N188:P188)),ABS(Q188),ABS(SUM(R188:T188)),ABS(SUM(U188:V188)),ABS(SUM(W188:Y188)),ABS(SUM(Z188:AB188)),ABS(SUM(AC188:AE188)))=ABS(Q188),"价格行为",IF(MAX(ABS(SUM(L188:M188)),ABS(SUM(N188:P188)),ABS(Q188),ABS(SUM(R188:T188)),ABS(SUM(U188:V188)),ABS(SUM(W188:Y188)),ABS(SUM(Z188:AB188)),ABS(SUM(AC188:AE188)))=ABS(SUM(R188:T188)),"杠杆/清算",IF(MAX(ABS(SUM(L188:M188)),ABS(SUM(N188:P188)),ABS(Q188),ABS(SUM(R188:T188)),ABS(SUM(U188:V188)),ABS(SUM(W188:Y188)),ABS(SUM(Z188:AB188)),ABS(SUM(AC188:AE188)))=ABS(SUM(U188:V188)),"衍生品",IF(MAX(ABS(SUM(L188:M188)),ABS(SUM(N188:P188)),ABS(Q188),ABS(SUM(R188:T188)),ABS(SUM(U188:V188)),ABS(SUM(W188:Y188)),ABS(SUM(Z188:AB188)),ABS(SUM(AC188:AE188)))=ABS(SUM(W188:Y188)),"跨市场",IF(MAX(ABS(SUM(L188:M188)),ABS(SUM(N188:P188)),ABS(Q188),ABS(SUM(R188:T188)),ABS(SUM(U188:V188)),ABS(SUM(W188:Y188)),ABS(SUM(Z188:AB188)),ABS(SUM(AC188:AE188)))=ABS(SUM(Z188:AB188)),"宏观代理","事件"))))))))</x:f>
      </x:c>
      <x:c r="L188" s="198"/>
      <x:c r="M188" s="198"/>
      <x:c r="N188" s="198"/>
      <x:c r="O188" s="198"/>
      <x:c r="P188" s="198"/>
      <x:c r="Q188" s="198"/>
      <x:c r="R188" s="198"/>
      <x:c r="S188" s="198"/>
      <x:c r="T188" s="198"/>
      <x:c r="U188" s="198"/>
      <x:c r="V188" s="198"/>
      <x:c r="W188" s="198"/>
      <x:c r="X188" s="198"/>
      <x:c r="Y188" s="198"/>
      <x:c r="Z188" s="198"/>
      <x:c r="AA188" s="198"/>
      <x:c r="AB188" s="198"/>
      <x:c r="AC188" s="198"/>
      <x:c r="AD188" s="198"/>
      <x:c r="AE188" s="198"/>
      <x:c r="AF188" s="215"/>
    </x:row>
    <x:row r="189">
      <x:c r="A189" s="238"/>
      <x:c r="B189" s="215" t="str">
        <x:v>正常</x:v>
      </x:c>
      <x:c r="C189" s="199"/>
      <x:c r="D189" s="223" t="str">
        <x:f>IF(COUNTA(L189:AE189)=0,"",SUMPRODUCT(L189:AE189,'参数'!$C$6:$C$25,'参数'!$D$6:$D$25,INDEX('参数'!$E$6:$J$25,0,MATCH(B189,'参数'!$E$5:$J$5,0)),'参数'!$K$6:$K$25)/SUMPRODUCT('参数'!$C$6:$C$25,'参数'!$D$6:$D$25,INDEX('参数'!$E$6:$J$25,0,MATCH(B189,'参数'!$E$5:$J$5,0)),'参数'!$K$6:$K$25))</x:f>
      </x:c>
      <x:c r="E189" s="223" t="str">
        <x:f>IF(D189="","",SUMPRODUCT(ABS(L189:AE189),'参数'!$C$6:$C$25,'参数'!$D$6:$D$25,INDEX('参数'!$E$6:$J$25,0,MATCH(B189,'参数'!$E$5:$J$5,0)))/SUMPRODUCT('参数'!$C$6:$C$25,'参数'!$D$6:$D$25,INDEX('参数'!$E$6:$J$25,0,MATCH(B189,'参数'!$E$5:$J$5,0))))</x:f>
      </x:c>
      <x:c r="F189" s="194" t="str">
        <x:f>IF(D189="","",IF(D189&gt;='参数'!$B$30,1,IF(D189&lt;=-'参数'!$B$30,-1,0)))</x:f>
      </x:c>
      <x:c r="G189" s="194" t="str">
        <x:f>IF(C189="","",IF(C189&gt;='参数'!$B$37,1,IF(C189&lt;=-'参数'!$B$37,-1,0)))</x:f>
      </x:c>
      <x:c r="H189" s="194" t="str">
        <x:f>IF(OR(F189="",G189=""),"",--(F189=G189))</x:f>
      </x:c>
      <x:c r="I189" s="214" t="str">
        <x:f>IF(D189="","",D189*'参数'!$B$34)</x:f>
      </x:c>
      <x:c r="J189" s="214" t="str">
        <x:f>IF(OR(C189="",I189=""),"",ABS(C189-I189))</x:f>
      </x:c>
      <x:c r="K189" s="194" t="str">
        <x:f>IF(D189="","",IF(MAX(ABS(SUM(L189:M189)),ABS(SUM(N189:P189)),ABS(Q189),ABS(SUM(R189:T189)),ABS(SUM(U189:V189)),ABS(SUM(W189:Y189)),ABS(SUM(Z189:AB189)),ABS(SUM(AC189:AE189)))=ABS(SUM(L189:M189)),"订单流",IF(MAX(ABS(SUM(L189:M189)),ABS(SUM(N189:P189)),ABS(Q189),ABS(SUM(R189:T189)),ABS(SUM(U189:V189)),ABS(SUM(W189:Y189)),ABS(SUM(Z189:AB189)),ABS(SUM(AC189:AE189)))=ABS(SUM(N189:P189)),"流动性",IF(MAX(ABS(SUM(L189:M189)),ABS(SUM(N189:P189)),ABS(Q189),ABS(SUM(R189:T189)),ABS(SUM(U189:V189)),ABS(SUM(W189:Y189)),ABS(SUM(Z189:AB189)),ABS(SUM(AC189:AE189)))=ABS(Q189),"价格行为",IF(MAX(ABS(SUM(L189:M189)),ABS(SUM(N189:P189)),ABS(Q189),ABS(SUM(R189:T189)),ABS(SUM(U189:V189)),ABS(SUM(W189:Y189)),ABS(SUM(Z189:AB189)),ABS(SUM(AC189:AE189)))=ABS(SUM(R189:T189)),"杠杆/清算",IF(MAX(ABS(SUM(L189:M189)),ABS(SUM(N189:P189)),ABS(Q189),ABS(SUM(R189:T189)),ABS(SUM(U189:V189)),ABS(SUM(W189:Y189)),ABS(SUM(Z189:AB189)),ABS(SUM(AC189:AE189)))=ABS(SUM(U189:V189)),"衍生品",IF(MAX(ABS(SUM(L189:M189)),ABS(SUM(N189:P189)),ABS(Q189),ABS(SUM(R189:T189)),ABS(SUM(U189:V189)),ABS(SUM(W189:Y189)),ABS(SUM(Z189:AB189)),ABS(SUM(AC189:AE189)))=ABS(SUM(W189:Y189)),"跨市场",IF(MAX(ABS(SUM(L189:M189)),ABS(SUM(N189:P189)),ABS(Q189),ABS(SUM(R189:T189)),ABS(SUM(U189:V189)),ABS(SUM(W189:Y189)),ABS(SUM(Z189:AB189)),ABS(SUM(AC189:AE189)))=ABS(SUM(Z189:AB189)),"宏观代理","事件"))))))))</x:f>
      </x:c>
      <x:c r="L189" s="198"/>
      <x:c r="M189" s="198"/>
      <x:c r="N189" s="198"/>
      <x:c r="O189" s="198"/>
      <x:c r="P189" s="198"/>
      <x:c r="Q189" s="198"/>
      <x:c r="R189" s="198"/>
      <x:c r="S189" s="198"/>
      <x:c r="T189" s="198"/>
      <x:c r="U189" s="198"/>
      <x:c r="V189" s="198"/>
      <x:c r="W189" s="198"/>
      <x:c r="X189" s="198"/>
      <x:c r="Y189" s="198"/>
      <x:c r="Z189" s="198"/>
      <x:c r="AA189" s="198"/>
      <x:c r="AB189" s="198"/>
      <x:c r="AC189" s="198"/>
      <x:c r="AD189" s="198"/>
      <x:c r="AE189" s="198"/>
      <x:c r="AF189" s="215"/>
    </x:row>
    <x:row r="190">
      <x:c r="A190" s="238"/>
      <x:c r="B190" s="215" t="str">
        <x:v>正常</x:v>
      </x:c>
      <x:c r="C190" s="199"/>
      <x:c r="D190" s="223" t="str">
        <x:f>IF(COUNTA(L190:AE190)=0,"",SUMPRODUCT(L190:AE190,'参数'!$C$6:$C$25,'参数'!$D$6:$D$25,INDEX('参数'!$E$6:$J$25,0,MATCH(B190,'参数'!$E$5:$J$5,0)),'参数'!$K$6:$K$25)/SUMPRODUCT('参数'!$C$6:$C$25,'参数'!$D$6:$D$25,INDEX('参数'!$E$6:$J$25,0,MATCH(B190,'参数'!$E$5:$J$5,0)),'参数'!$K$6:$K$25))</x:f>
      </x:c>
      <x:c r="E190" s="223" t="str">
        <x:f>IF(D190="","",SUMPRODUCT(ABS(L190:AE190),'参数'!$C$6:$C$25,'参数'!$D$6:$D$25,INDEX('参数'!$E$6:$J$25,0,MATCH(B190,'参数'!$E$5:$J$5,0)))/SUMPRODUCT('参数'!$C$6:$C$25,'参数'!$D$6:$D$25,INDEX('参数'!$E$6:$J$25,0,MATCH(B190,'参数'!$E$5:$J$5,0))))</x:f>
      </x:c>
      <x:c r="F190" s="194" t="str">
        <x:f>IF(D190="","",IF(D190&gt;='参数'!$B$30,1,IF(D190&lt;=-'参数'!$B$30,-1,0)))</x:f>
      </x:c>
      <x:c r="G190" s="194" t="str">
        <x:f>IF(C190="","",IF(C190&gt;='参数'!$B$37,1,IF(C190&lt;=-'参数'!$B$37,-1,0)))</x:f>
      </x:c>
      <x:c r="H190" s="194" t="str">
        <x:f>IF(OR(F190="",G190=""),"",--(F190=G190))</x:f>
      </x:c>
      <x:c r="I190" s="214" t="str">
        <x:f>IF(D190="","",D190*'参数'!$B$34)</x:f>
      </x:c>
      <x:c r="J190" s="214" t="str">
        <x:f>IF(OR(C190="",I190=""),"",ABS(C190-I190))</x:f>
      </x:c>
      <x:c r="K190" s="194" t="str">
        <x:f>IF(D190="","",IF(MAX(ABS(SUM(L190:M190)),ABS(SUM(N190:P190)),ABS(Q190),ABS(SUM(R190:T190)),ABS(SUM(U190:V190)),ABS(SUM(W190:Y190)),ABS(SUM(Z190:AB190)),ABS(SUM(AC190:AE190)))=ABS(SUM(L190:M190)),"订单流",IF(MAX(ABS(SUM(L190:M190)),ABS(SUM(N190:P190)),ABS(Q190),ABS(SUM(R190:T190)),ABS(SUM(U190:V190)),ABS(SUM(W190:Y190)),ABS(SUM(Z190:AB190)),ABS(SUM(AC190:AE190)))=ABS(SUM(N190:P190)),"流动性",IF(MAX(ABS(SUM(L190:M190)),ABS(SUM(N190:P190)),ABS(Q190),ABS(SUM(R190:T190)),ABS(SUM(U190:V190)),ABS(SUM(W190:Y190)),ABS(SUM(Z190:AB190)),ABS(SUM(AC190:AE190)))=ABS(Q190),"价格行为",IF(MAX(ABS(SUM(L190:M190)),ABS(SUM(N190:P190)),ABS(Q190),ABS(SUM(R190:T190)),ABS(SUM(U190:V190)),ABS(SUM(W190:Y190)),ABS(SUM(Z190:AB190)),ABS(SUM(AC190:AE190)))=ABS(SUM(R190:T190)),"杠杆/清算",IF(MAX(ABS(SUM(L190:M190)),ABS(SUM(N190:P190)),ABS(Q190),ABS(SUM(R190:T190)),ABS(SUM(U190:V190)),ABS(SUM(W190:Y190)),ABS(SUM(Z190:AB190)),ABS(SUM(AC190:AE190)))=ABS(SUM(U190:V190)),"衍生品",IF(MAX(ABS(SUM(L190:M190)),ABS(SUM(N190:P190)),ABS(Q190),ABS(SUM(R190:T190)),ABS(SUM(U190:V190)),ABS(SUM(W190:Y190)),ABS(SUM(Z190:AB190)),ABS(SUM(AC190:AE190)))=ABS(SUM(W190:Y190)),"跨市场",IF(MAX(ABS(SUM(L190:M190)),ABS(SUM(N190:P190)),ABS(Q190),ABS(SUM(R190:T190)),ABS(SUM(U190:V190)),ABS(SUM(W190:Y190)),ABS(SUM(Z190:AB190)),ABS(SUM(AC190:AE190)))=ABS(SUM(Z190:AB190)),"宏观代理","事件"))))))))</x:f>
      </x:c>
      <x:c r="L190" s="198"/>
      <x:c r="M190" s="198"/>
      <x:c r="N190" s="198"/>
      <x:c r="O190" s="198"/>
      <x:c r="P190" s="198"/>
      <x:c r="Q190" s="198"/>
      <x:c r="R190" s="198"/>
      <x:c r="S190" s="198"/>
      <x:c r="T190" s="198"/>
      <x:c r="U190" s="198"/>
      <x:c r="V190" s="198"/>
      <x:c r="W190" s="198"/>
      <x:c r="X190" s="198"/>
      <x:c r="Y190" s="198"/>
      <x:c r="Z190" s="198"/>
      <x:c r="AA190" s="198"/>
      <x:c r="AB190" s="198"/>
      <x:c r="AC190" s="198"/>
      <x:c r="AD190" s="198"/>
      <x:c r="AE190" s="198"/>
      <x:c r="AF190" s="215"/>
    </x:row>
    <x:row r="191">
      <x:c r="A191" s="238"/>
      <x:c r="B191" s="215" t="str">
        <x:v>正常</x:v>
      </x:c>
      <x:c r="C191" s="199"/>
      <x:c r="D191" s="223" t="str">
        <x:f>IF(COUNTA(L191:AE191)=0,"",SUMPRODUCT(L191:AE191,'参数'!$C$6:$C$25,'参数'!$D$6:$D$25,INDEX('参数'!$E$6:$J$25,0,MATCH(B191,'参数'!$E$5:$J$5,0)),'参数'!$K$6:$K$25)/SUMPRODUCT('参数'!$C$6:$C$25,'参数'!$D$6:$D$25,INDEX('参数'!$E$6:$J$25,0,MATCH(B191,'参数'!$E$5:$J$5,0)),'参数'!$K$6:$K$25))</x:f>
      </x:c>
      <x:c r="E191" s="223" t="str">
        <x:f>IF(D191="","",SUMPRODUCT(ABS(L191:AE191),'参数'!$C$6:$C$25,'参数'!$D$6:$D$25,INDEX('参数'!$E$6:$J$25,0,MATCH(B191,'参数'!$E$5:$J$5,0)))/SUMPRODUCT('参数'!$C$6:$C$25,'参数'!$D$6:$D$25,INDEX('参数'!$E$6:$J$25,0,MATCH(B191,'参数'!$E$5:$J$5,0))))</x:f>
      </x:c>
      <x:c r="F191" s="194" t="str">
        <x:f>IF(D191="","",IF(D191&gt;='参数'!$B$30,1,IF(D191&lt;=-'参数'!$B$30,-1,0)))</x:f>
      </x:c>
      <x:c r="G191" s="194" t="str">
        <x:f>IF(C191="","",IF(C191&gt;='参数'!$B$37,1,IF(C191&lt;=-'参数'!$B$37,-1,0)))</x:f>
      </x:c>
      <x:c r="H191" s="194" t="str">
        <x:f>IF(OR(F191="",G191=""),"",--(F191=G191))</x:f>
      </x:c>
      <x:c r="I191" s="214" t="str">
        <x:f>IF(D191="","",D191*'参数'!$B$34)</x:f>
      </x:c>
      <x:c r="J191" s="214" t="str">
        <x:f>IF(OR(C191="",I191=""),"",ABS(C191-I191))</x:f>
      </x:c>
      <x:c r="K191" s="194" t="str">
        <x:f>IF(D191="","",IF(MAX(ABS(SUM(L191:M191)),ABS(SUM(N191:P191)),ABS(Q191),ABS(SUM(R191:T191)),ABS(SUM(U191:V191)),ABS(SUM(W191:Y191)),ABS(SUM(Z191:AB191)),ABS(SUM(AC191:AE191)))=ABS(SUM(L191:M191)),"订单流",IF(MAX(ABS(SUM(L191:M191)),ABS(SUM(N191:P191)),ABS(Q191),ABS(SUM(R191:T191)),ABS(SUM(U191:V191)),ABS(SUM(W191:Y191)),ABS(SUM(Z191:AB191)),ABS(SUM(AC191:AE191)))=ABS(SUM(N191:P191)),"流动性",IF(MAX(ABS(SUM(L191:M191)),ABS(SUM(N191:P191)),ABS(Q191),ABS(SUM(R191:T191)),ABS(SUM(U191:V191)),ABS(SUM(W191:Y191)),ABS(SUM(Z191:AB191)),ABS(SUM(AC191:AE191)))=ABS(Q191),"价格行为",IF(MAX(ABS(SUM(L191:M191)),ABS(SUM(N191:P191)),ABS(Q191),ABS(SUM(R191:T191)),ABS(SUM(U191:V191)),ABS(SUM(W191:Y191)),ABS(SUM(Z191:AB191)),ABS(SUM(AC191:AE191)))=ABS(SUM(R191:T191)),"杠杆/清算",IF(MAX(ABS(SUM(L191:M191)),ABS(SUM(N191:P191)),ABS(Q191),ABS(SUM(R191:T191)),ABS(SUM(U191:V191)),ABS(SUM(W191:Y191)),ABS(SUM(Z191:AB191)),ABS(SUM(AC191:AE191)))=ABS(SUM(U191:V191)),"衍生品",IF(MAX(ABS(SUM(L191:M191)),ABS(SUM(N191:P191)),ABS(Q191),ABS(SUM(R191:T191)),ABS(SUM(U191:V191)),ABS(SUM(W191:Y191)),ABS(SUM(Z191:AB191)),ABS(SUM(AC191:AE191)))=ABS(SUM(W191:Y191)),"跨市场",IF(MAX(ABS(SUM(L191:M191)),ABS(SUM(N191:P191)),ABS(Q191),ABS(SUM(R191:T191)),ABS(SUM(U191:V191)),ABS(SUM(W191:Y191)),ABS(SUM(Z191:AB191)),ABS(SUM(AC191:AE191)))=ABS(SUM(Z191:AB191)),"宏观代理","事件"))))))))</x:f>
      </x:c>
      <x:c r="L191" s="198"/>
      <x:c r="M191" s="198"/>
      <x:c r="N191" s="198"/>
      <x:c r="O191" s="198"/>
      <x:c r="P191" s="198"/>
      <x:c r="Q191" s="198"/>
      <x:c r="R191" s="198"/>
      <x:c r="S191" s="198"/>
      <x:c r="T191" s="198"/>
      <x:c r="U191" s="198"/>
      <x:c r="V191" s="198"/>
      <x:c r="W191" s="198"/>
      <x:c r="X191" s="198"/>
      <x:c r="Y191" s="198"/>
      <x:c r="Z191" s="198"/>
      <x:c r="AA191" s="198"/>
      <x:c r="AB191" s="198"/>
      <x:c r="AC191" s="198"/>
      <x:c r="AD191" s="198"/>
      <x:c r="AE191" s="198"/>
      <x:c r="AF191" s="215"/>
    </x:row>
    <x:row r="192">
      <x:c r="A192" s="238"/>
      <x:c r="B192" s="215" t="str">
        <x:v>正常</x:v>
      </x:c>
      <x:c r="C192" s="199"/>
      <x:c r="D192" s="223" t="str">
        <x:f>IF(COUNTA(L192:AE192)=0,"",SUMPRODUCT(L192:AE192,'参数'!$C$6:$C$25,'参数'!$D$6:$D$25,INDEX('参数'!$E$6:$J$25,0,MATCH(B192,'参数'!$E$5:$J$5,0)),'参数'!$K$6:$K$25)/SUMPRODUCT('参数'!$C$6:$C$25,'参数'!$D$6:$D$25,INDEX('参数'!$E$6:$J$25,0,MATCH(B192,'参数'!$E$5:$J$5,0)),'参数'!$K$6:$K$25))</x:f>
      </x:c>
      <x:c r="E192" s="223" t="str">
        <x:f>IF(D192="","",SUMPRODUCT(ABS(L192:AE192),'参数'!$C$6:$C$25,'参数'!$D$6:$D$25,INDEX('参数'!$E$6:$J$25,0,MATCH(B192,'参数'!$E$5:$J$5,0)))/SUMPRODUCT('参数'!$C$6:$C$25,'参数'!$D$6:$D$25,INDEX('参数'!$E$6:$J$25,0,MATCH(B192,'参数'!$E$5:$J$5,0))))</x:f>
      </x:c>
      <x:c r="F192" s="194" t="str">
        <x:f>IF(D192="","",IF(D192&gt;='参数'!$B$30,1,IF(D192&lt;=-'参数'!$B$30,-1,0)))</x:f>
      </x:c>
      <x:c r="G192" s="194" t="str">
        <x:f>IF(C192="","",IF(C192&gt;='参数'!$B$37,1,IF(C192&lt;=-'参数'!$B$37,-1,0)))</x:f>
      </x:c>
      <x:c r="H192" s="194" t="str">
        <x:f>IF(OR(F192="",G192=""),"",--(F192=G192))</x:f>
      </x:c>
      <x:c r="I192" s="214" t="str">
        <x:f>IF(D192="","",D192*'参数'!$B$34)</x:f>
      </x:c>
      <x:c r="J192" s="214" t="str">
        <x:f>IF(OR(C192="",I192=""),"",ABS(C192-I192))</x:f>
      </x:c>
      <x:c r="K192" s="194" t="str">
        <x:f>IF(D192="","",IF(MAX(ABS(SUM(L192:M192)),ABS(SUM(N192:P192)),ABS(Q192),ABS(SUM(R192:T192)),ABS(SUM(U192:V192)),ABS(SUM(W192:Y192)),ABS(SUM(Z192:AB192)),ABS(SUM(AC192:AE192)))=ABS(SUM(L192:M192)),"订单流",IF(MAX(ABS(SUM(L192:M192)),ABS(SUM(N192:P192)),ABS(Q192),ABS(SUM(R192:T192)),ABS(SUM(U192:V192)),ABS(SUM(W192:Y192)),ABS(SUM(Z192:AB192)),ABS(SUM(AC192:AE192)))=ABS(SUM(N192:P192)),"流动性",IF(MAX(ABS(SUM(L192:M192)),ABS(SUM(N192:P192)),ABS(Q192),ABS(SUM(R192:T192)),ABS(SUM(U192:V192)),ABS(SUM(W192:Y192)),ABS(SUM(Z192:AB192)),ABS(SUM(AC192:AE192)))=ABS(Q192),"价格行为",IF(MAX(ABS(SUM(L192:M192)),ABS(SUM(N192:P192)),ABS(Q192),ABS(SUM(R192:T192)),ABS(SUM(U192:V192)),ABS(SUM(W192:Y192)),ABS(SUM(Z192:AB192)),ABS(SUM(AC192:AE192)))=ABS(SUM(R192:T192)),"杠杆/清算",IF(MAX(ABS(SUM(L192:M192)),ABS(SUM(N192:P192)),ABS(Q192),ABS(SUM(R192:T192)),ABS(SUM(U192:V192)),ABS(SUM(W192:Y192)),ABS(SUM(Z192:AB192)),ABS(SUM(AC192:AE192)))=ABS(SUM(U192:V192)),"衍生品",IF(MAX(ABS(SUM(L192:M192)),ABS(SUM(N192:P192)),ABS(Q192),ABS(SUM(R192:T192)),ABS(SUM(U192:V192)),ABS(SUM(W192:Y192)),ABS(SUM(Z192:AB192)),ABS(SUM(AC192:AE192)))=ABS(SUM(W192:Y192)),"跨市场",IF(MAX(ABS(SUM(L192:M192)),ABS(SUM(N192:P192)),ABS(Q192),ABS(SUM(R192:T192)),ABS(SUM(U192:V192)),ABS(SUM(W192:Y192)),ABS(SUM(Z192:AB192)),ABS(SUM(AC192:AE192)))=ABS(SUM(Z192:AB192)),"宏观代理","事件"))))))))</x:f>
      </x:c>
      <x:c r="L192" s="198"/>
      <x:c r="M192" s="198"/>
      <x:c r="N192" s="198"/>
      <x:c r="O192" s="198"/>
      <x:c r="P192" s="198"/>
      <x:c r="Q192" s="198"/>
      <x:c r="R192" s="198"/>
      <x:c r="S192" s="198"/>
      <x:c r="T192" s="198"/>
      <x:c r="U192" s="198"/>
      <x:c r="V192" s="198"/>
      <x:c r="W192" s="198"/>
      <x:c r="X192" s="198"/>
      <x:c r="Y192" s="198"/>
      <x:c r="Z192" s="198"/>
      <x:c r="AA192" s="198"/>
      <x:c r="AB192" s="198"/>
      <x:c r="AC192" s="198"/>
      <x:c r="AD192" s="198"/>
      <x:c r="AE192" s="198"/>
      <x:c r="AF192" s="215"/>
    </x:row>
    <x:row r="193">
      <x:c r="A193" s="238"/>
      <x:c r="B193" s="215" t="str">
        <x:v>正常</x:v>
      </x:c>
      <x:c r="C193" s="199"/>
      <x:c r="D193" s="223" t="str">
        <x:f>IF(COUNTA(L193:AE193)=0,"",SUMPRODUCT(L193:AE193,'参数'!$C$6:$C$25,'参数'!$D$6:$D$25,INDEX('参数'!$E$6:$J$25,0,MATCH(B193,'参数'!$E$5:$J$5,0)),'参数'!$K$6:$K$25)/SUMPRODUCT('参数'!$C$6:$C$25,'参数'!$D$6:$D$25,INDEX('参数'!$E$6:$J$25,0,MATCH(B193,'参数'!$E$5:$J$5,0)),'参数'!$K$6:$K$25))</x:f>
      </x:c>
      <x:c r="E193" s="223" t="str">
        <x:f>IF(D193="","",SUMPRODUCT(ABS(L193:AE193),'参数'!$C$6:$C$25,'参数'!$D$6:$D$25,INDEX('参数'!$E$6:$J$25,0,MATCH(B193,'参数'!$E$5:$J$5,0)))/SUMPRODUCT('参数'!$C$6:$C$25,'参数'!$D$6:$D$25,INDEX('参数'!$E$6:$J$25,0,MATCH(B193,'参数'!$E$5:$J$5,0))))</x:f>
      </x:c>
      <x:c r="F193" s="194" t="str">
        <x:f>IF(D193="","",IF(D193&gt;='参数'!$B$30,1,IF(D193&lt;=-'参数'!$B$30,-1,0)))</x:f>
      </x:c>
      <x:c r="G193" s="194" t="str">
        <x:f>IF(C193="","",IF(C193&gt;='参数'!$B$37,1,IF(C193&lt;=-'参数'!$B$37,-1,0)))</x:f>
      </x:c>
      <x:c r="H193" s="194" t="str">
        <x:f>IF(OR(F193="",G193=""),"",--(F193=G193))</x:f>
      </x:c>
      <x:c r="I193" s="214" t="str">
        <x:f>IF(D193="","",D193*'参数'!$B$34)</x:f>
      </x:c>
      <x:c r="J193" s="214" t="str">
        <x:f>IF(OR(C193="",I193=""),"",ABS(C193-I193))</x:f>
      </x:c>
      <x:c r="K193" s="194" t="str">
        <x:f>IF(D193="","",IF(MAX(ABS(SUM(L193:M193)),ABS(SUM(N193:P193)),ABS(Q193),ABS(SUM(R193:T193)),ABS(SUM(U193:V193)),ABS(SUM(W193:Y193)),ABS(SUM(Z193:AB193)),ABS(SUM(AC193:AE193)))=ABS(SUM(L193:M193)),"订单流",IF(MAX(ABS(SUM(L193:M193)),ABS(SUM(N193:P193)),ABS(Q193),ABS(SUM(R193:T193)),ABS(SUM(U193:V193)),ABS(SUM(W193:Y193)),ABS(SUM(Z193:AB193)),ABS(SUM(AC193:AE193)))=ABS(SUM(N193:P193)),"流动性",IF(MAX(ABS(SUM(L193:M193)),ABS(SUM(N193:P193)),ABS(Q193),ABS(SUM(R193:T193)),ABS(SUM(U193:V193)),ABS(SUM(W193:Y193)),ABS(SUM(Z193:AB193)),ABS(SUM(AC193:AE193)))=ABS(Q193),"价格行为",IF(MAX(ABS(SUM(L193:M193)),ABS(SUM(N193:P193)),ABS(Q193),ABS(SUM(R193:T193)),ABS(SUM(U193:V193)),ABS(SUM(W193:Y193)),ABS(SUM(Z193:AB193)),ABS(SUM(AC193:AE193)))=ABS(SUM(R193:T193)),"杠杆/清算",IF(MAX(ABS(SUM(L193:M193)),ABS(SUM(N193:P193)),ABS(Q193),ABS(SUM(R193:T193)),ABS(SUM(U193:V193)),ABS(SUM(W193:Y193)),ABS(SUM(Z193:AB193)),ABS(SUM(AC193:AE193)))=ABS(SUM(U193:V193)),"衍生品",IF(MAX(ABS(SUM(L193:M193)),ABS(SUM(N193:P193)),ABS(Q193),ABS(SUM(R193:T193)),ABS(SUM(U193:V193)),ABS(SUM(W193:Y193)),ABS(SUM(Z193:AB193)),ABS(SUM(AC193:AE193)))=ABS(SUM(W193:Y193)),"跨市场",IF(MAX(ABS(SUM(L193:M193)),ABS(SUM(N193:P193)),ABS(Q193),ABS(SUM(R193:T193)),ABS(SUM(U193:V193)),ABS(SUM(W193:Y193)),ABS(SUM(Z193:AB193)),ABS(SUM(AC193:AE193)))=ABS(SUM(Z193:AB193)),"宏观代理","事件"))))))))</x:f>
      </x:c>
      <x:c r="L193" s="198"/>
      <x:c r="M193" s="198"/>
      <x:c r="N193" s="198"/>
      <x:c r="O193" s="198"/>
      <x:c r="P193" s="198"/>
      <x:c r="Q193" s="198"/>
      <x:c r="R193" s="198"/>
      <x:c r="S193" s="198"/>
      <x:c r="T193" s="198"/>
      <x:c r="U193" s="198"/>
      <x:c r="V193" s="198"/>
      <x:c r="W193" s="198"/>
      <x:c r="X193" s="198"/>
      <x:c r="Y193" s="198"/>
      <x:c r="Z193" s="198"/>
      <x:c r="AA193" s="198"/>
      <x:c r="AB193" s="198"/>
      <x:c r="AC193" s="198"/>
      <x:c r="AD193" s="198"/>
      <x:c r="AE193" s="198"/>
      <x:c r="AF193" s="215"/>
    </x:row>
    <x:row r="194">
      <x:c r="A194" s="238"/>
      <x:c r="B194" s="215" t="str">
        <x:v>正常</x:v>
      </x:c>
      <x:c r="C194" s="199"/>
      <x:c r="D194" s="223" t="str">
        <x:f>IF(COUNTA(L194:AE194)=0,"",SUMPRODUCT(L194:AE194,'参数'!$C$6:$C$25,'参数'!$D$6:$D$25,INDEX('参数'!$E$6:$J$25,0,MATCH(B194,'参数'!$E$5:$J$5,0)),'参数'!$K$6:$K$25)/SUMPRODUCT('参数'!$C$6:$C$25,'参数'!$D$6:$D$25,INDEX('参数'!$E$6:$J$25,0,MATCH(B194,'参数'!$E$5:$J$5,0)),'参数'!$K$6:$K$25))</x:f>
      </x:c>
      <x:c r="E194" s="223" t="str">
        <x:f>IF(D194="","",SUMPRODUCT(ABS(L194:AE194),'参数'!$C$6:$C$25,'参数'!$D$6:$D$25,INDEX('参数'!$E$6:$J$25,0,MATCH(B194,'参数'!$E$5:$J$5,0)))/SUMPRODUCT('参数'!$C$6:$C$25,'参数'!$D$6:$D$25,INDEX('参数'!$E$6:$J$25,0,MATCH(B194,'参数'!$E$5:$J$5,0))))</x:f>
      </x:c>
      <x:c r="F194" s="194" t="str">
        <x:f>IF(D194="","",IF(D194&gt;='参数'!$B$30,1,IF(D194&lt;=-'参数'!$B$30,-1,0)))</x:f>
      </x:c>
      <x:c r="G194" s="194" t="str">
        <x:f>IF(C194="","",IF(C194&gt;='参数'!$B$37,1,IF(C194&lt;=-'参数'!$B$37,-1,0)))</x:f>
      </x:c>
      <x:c r="H194" s="194" t="str">
        <x:f>IF(OR(F194="",G194=""),"",--(F194=G194))</x:f>
      </x:c>
      <x:c r="I194" s="214" t="str">
        <x:f>IF(D194="","",D194*'参数'!$B$34)</x:f>
      </x:c>
      <x:c r="J194" s="214" t="str">
        <x:f>IF(OR(C194="",I194=""),"",ABS(C194-I194))</x:f>
      </x:c>
      <x:c r="K194" s="194" t="str">
        <x:f>IF(D194="","",IF(MAX(ABS(SUM(L194:M194)),ABS(SUM(N194:P194)),ABS(Q194),ABS(SUM(R194:T194)),ABS(SUM(U194:V194)),ABS(SUM(W194:Y194)),ABS(SUM(Z194:AB194)),ABS(SUM(AC194:AE194)))=ABS(SUM(L194:M194)),"订单流",IF(MAX(ABS(SUM(L194:M194)),ABS(SUM(N194:P194)),ABS(Q194),ABS(SUM(R194:T194)),ABS(SUM(U194:V194)),ABS(SUM(W194:Y194)),ABS(SUM(Z194:AB194)),ABS(SUM(AC194:AE194)))=ABS(SUM(N194:P194)),"流动性",IF(MAX(ABS(SUM(L194:M194)),ABS(SUM(N194:P194)),ABS(Q194),ABS(SUM(R194:T194)),ABS(SUM(U194:V194)),ABS(SUM(W194:Y194)),ABS(SUM(Z194:AB194)),ABS(SUM(AC194:AE194)))=ABS(Q194),"价格行为",IF(MAX(ABS(SUM(L194:M194)),ABS(SUM(N194:P194)),ABS(Q194),ABS(SUM(R194:T194)),ABS(SUM(U194:V194)),ABS(SUM(W194:Y194)),ABS(SUM(Z194:AB194)),ABS(SUM(AC194:AE194)))=ABS(SUM(R194:T194)),"杠杆/清算",IF(MAX(ABS(SUM(L194:M194)),ABS(SUM(N194:P194)),ABS(Q194),ABS(SUM(R194:T194)),ABS(SUM(U194:V194)),ABS(SUM(W194:Y194)),ABS(SUM(Z194:AB194)),ABS(SUM(AC194:AE194)))=ABS(SUM(U194:V194)),"衍生品",IF(MAX(ABS(SUM(L194:M194)),ABS(SUM(N194:P194)),ABS(Q194),ABS(SUM(R194:T194)),ABS(SUM(U194:V194)),ABS(SUM(W194:Y194)),ABS(SUM(Z194:AB194)),ABS(SUM(AC194:AE194)))=ABS(SUM(W194:Y194)),"跨市场",IF(MAX(ABS(SUM(L194:M194)),ABS(SUM(N194:P194)),ABS(Q194),ABS(SUM(R194:T194)),ABS(SUM(U194:V194)),ABS(SUM(W194:Y194)),ABS(SUM(Z194:AB194)),ABS(SUM(AC194:AE194)))=ABS(SUM(Z194:AB194)),"宏观代理","事件"))))))))</x:f>
      </x:c>
      <x:c r="L194" s="198"/>
      <x:c r="M194" s="198"/>
      <x:c r="N194" s="198"/>
      <x:c r="O194" s="198"/>
      <x:c r="P194" s="198"/>
      <x:c r="Q194" s="198"/>
      <x:c r="R194" s="198"/>
      <x:c r="S194" s="198"/>
      <x:c r="T194" s="198"/>
      <x:c r="U194" s="198"/>
      <x:c r="V194" s="198"/>
      <x:c r="W194" s="198"/>
      <x:c r="X194" s="198"/>
      <x:c r="Y194" s="198"/>
      <x:c r="Z194" s="198"/>
      <x:c r="AA194" s="198"/>
      <x:c r="AB194" s="198"/>
      <x:c r="AC194" s="198"/>
      <x:c r="AD194" s="198"/>
      <x:c r="AE194" s="198"/>
      <x:c r="AF194" s="215"/>
    </x:row>
    <x:row r="195">
      <x:c r="A195" s="238"/>
      <x:c r="B195" s="215" t="str">
        <x:v>正常</x:v>
      </x:c>
      <x:c r="C195" s="199"/>
      <x:c r="D195" s="223" t="str">
        <x:f>IF(COUNTA(L195:AE195)=0,"",SUMPRODUCT(L195:AE195,'参数'!$C$6:$C$25,'参数'!$D$6:$D$25,INDEX('参数'!$E$6:$J$25,0,MATCH(B195,'参数'!$E$5:$J$5,0)),'参数'!$K$6:$K$25)/SUMPRODUCT('参数'!$C$6:$C$25,'参数'!$D$6:$D$25,INDEX('参数'!$E$6:$J$25,0,MATCH(B195,'参数'!$E$5:$J$5,0)),'参数'!$K$6:$K$25))</x:f>
      </x:c>
      <x:c r="E195" s="223" t="str">
        <x:f>IF(D195="","",SUMPRODUCT(ABS(L195:AE195),'参数'!$C$6:$C$25,'参数'!$D$6:$D$25,INDEX('参数'!$E$6:$J$25,0,MATCH(B195,'参数'!$E$5:$J$5,0)))/SUMPRODUCT('参数'!$C$6:$C$25,'参数'!$D$6:$D$25,INDEX('参数'!$E$6:$J$25,0,MATCH(B195,'参数'!$E$5:$J$5,0))))</x:f>
      </x:c>
      <x:c r="F195" s="194" t="str">
        <x:f>IF(D195="","",IF(D195&gt;='参数'!$B$30,1,IF(D195&lt;=-'参数'!$B$30,-1,0)))</x:f>
      </x:c>
      <x:c r="G195" s="194" t="str">
        <x:f>IF(C195="","",IF(C195&gt;='参数'!$B$37,1,IF(C195&lt;=-'参数'!$B$37,-1,0)))</x:f>
      </x:c>
      <x:c r="H195" s="194" t="str">
        <x:f>IF(OR(F195="",G195=""),"",--(F195=G195))</x:f>
      </x:c>
      <x:c r="I195" s="214" t="str">
        <x:f>IF(D195="","",D195*'参数'!$B$34)</x:f>
      </x:c>
      <x:c r="J195" s="214" t="str">
        <x:f>IF(OR(C195="",I195=""),"",ABS(C195-I195))</x:f>
      </x:c>
      <x:c r="K195" s="194" t="str">
        <x:f>IF(D195="","",IF(MAX(ABS(SUM(L195:M195)),ABS(SUM(N195:P195)),ABS(Q195),ABS(SUM(R195:T195)),ABS(SUM(U195:V195)),ABS(SUM(W195:Y195)),ABS(SUM(Z195:AB195)),ABS(SUM(AC195:AE195)))=ABS(SUM(L195:M195)),"订单流",IF(MAX(ABS(SUM(L195:M195)),ABS(SUM(N195:P195)),ABS(Q195),ABS(SUM(R195:T195)),ABS(SUM(U195:V195)),ABS(SUM(W195:Y195)),ABS(SUM(Z195:AB195)),ABS(SUM(AC195:AE195)))=ABS(SUM(N195:P195)),"流动性",IF(MAX(ABS(SUM(L195:M195)),ABS(SUM(N195:P195)),ABS(Q195),ABS(SUM(R195:T195)),ABS(SUM(U195:V195)),ABS(SUM(W195:Y195)),ABS(SUM(Z195:AB195)),ABS(SUM(AC195:AE195)))=ABS(Q195),"价格行为",IF(MAX(ABS(SUM(L195:M195)),ABS(SUM(N195:P195)),ABS(Q195),ABS(SUM(R195:T195)),ABS(SUM(U195:V195)),ABS(SUM(W195:Y195)),ABS(SUM(Z195:AB195)),ABS(SUM(AC195:AE195)))=ABS(SUM(R195:T195)),"杠杆/清算",IF(MAX(ABS(SUM(L195:M195)),ABS(SUM(N195:P195)),ABS(Q195),ABS(SUM(R195:T195)),ABS(SUM(U195:V195)),ABS(SUM(W195:Y195)),ABS(SUM(Z195:AB195)),ABS(SUM(AC195:AE195)))=ABS(SUM(U195:V195)),"衍生品",IF(MAX(ABS(SUM(L195:M195)),ABS(SUM(N195:P195)),ABS(Q195),ABS(SUM(R195:T195)),ABS(SUM(U195:V195)),ABS(SUM(W195:Y195)),ABS(SUM(Z195:AB195)),ABS(SUM(AC195:AE195)))=ABS(SUM(W195:Y195)),"跨市场",IF(MAX(ABS(SUM(L195:M195)),ABS(SUM(N195:P195)),ABS(Q195),ABS(SUM(R195:T195)),ABS(SUM(U195:V195)),ABS(SUM(W195:Y195)),ABS(SUM(Z195:AB195)),ABS(SUM(AC195:AE195)))=ABS(SUM(Z195:AB195)),"宏观代理","事件"))))))))</x:f>
      </x:c>
      <x:c r="L195" s="198"/>
      <x:c r="M195" s="198"/>
      <x:c r="N195" s="198"/>
      <x:c r="O195" s="198"/>
      <x:c r="P195" s="198"/>
      <x:c r="Q195" s="198"/>
      <x:c r="R195" s="198"/>
      <x:c r="S195" s="198"/>
      <x:c r="T195" s="198"/>
      <x:c r="U195" s="198"/>
      <x:c r="V195" s="198"/>
      <x:c r="W195" s="198"/>
      <x:c r="X195" s="198"/>
      <x:c r="Y195" s="198"/>
      <x:c r="Z195" s="198"/>
      <x:c r="AA195" s="198"/>
      <x:c r="AB195" s="198"/>
      <x:c r="AC195" s="198"/>
      <x:c r="AD195" s="198"/>
      <x:c r="AE195" s="198"/>
      <x:c r="AF195" s="215"/>
    </x:row>
    <x:row r="196">
      <x:c r="A196" s="238"/>
      <x:c r="B196" s="215" t="str">
        <x:v>正常</x:v>
      </x:c>
      <x:c r="C196" s="199"/>
      <x:c r="D196" s="223" t="str">
        <x:f>IF(COUNTA(L196:AE196)=0,"",SUMPRODUCT(L196:AE196,'参数'!$C$6:$C$25,'参数'!$D$6:$D$25,INDEX('参数'!$E$6:$J$25,0,MATCH(B196,'参数'!$E$5:$J$5,0)),'参数'!$K$6:$K$25)/SUMPRODUCT('参数'!$C$6:$C$25,'参数'!$D$6:$D$25,INDEX('参数'!$E$6:$J$25,0,MATCH(B196,'参数'!$E$5:$J$5,0)),'参数'!$K$6:$K$25))</x:f>
      </x:c>
      <x:c r="E196" s="223" t="str">
        <x:f>IF(D196="","",SUMPRODUCT(ABS(L196:AE196),'参数'!$C$6:$C$25,'参数'!$D$6:$D$25,INDEX('参数'!$E$6:$J$25,0,MATCH(B196,'参数'!$E$5:$J$5,0)))/SUMPRODUCT('参数'!$C$6:$C$25,'参数'!$D$6:$D$25,INDEX('参数'!$E$6:$J$25,0,MATCH(B196,'参数'!$E$5:$J$5,0))))</x:f>
      </x:c>
      <x:c r="F196" s="194" t="str">
        <x:f>IF(D196="","",IF(D196&gt;='参数'!$B$30,1,IF(D196&lt;=-'参数'!$B$30,-1,0)))</x:f>
      </x:c>
      <x:c r="G196" s="194" t="str">
        <x:f>IF(C196="","",IF(C196&gt;='参数'!$B$37,1,IF(C196&lt;=-'参数'!$B$37,-1,0)))</x:f>
      </x:c>
      <x:c r="H196" s="194" t="str">
        <x:f>IF(OR(F196="",G196=""),"",--(F196=G196))</x:f>
      </x:c>
      <x:c r="I196" s="214" t="str">
        <x:f>IF(D196="","",D196*'参数'!$B$34)</x:f>
      </x:c>
      <x:c r="J196" s="214" t="str">
        <x:f>IF(OR(C196="",I196=""),"",ABS(C196-I196))</x:f>
      </x:c>
      <x:c r="K196" s="194" t="str">
        <x:f>IF(D196="","",IF(MAX(ABS(SUM(L196:M196)),ABS(SUM(N196:P196)),ABS(Q196),ABS(SUM(R196:T196)),ABS(SUM(U196:V196)),ABS(SUM(W196:Y196)),ABS(SUM(Z196:AB196)),ABS(SUM(AC196:AE196)))=ABS(SUM(L196:M196)),"订单流",IF(MAX(ABS(SUM(L196:M196)),ABS(SUM(N196:P196)),ABS(Q196),ABS(SUM(R196:T196)),ABS(SUM(U196:V196)),ABS(SUM(W196:Y196)),ABS(SUM(Z196:AB196)),ABS(SUM(AC196:AE196)))=ABS(SUM(N196:P196)),"流动性",IF(MAX(ABS(SUM(L196:M196)),ABS(SUM(N196:P196)),ABS(Q196),ABS(SUM(R196:T196)),ABS(SUM(U196:V196)),ABS(SUM(W196:Y196)),ABS(SUM(Z196:AB196)),ABS(SUM(AC196:AE196)))=ABS(Q196),"价格行为",IF(MAX(ABS(SUM(L196:M196)),ABS(SUM(N196:P196)),ABS(Q196),ABS(SUM(R196:T196)),ABS(SUM(U196:V196)),ABS(SUM(W196:Y196)),ABS(SUM(Z196:AB196)),ABS(SUM(AC196:AE196)))=ABS(SUM(R196:T196)),"杠杆/清算",IF(MAX(ABS(SUM(L196:M196)),ABS(SUM(N196:P196)),ABS(Q196),ABS(SUM(R196:T196)),ABS(SUM(U196:V196)),ABS(SUM(W196:Y196)),ABS(SUM(Z196:AB196)),ABS(SUM(AC196:AE196)))=ABS(SUM(U196:V196)),"衍生品",IF(MAX(ABS(SUM(L196:M196)),ABS(SUM(N196:P196)),ABS(Q196),ABS(SUM(R196:T196)),ABS(SUM(U196:V196)),ABS(SUM(W196:Y196)),ABS(SUM(Z196:AB196)),ABS(SUM(AC196:AE196)))=ABS(SUM(W196:Y196)),"跨市场",IF(MAX(ABS(SUM(L196:M196)),ABS(SUM(N196:P196)),ABS(Q196),ABS(SUM(R196:T196)),ABS(SUM(U196:V196)),ABS(SUM(W196:Y196)),ABS(SUM(Z196:AB196)),ABS(SUM(AC196:AE196)))=ABS(SUM(Z196:AB196)),"宏观代理","事件"))))))))</x:f>
      </x:c>
      <x:c r="L196" s="198"/>
      <x:c r="M196" s="198"/>
      <x:c r="N196" s="198"/>
      <x:c r="O196" s="198"/>
      <x:c r="P196" s="198"/>
      <x:c r="Q196" s="198"/>
      <x:c r="R196" s="198"/>
      <x:c r="S196" s="198"/>
      <x:c r="T196" s="198"/>
      <x:c r="U196" s="198"/>
      <x:c r="V196" s="198"/>
      <x:c r="W196" s="198"/>
      <x:c r="X196" s="198"/>
      <x:c r="Y196" s="198"/>
      <x:c r="Z196" s="198"/>
      <x:c r="AA196" s="198"/>
      <x:c r="AB196" s="198"/>
      <x:c r="AC196" s="198"/>
      <x:c r="AD196" s="198"/>
      <x:c r="AE196" s="198"/>
      <x:c r="AF196" s="215"/>
    </x:row>
    <x:row r="197">
      <x:c r="A197" s="238"/>
      <x:c r="B197" s="215" t="str">
        <x:v>正常</x:v>
      </x:c>
      <x:c r="C197" s="199"/>
      <x:c r="D197" s="223" t="str">
        <x:f>IF(COUNTA(L197:AE197)=0,"",SUMPRODUCT(L197:AE197,'参数'!$C$6:$C$25,'参数'!$D$6:$D$25,INDEX('参数'!$E$6:$J$25,0,MATCH(B197,'参数'!$E$5:$J$5,0)),'参数'!$K$6:$K$25)/SUMPRODUCT('参数'!$C$6:$C$25,'参数'!$D$6:$D$25,INDEX('参数'!$E$6:$J$25,0,MATCH(B197,'参数'!$E$5:$J$5,0)),'参数'!$K$6:$K$25))</x:f>
      </x:c>
      <x:c r="E197" s="223" t="str">
        <x:f>IF(D197="","",SUMPRODUCT(ABS(L197:AE197),'参数'!$C$6:$C$25,'参数'!$D$6:$D$25,INDEX('参数'!$E$6:$J$25,0,MATCH(B197,'参数'!$E$5:$J$5,0)))/SUMPRODUCT('参数'!$C$6:$C$25,'参数'!$D$6:$D$25,INDEX('参数'!$E$6:$J$25,0,MATCH(B197,'参数'!$E$5:$J$5,0))))</x:f>
      </x:c>
      <x:c r="F197" s="194" t="str">
        <x:f>IF(D197="","",IF(D197&gt;='参数'!$B$30,1,IF(D197&lt;=-'参数'!$B$30,-1,0)))</x:f>
      </x:c>
      <x:c r="G197" s="194" t="str">
        <x:f>IF(C197="","",IF(C197&gt;='参数'!$B$37,1,IF(C197&lt;=-'参数'!$B$37,-1,0)))</x:f>
      </x:c>
      <x:c r="H197" s="194" t="str">
        <x:f>IF(OR(F197="",G197=""),"",--(F197=G197))</x:f>
      </x:c>
      <x:c r="I197" s="214" t="str">
        <x:f>IF(D197="","",D197*'参数'!$B$34)</x:f>
      </x:c>
      <x:c r="J197" s="214" t="str">
        <x:f>IF(OR(C197="",I197=""),"",ABS(C197-I197))</x:f>
      </x:c>
      <x:c r="K197" s="194" t="str">
        <x:f>IF(D197="","",IF(MAX(ABS(SUM(L197:M197)),ABS(SUM(N197:P197)),ABS(Q197),ABS(SUM(R197:T197)),ABS(SUM(U197:V197)),ABS(SUM(W197:Y197)),ABS(SUM(Z197:AB197)),ABS(SUM(AC197:AE197)))=ABS(SUM(L197:M197)),"订单流",IF(MAX(ABS(SUM(L197:M197)),ABS(SUM(N197:P197)),ABS(Q197),ABS(SUM(R197:T197)),ABS(SUM(U197:V197)),ABS(SUM(W197:Y197)),ABS(SUM(Z197:AB197)),ABS(SUM(AC197:AE197)))=ABS(SUM(N197:P197)),"流动性",IF(MAX(ABS(SUM(L197:M197)),ABS(SUM(N197:P197)),ABS(Q197),ABS(SUM(R197:T197)),ABS(SUM(U197:V197)),ABS(SUM(W197:Y197)),ABS(SUM(Z197:AB197)),ABS(SUM(AC197:AE197)))=ABS(Q197),"价格行为",IF(MAX(ABS(SUM(L197:M197)),ABS(SUM(N197:P197)),ABS(Q197),ABS(SUM(R197:T197)),ABS(SUM(U197:V197)),ABS(SUM(W197:Y197)),ABS(SUM(Z197:AB197)),ABS(SUM(AC197:AE197)))=ABS(SUM(R197:T197)),"杠杆/清算",IF(MAX(ABS(SUM(L197:M197)),ABS(SUM(N197:P197)),ABS(Q197),ABS(SUM(R197:T197)),ABS(SUM(U197:V197)),ABS(SUM(W197:Y197)),ABS(SUM(Z197:AB197)),ABS(SUM(AC197:AE197)))=ABS(SUM(U197:V197)),"衍生品",IF(MAX(ABS(SUM(L197:M197)),ABS(SUM(N197:P197)),ABS(Q197),ABS(SUM(R197:T197)),ABS(SUM(U197:V197)),ABS(SUM(W197:Y197)),ABS(SUM(Z197:AB197)),ABS(SUM(AC197:AE197)))=ABS(SUM(W197:Y197)),"跨市场",IF(MAX(ABS(SUM(L197:M197)),ABS(SUM(N197:P197)),ABS(Q197),ABS(SUM(R197:T197)),ABS(SUM(U197:V197)),ABS(SUM(W197:Y197)),ABS(SUM(Z197:AB197)),ABS(SUM(AC197:AE197)))=ABS(SUM(Z197:AB197)),"宏观代理","事件"))))))))</x:f>
      </x:c>
      <x:c r="L197" s="198"/>
      <x:c r="M197" s="198"/>
      <x:c r="N197" s="198"/>
      <x:c r="O197" s="198"/>
      <x:c r="P197" s="198"/>
      <x:c r="Q197" s="198"/>
      <x:c r="R197" s="198"/>
      <x:c r="S197" s="198"/>
      <x:c r="T197" s="198"/>
      <x:c r="U197" s="198"/>
      <x:c r="V197" s="198"/>
      <x:c r="W197" s="198"/>
      <x:c r="X197" s="198"/>
      <x:c r="Y197" s="198"/>
      <x:c r="Z197" s="198"/>
      <x:c r="AA197" s="198"/>
      <x:c r="AB197" s="198"/>
      <x:c r="AC197" s="198"/>
      <x:c r="AD197" s="198"/>
      <x:c r="AE197" s="198"/>
      <x:c r="AF197" s="215"/>
    </x:row>
    <x:row r="198">
      <x:c r="A198" s="238"/>
      <x:c r="B198" s="215" t="str">
        <x:v>正常</x:v>
      </x:c>
      <x:c r="C198" s="199"/>
      <x:c r="D198" s="223" t="str">
        <x:f>IF(COUNTA(L198:AE198)=0,"",SUMPRODUCT(L198:AE198,'参数'!$C$6:$C$25,'参数'!$D$6:$D$25,INDEX('参数'!$E$6:$J$25,0,MATCH(B198,'参数'!$E$5:$J$5,0)),'参数'!$K$6:$K$25)/SUMPRODUCT('参数'!$C$6:$C$25,'参数'!$D$6:$D$25,INDEX('参数'!$E$6:$J$25,0,MATCH(B198,'参数'!$E$5:$J$5,0)),'参数'!$K$6:$K$25))</x:f>
      </x:c>
      <x:c r="E198" s="223" t="str">
        <x:f>IF(D198="","",SUMPRODUCT(ABS(L198:AE198),'参数'!$C$6:$C$25,'参数'!$D$6:$D$25,INDEX('参数'!$E$6:$J$25,0,MATCH(B198,'参数'!$E$5:$J$5,0)))/SUMPRODUCT('参数'!$C$6:$C$25,'参数'!$D$6:$D$25,INDEX('参数'!$E$6:$J$25,0,MATCH(B198,'参数'!$E$5:$J$5,0))))</x:f>
      </x:c>
      <x:c r="F198" s="194" t="str">
        <x:f>IF(D198="","",IF(D198&gt;='参数'!$B$30,1,IF(D198&lt;=-'参数'!$B$30,-1,0)))</x:f>
      </x:c>
      <x:c r="G198" s="194" t="str">
        <x:f>IF(C198="","",IF(C198&gt;='参数'!$B$37,1,IF(C198&lt;=-'参数'!$B$37,-1,0)))</x:f>
      </x:c>
      <x:c r="H198" s="194" t="str">
        <x:f>IF(OR(F198="",G198=""),"",--(F198=G198))</x:f>
      </x:c>
      <x:c r="I198" s="214" t="str">
        <x:f>IF(D198="","",D198*'参数'!$B$34)</x:f>
      </x:c>
      <x:c r="J198" s="214" t="str">
        <x:f>IF(OR(C198="",I198=""),"",ABS(C198-I198))</x:f>
      </x:c>
      <x:c r="K198" s="194" t="str">
        <x:f>IF(D198="","",IF(MAX(ABS(SUM(L198:M198)),ABS(SUM(N198:P198)),ABS(Q198),ABS(SUM(R198:T198)),ABS(SUM(U198:V198)),ABS(SUM(W198:Y198)),ABS(SUM(Z198:AB198)),ABS(SUM(AC198:AE198)))=ABS(SUM(L198:M198)),"订单流",IF(MAX(ABS(SUM(L198:M198)),ABS(SUM(N198:P198)),ABS(Q198),ABS(SUM(R198:T198)),ABS(SUM(U198:V198)),ABS(SUM(W198:Y198)),ABS(SUM(Z198:AB198)),ABS(SUM(AC198:AE198)))=ABS(SUM(N198:P198)),"流动性",IF(MAX(ABS(SUM(L198:M198)),ABS(SUM(N198:P198)),ABS(Q198),ABS(SUM(R198:T198)),ABS(SUM(U198:V198)),ABS(SUM(W198:Y198)),ABS(SUM(Z198:AB198)),ABS(SUM(AC198:AE198)))=ABS(Q198),"价格行为",IF(MAX(ABS(SUM(L198:M198)),ABS(SUM(N198:P198)),ABS(Q198),ABS(SUM(R198:T198)),ABS(SUM(U198:V198)),ABS(SUM(W198:Y198)),ABS(SUM(Z198:AB198)),ABS(SUM(AC198:AE198)))=ABS(SUM(R198:T198)),"杠杆/清算",IF(MAX(ABS(SUM(L198:M198)),ABS(SUM(N198:P198)),ABS(Q198),ABS(SUM(R198:T198)),ABS(SUM(U198:V198)),ABS(SUM(W198:Y198)),ABS(SUM(Z198:AB198)),ABS(SUM(AC198:AE198)))=ABS(SUM(U198:V198)),"衍生品",IF(MAX(ABS(SUM(L198:M198)),ABS(SUM(N198:P198)),ABS(Q198),ABS(SUM(R198:T198)),ABS(SUM(U198:V198)),ABS(SUM(W198:Y198)),ABS(SUM(Z198:AB198)),ABS(SUM(AC198:AE198)))=ABS(SUM(W198:Y198)),"跨市场",IF(MAX(ABS(SUM(L198:M198)),ABS(SUM(N198:P198)),ABS(Q198),ABS(SUM(R198:T198)),ABS(SUM(U198:V198)),ABS(SUM(W198:Y198)),ABS(SUM(Z198:AB198)),ABS(SUM(AC198:AE198)))=ABS(SUM(Z198:AB198)),"宏观代理","事件"))))))))</x:f>
      </x:c>
      <x:c r="L198" s="198"/>
      <x:c r="M198" s="198"/>
      <x:c r="N198" s="198"/>
      <x:c r="O198" s="198"/>
      <x:c r="P198" s="198"/>
      <x:c r="Q198" s="198"/>
      <x:c r="R198" s="198"/>
      <x:c r="S198" s="198"/>
      <x:c r="T198" s="198"/>
      <x:c r="U198" s="198"/>
      <x:c r="V198" s="198"/>
      <x:c r="W198" s="198"/>
      <x:c r="X198" s="198"/>
      <x:c r="Y198" s="198"/>
      <x:c r="Z198" s="198"/>
      <x:c r="AA198" s="198"/>
      <x:c r="AB198" s="198"/>
      <x:c r="AC198" s="198"/>
      <x:c r="AD198" s="198"/>
      <x:c r="AE198" s="198"/>
      <x:c r="AF198" s="215"/>
    </x:row>
    <x:row r="199">
      <x:c r="A199" s="238"/>
      <x:c r="B199" s="215" t="str">
        <x:v>正常</x:v>
      </x:c>
      <x:c r="C199" s="199"/>
      <x:c r="D199" s="223" t="str">
        <x:f>IF(COUNTA(L199:AE199)=0,"",SUMPRODUCT(L199:AE199,'参数'!$C$6:$C$25,'参数'!$D$6:$D$25,INDEX('参数'!$E$6:$J$25,0,MATCH(B199,'参数'!$E$5:$J$5,0)),'参数'!$K$6:$K$25)/SUMPRODUCT('参数'!$C$6:$C$25,'参数'!$D$6:$D$25,INDEX('参数'!$E$6:$J$25,0,MATCH(B199,'参数'!$E$5:$J$5,0)),'参数'!$K$6:$K$25))</x:f>
      </x:c>
      <x:c r="E199" s="223" t="str">
        <x:f>IF(D199="","",SUMPRODUCT(ABS(L199:AE199),'参数'!$C$6:$C$25,'参数'!$D$6:$D$25,INDEX('参数'!$E$6:$J$25,0,MATCH(B199,'参数'!$E$5:$J$5,0)))/SUMPRODUCT('参数'!$C$6:$C$25,'参数'!$D$6:$D$25,INDEX('参数'!$E$6:$J$25,0,MATCH(B199,'参数'!$E$5:$J$5,0))))</x:f>
      </x:c>
      <x:c r="F199" s="194" t="str">
        <x:f>IF(D199="","",IF(D199&gt;='参数'!$B$30,1,IF(D199&lt;=-'参数'!$B$30,-1,0)))</x:f>
      </x:c>
      <x:c r="G199" s="194" t="str">
        <x:f>IF(C199="","",IF(C199&gt;='参数'!$B$37,1,IF(C199&lt;=-'参数'!$B$37,-1,0)))</x:f>
      </x:c>
      <x:c r="H199" s="194" t="str">
        <x:f>IF(OR(F199="",G199=""),"",--(F199=G199))</x:f>
      </x:c>
      <x:c r="I199" s="214" t="str">
        <x:f>IF(D199="","",D199*'参数'!$B$34)</x:f>
      </x:c>
      <x:c r="J199" s="214" t="str">
        <x:f>IF(OR(C199="",I199=""),"",ABS(C199-I199))</x:f>
      </x:c>
      <x:c r="K199" s="194" t="str">
        <x:f>IF(D199="","",IF(MAX(ABS(SUM(L199:M199)),ABS(SUM(N199:P199)),ABS(Q199),ABS(SUM(R199:T199)),ABS(SUM(U199:V199)),ABS(SUM(W199:Y199)),ABS(SUM(Z199:AB199)),ABS(SUM(AC199:AE199)))=ABS(SUM(L199:M199)),"订单流",IF(MAX(ABS(SUM(L199:M199)),ABS(SUM(N199:P199)),ABS(Q199),ABS(SUM(R199:T199)),ABS(SUM(U199:V199)),ABS(SUM(W199:Y199)),ABS(SUM(Z199:AB199)),ABS(SUM(AC199:AE199)))=ABS(SUM(N199:P199)),"流动性",IF(MAX(ABS(SUM(L199:M199)),ABS(SUM(N199:P199)),ABS(Q199),ABS(SUM(R199:T199)),ABS(SUM(U199:V199)),ABS(SUM(W199:Y199)),ABS(SUM(Z199:AB199)),ABS(SUM(AC199:AE199)))=ABS(Q199),"价格行为",IF(MAX(ABS(SUM(L199:M199)),ABS(SUM(N199:P199)),ABS(Q199),ABS(SUM(R199:T199)),ABS(SUM(U199:V199)),ABS(SUM(W199:Y199)),ABS(SUM(Z199:AB199)),ABS(SUM(AC199:AE199)))=ABS(SUM(R199:T199)),"杠杆/清算",IF(MAX(ABS(SUM(L199:M199)),ABS(SUM(N199:P199)),ABS(Q199),ABS(SUM(R199:T199)),ABS(SUM(U199:V199)),ABS(SUM(W199:Y199)),ABS(SUM(Z199:AB199)),ABS(SUM(AC199:AE199)))=ABS(SUM(U199:V199)),"衍生品",IF(MAX(ABS(SUM(L199:M199)),ABS(SUM(N199:P199)),ABS(Q199),ABS(SUM(R199:T199)),ABS(SUM(U199:V199)),ABS(SUM(W199:Y199)),ABS(SUM(Z199:AB199)),ABS(SUM(AC199:AE199)))=ABS(SUM(W199:Y199)),"跨市场",IF(MAX(ABS(SUM(L199:M199)),ABS(SUM(N199:P199)),ABS(Q199),ABS(SUM(R199:T199)),ABS(SUM(U199:V199)),ABS(SUM(W199:Y199)),ABS(SUM(Z199:AB199)),ABS(SUM(AC199:AE199)))=ABS(SUM(Z199:AB199)),"宏观代理","事件"))))))))</x:f>
      </x:c>
      <x:c r="L199" s="198"/>
      <x:c r="M199" s="198"/>
      <x:c r="N199" s="198"/>
      <x:c r="O199" s="198"/>
      <x:c r="P199" s="198"/>
      <x:c r="Q199" s="198"/>
      <x:c r="R199" s="198"/>
      <x:c r="S199" s="198"/>
      <x:c r="T199" s="198"/>
      <x:c r="U199" s="198"/>
      <x:c r="V199" s="198"/>
      <x:c r="W199" s="198"/>
      <x:c r="X199" s="198"/>
      <x:c r="Y199" s="198"/>
      <x:c r="Z199" s="198"/>
      <x:c r="AA199" s="198"/>
      <x:c r="AB199" s="198"/>
      <x:c r="AC199" s="198"/>
      <x:c r="AD199" s="198"/>
      <x:c r="AE199" s="198"/>
      <x:c r="AF199" s="215"/>
    </x:row>
    <x:row r="200">
      <x:c r="A200" s="238"/>
      <x:c r="B200" s="215" t="str">
        <x:v>正常</x:v>
      </x:c>
      <x:c r="C200" s="199"/>
      <x:c r="D200" s="223" t="str">
        <x:f>IF(COUNTA(L200:AE200)=0,"",SUMPRODUCT(L200:AE200,'参数'!$C$6:$C$25,'参数'!$D$6:$D$25,INDEX('参数'!$E$6:$J$25,0,MATCH(B200,'参数'!$E$5:$J$5,0)),'参数'!$K$6:$K$25)/SUMPRODUCT('参数'!$C$6:$C$25,'参数'!$D$6:$D$25,INDEX('参数'!$E$6:$J$25,0,MATCH(B200,'参数'!$E$5:$J$5,0)),'参数'!$K$6:$K$25))</x:f>
      </x:c>
      <x:c r="E200" s="223" t="str">
        <x:f>IF(D200="","",SUMPRODUCT(ABS(L200:AE200),'参数'!$C$6:$C$25,'参数'!$D$6:$D$25,INDEX('参数'!$E$6:$J$25,0,MATCH(B200,'参数'!$E$5:$J$5,0)))/SUMPRODUCT('参数'!$C$6:$C$25,'参数'!$D$6:$D$25,INDEX('参数'!$E$6:$J$25,0,MATCH(B200,'参数'!$E$5:$J$5,0))))</x:f>
      </x:c>
      <x:c r="F200" s="194" t="str">
        <x:f>IF(D200="","",IF(D200&gt;='参数'!$B$30,1,IF(D200&lt;=-'参数'!$B$30,-1,0)))</x:f>
      </x:c>
      <x:c r="G200" s="194" t="str">
        <x:f>IF(C200="","",IF(C200&gt;='参数'!$B$37,1,IF(C200&lt;=-'参数'!$B$37,-1,0)))</x:f>
      </x:c>
      <x:c r="H200" s="194" t="str">
        <x:f>IF(OR(F200="",G200=""),"",--(F200=G200))</x:f>
      </x:c>
      <x:c r="I200" s="214" t="str">
        <x:f>IF(D200="","",D200*'参数'!$B$34)</x:f>
      </x:c>
      <x:c r="J200" s="214" t="str">
        <x:f>IF(OR(C200="",I200=""),"",ABS(C200-I200))</x:f>
      </x:c>
      <x:c r="K200" s="194" t="str">
        <x:f>IF(D200="","",IF(MAX(ABS(SUM(L200:M200)),ABS(SUM(N200:P200)),ABS(Q200),ABS(SUM(R200:T200)),ABS(SUM(U200:V200)),ABS(SUM(W200:Y200)),ABS(SUM(Z200:AB200)),ABS(SUM(AC200:AE200)))=ABS(SUM(L200:M200)),"订单流",IF(MAX(ABS(SUM(L200:M200)),ABS(SUM(N200:P200)),ABS(Q200),ABS(SUM(R200:T200)),ABS(SUM(U200:V200)),ABS(SUM(W200:Y200)),ABS(SUM(Z200:AB200)),ABS(SUM(AC200:AE200)))=ABS(SUM(N200:P200)),"流动性",IF(MAX(ABS(SUM(L200:M200)),ABS(SUM(N200:P200)),ABS(Q200),ABS(SUM(R200:T200)),ABS(SUM(U200:V200)),ABS(SUM(W200:Y200)),ABS(SUM(Z200:AB200)),ABS(SUM(AC200:AE200)))=ABS(Q200),"价格行为",IF(MAX(ABS(SUM(L200:M200)),ABS(SUM(N200:P200)),ABS(Q200),ABS(SUM(R200:T200)),ABS(SUM(U200:V200)),ABS(SUM(W200:Y200)),ABS(SUM(Z200:AB200)),ABS(SUM(AC200:AE200)))=ABS(SUM(R200:T200)),"杠杆/清算",IF(MAX(ABS(SUM(L200:M200)),ABS(SUM(N200:P200)),ABS(Q200),ABS(SUM(R200:T200)),ABS(SUM(U200:V200)),ABS(SUM(W200:Y200)),ABS(SUM(Z200:AB200)),ABS(SUM(AC200:AE200)))=ABS(SUM(U200:V200)),"衍生品",IF(MAX(ABS(SUM(L200:M200)),ABS(SUM(N200:P200)),ABS(Q200),ABS(SUM(R200:T200)),ABS(SUM(U200:V200)),ABS(SUM(W200:Y200)),ABS(SUM(Z200:AB200)),ABS(SUM(AC200:AE200)))=ABS(SUM(W200:Y200)),"跨市场",IF(MAX(ABS(SUM(L200:M200)),ABS(SUM(N200:P200)),ABS(Q200),ABS(SUM(R200:T200)),ABS(SUM(U200:V200)),ABS(SUM(W200:Y200)),ABS(SUM(Z200:AB200)),ABS(SUM(AC200:AE200)))=ABS(SUM(Z200:AB200)),"宏观代理","事件"))))))))</x:f>
      </x:c>
      <x:c r="L200" s="198"/>
      <x:c r="M200" s="198"/>
      <x:c r="N200" s="198"/>
      <x:c r="O200" s="198"/>
      <x:c r="P200" s="198"/>
      <x:c r="Q200" s="198"/>
      <x:c r="R200" s="198"/>
      <x:c r="S200" s="198"/>
      <x:c r="T200" s="198"/>
      <x:c r="U200" s="198"/>
      <x:c r="V200" s="198"/>
      <x:c r="W200" s="198"/>
      <x:c r="X200" s="198"/>
      <x:c r="Y200" s="198"/>
      <x:c r="Z200" s="198"/>
      <x:c r="AA200" s="198"/>
      <x:c r="AB200" s="198"/>
      <x:c r="AC200" s="198"/>
      <x:c r="AD200" s="198"/>
      <x:c r="AE200" s="198"/>
      <x:c r="AF200" s="215"/>
    </x:row>
    <x:row r="201">
      <x:c r="A201" s="238"/>
      <x:c r="B201" s="215" t="str">
        <x:v>正常</x:v>
      </x:c>
      <x:c r="C201" s="199"/>
      <x:c r="D201" s="223" t="str">
        <x:f>IF(COUNTA(L201:AE201)=0,"",SUMPRODUCT(L201:AE201,'参数'!$C$6:$C$25,'参数'!$D$6:$D$25,INDEX('参数'!$E$6:$J$25,0,MATCH(B201,'参数'!$E$5:$J$5,0)),'参数'!$K$6:$K$25)/SUMPRODUCT('参数'!$C$6:$C$25,'参数'!$D$6:$D$25,INDEX('参数'!$E$6:$J$25,0,MATCH(B201,'参数'!$E$5:$J$5,0)),'参数'!$K$6:$K$25))</x:f>
      </x:c>
      <x:c r="E201" s="223" t="str">
        <x:f>IF(D201="","",SUMPRODUCT(ABS(L201:AE201),'参数'!$C$6:$C$25,'参数'!$D$6:$D$25,INDEX('参数'!$E$6:$J$25,0,MATCH(B201,'参数'!$E$5:$J$5,0)))/SUMPRODUCT('参数'!$C$6:$C$25,'参数'!$D$6:$D$25,INDEX('参数'!$E$6:$J$25,0,MATCH(B201,'参数'!$E$5:$J$5,0))))</x:f>
      </x:c>
      <x:c r="F201" s="194" t="str">
        <x:f>IF(D201="","",IF(D201&gt;='参数'!$B$30,1,IF(D201&lt;=-'参数'!$B$30,-1,0)))</x:f>
      </x:c>
      <x:c r="G201" s="194" t="str">
        <x:f>IF(C201="","",IF(C201&gt;='参数'!$B$37,1,IF(C201&lt;=-'参数'!$B$37,-1,0)))</x:f>
      </x:c>
      <x:c r="H201" s="194" t="str">
        <x:f>IF(OR(F201="",G201=""),"",--(F201=G201))</x:f>
      </x:c>
      <x:c r="I201" s="214" t="str">
        <x:f>IF(D201="","",D201*'参数'!$B$34)</x:f>
      </x:c>
      <x:c r="J201" s="214" t="str">
        <x:f>IF(OR(C201="",I201=""),"",ABS(C201-I201))</x:f>
      </x:c>
      <x:c r="K201" s="194" t="str">
        <x:f>IF(D201="","",IF(MAX(ABS(SUM(L201:M201)),ABS(SUM(N201:P201)),ABS(Q201),ABS(SUM(R201:T201)),ABS(SUM(U201:V201)),ABS(SUM(W201:Y201)),ABS(SUM(Z201:AB201)),ABS(SUM(AC201:AE201)))=ABS(SUM(L201:M201)),"订单流",IF(MAX(ABS(SUM(L201:M201)),ABS(SUM(N201:P201)),ABS(Q201),ABS(SUM(R201:T201)),ABS(SUM(U201:V201)),ABS(SUM(W201:Y201)),ABS(SUM(Z201:AB201)),ABS(SUM(AC201:AE201)))=ABS(SUM(N201:P201)),"流动性",IF(MAX(ABS(SUM(L201:M201)),ABS(SUM(N201:P201)),ABS(Q201),ABS(SUM(R201:T201)),ABS(SUM(U201:V201)),ABS(SUM(W201:Y201)),ABS(SUM(Z201:AB201)),ABS(SUM(AC201:AE201)))=ABS(Q201),"价格行为",IF(MAX(ABS(SUM(L201:M201)),ABS(SUM(N201:P201)),ABS(Q201),ABS(SUM(R201:T201)),ABS(SUM(U201:V201)),ABS(SUM(W201:Y201)),ABS(SUM(Z201:AB201)),ABS(SUM(AC201:AE201)))=ABS(SUM(R201:T201)),"杠杆/清算",IF(MAX(ABS(SUM(L201:M201)),ABS(SUM(N201:P201)),ABS(Q201),ABS(SUM(R201:T201)),ABS(SUM(U201:V201)),ABS(SUM(W201:Y201)),ABS(SUM(Z201:AB201)),ABS(SUM(AC201:AE201)))=ABS(SUM(U201:V201)),"衍生品",IF(MAX(ABS(SUM(L201:M201)),ABS(SUM(N201:P201)),ABS(Q201),ABS(SUM(R201:T201)),ABS(SUM(U201:V201)),ABS(SUM(W201:Y201)),ABS(SUM(Z201:AB201)),ABS(SUM(AC201:AE201)))=ABS(SUM(W201:Y201)),"跨市场",IF(MAX(ABS(SUM(L201:M201)),ABS(SUM(N201:P201)),ABS(Q201),ABS(SUM(R201:T201)),ABS(SUM(U201:V201)),ABS(SUM(W201:Y201)),ABS(SUM(Z201:AB201)),ABS(SUM(AC201:AE201)))=ABS(SUM(Z201:AB201)),"宏观代理","事件"))))))))</x:f>
      </x:c>
      <x:c r="L201" s="198"/>
      <x:c r="M201" s="198"/>
      <x:c r="N201" s="198"/>
      <x:c r="O201" s="198"/>
      <x:c r="P201" s="198"/>
      <x:c r="Q201" s="198"/>
      <x:c r="R201" s="198"/>
      <x:c r="S201" s="198"/>
      <x:c r="T201" s="198"/>
      <x:c r="U201" s="198"/>
      <x:c r="V201" s="198"/>
      <x:c r="W201" s="198"/>
      <x:c r="X201" s="198"/>
      <x:c r="Y201" s="198"/>
      <x:c r="Z201" s="198"/>
      <x:c r="AA201" s="198"/>
      <x:c r="AB201" s="198"/>
      <x:c r="AC201" s="198"/>
      <x:c r="AD201" s="198"/>
      <x:c r="AE201" s="198"/>
      <x:c r="AF201" s="215"/>
    </x:row>
    <x:row r="202">
      <x:c r="A202" s="238"/>
      <x:c r="B202" s="215" t="str">
        <x:v>正常</x:v>
      </x:c>
      <x:c r="C202" s="199"/>
      <x:c r="D202" s="223" t="str">
        <x:f>IF(COUNTA(L202:AE202)=0,"",SUMPRODUCT(L202:AE202,'参数'!$C$6:$C$25,'参数'!$D$6:$D$25,INDEX('参数'!$E$6:$J$25,0,MATCH(B202,'参数'!$E$5:$J$5,0)),'参数'!$K$6:$K$25)/SUMPRODUCT('参数'!$C$6:$C$25,'参数'!$D$6:$D$25,INDEX('参数'!$E$6:$J$25,0,MATCH(B202,'参数'!$E$5:$J$5,0)),'参数'!$K$6:$K$25))</x:f>
      </x:c>
      <x:c r="E202" s="223" t="str">
        <x:f>IF(D202="","",SUMPRODUCT(ABS(L202:AE202),'参数'!$C$6:$C$25,'参数'!$D$6:$D$25,INDEX('参数'!$E$6:$J$25,0,MATCH(B202,'参数'!$E$5:$J$5,0)))/SUMPRODUCT('参数'!$C$6:$C$25,'参数'!$D$6:$D$25,INDEX('参数'!$E$6:$J$25,0,MATCH(B202,'参数'!$E$5:$J$5,0))))</x:f>
      </x:c>
      <x:c r="F202" s="194" t="str">
        <x:f>IF(D202="","",IF(D202&gt;='参数'!$B$30,1,IF(D202&lt;=-'参数'!$B$30,-1,0)))</x:f>
      </x:c>
      <x:c r="G202" s="194" t="str">
        <x:f>IF(C202="","",IF(C202&gt;='参数'!$B$37,1,IF(C202&lt;=-'参数'!$B$37,-1,0)))</x:f>
      </x:c>
      <x:c r="H202" s="194" t="str">
        <x:f>IF(OR(F202="",G202=""),"",--(F202=G202))</x:f>
      </x:c>
      <x:c r="I202" s="214" t="str">
        <x:f>IF(D202="","",D202*'参数'!$B$34)</x:f>
      </x:c>
      <x:c r="J202" s="214" t="str">
        <x:f>IF(OR(C202="",I202=""),"",ABS(C202-I202))</x:f>
      </x:c>
      <x:c r="K202" s="194" t="str">
        <x:f>IF(D202="","",IF(MAX(ABS(SUM(L202:M202)),ABS(SUM(N202:P202)),ABS(Q202),ABS(SUM(R202:T202)),ABS(SUM(U202:V202)),ABS(SUM(W202:Y202)),ABS(SUM(Z202:AB202)),ABS(SUM(AC202:AE202)))=ABS(SUM(L202:M202)),"订单流",IF(MAX(ABS(SUM(L202:M202)),ABS(SUM(N202:P202)),ABS(Q202),ABS(SUM(R202:T202)),ABS(SUM(U202:V202)),ABS(SUM(W202:Y202)),ABS(SUM(Z202:AB202)),ABS(SUM(AC202:AE202)))=ABS(SUM(N202:P202)),"流动性",IF(MAX(ABS(SUM(L202:M202)),ABS(SUM(N202:P202)),ABS(Q202),ABS(SUM(R202:T202)),ABS(SUM(U202:V202)),ABS(SUM(W202:Y202)),ABS(SUM(Z202:AB202)),ABS(SUM(AC202:AE202)))=ABS(Q202),"价格行为",IF(MAX(ABS(SUM(L202:M202)),ABS(SUM(N202:P202)),ABS(Q202),ABS(SUM(R202:T202)),ABS(SUM(U202:V202)),ABS(SUM(W202:Y202)),ABS(SUM(Z202:AB202)),ABS(SUM(AC202:AE202)))=ABS(SUM(R202:T202)),"杠杆/清算",IF(MAX(ABS(SUM(L202:M202)),ABS(SUM(N202:P202)),ABS(Q202),ABS(SUM(R202:T202)),ABS(SUM(U202:V202)),ABS(SUM(W202:Y202)),ABS(SUM(Z202:AB202)),ABS(SUM(AC202:AE202)))=ABS(SUM(U202:V202)),"衍生品",IF(MAX(ABS(SUM(L202:M202)),ABS(SUM(N202:P202)),ABS(Q202),ABS(SUM(R202:T202)),ABS(SUM(U202:V202)),ABS(SUM(W202:Y202)),ABS(SUM(Z202:AB202)),ABS(SUM(AC202:AE202)))=ABS(SUM(W202:Y202)),"跨市场",IF(MAX(ABS(SUM(L202:M202)),ABS(SUM(N202:P202)),ABS(Q202),ABS(SUM(R202:T202)),ABS(SUM(U202:V202)),ABS(SUM(W202:Y202)),ABS(SUM(Z202:AB202)),ABS(SUM(AC202:AE202)))=ABS(SUM(Z202:AB202)),"宏观代理","事件"))))))))</x:f>
      </x:c>
      <x:c r="L202" s="198"/>
      <x:c r="M202" s="198"/>
      <x:c r="N202" s="198"/>
      <x:c r="O202" s="198"/>
      <x:c r="P202" s="198"/>
      <x:c r="Q202" s="198"/>
      <x:c r="R202" s="198"/>
      <x:c r="S202" s="198"/>
      <x:c r="T202" s="198"/>
      <x:c r="U202" s="198"/>
      <x:c r="V202" s="198"/>
      <x:c r="W202" s="198"/>
      <x:c r="X202" s="198"/>
      <x:c r="Y202" s="198"/>
      <x:c r="Z202" s="198"/>
      <x:c r="AA202" s="198"/>
      <x:c r="AB202" s="198"/>
      <x:c r="AC202" s="198"/>
      <x:c r="AD202" s="198"/>
      <x:c r="AE202" s="198"/>
      <x:c r="AF202" s="215"/>
    </x:row>
    <x:row r="203">
      <x:c r="A203" s="238"/>
      <x:c r="B203" s="215" t="str">
        <x:v>正常</x:v>
      </x:c>
      <x:c r="C203" s="199"/>
      <x:c r="D203" s="223" t="str">
        <x:f>IF(COUNTA(L203:AE203)=0,"",SUMPRODUCT(L203:AE203,'参数'!$C$6:$C$25,'参数'!$D$6:$D$25,INDEX('参数'!$E$6:$J$25,0,MATCH(B203,'参数'!$E$5:$J$5,0)),'参数'!$K$6:$K$25)/SUMPRODUCT('参数'!$C$6:$C$25,'参数'!$D$6:$D$25,INDEX('参数'!$E$6:$J$25,0,MATCH(B203,'参数'!$E$5:$J$5,0)),'参数'!$K$6:$K$25))</x:f>
      </x:c>
      <x:c r="E203" s="223" t="str">
        <x:f>IF(D203="","",SUMPRODUCT(ABS(L203:AE203),'参数'!$C$6:$C$25,'参数'!$D$6:$D$25,INDEX('参数'!$E$6:$J$25,0,MATCH(B203,'参数'!$E$5:$J$5,0)))/SUMPRODUCT('参数'!$C$6:$C$25,'参数'!$D$6:$D$25,INDEX('参数'!$E$6:$J$25,0,MATCH(B203,'参数'!$E$5:$J$5,0))))</x:f>
      </x:c>
      <x:c r="F203" s="194" t="str">
        <x:f>IF(D203="","",IF(D203&gt;='参数'!$B$30,1,IF(D203&lt;=-'参数'!$B$30,-1,0)))</x:f>
      </x:c>
      <x:c r="G203" s="194" t="str">
        <x:f>IF(C203="","",IF(C203&gt;='参数'!$B$37,1,IF(C203&lt;=-'参数'!$B$37,-1,0)))</x:f>
      </x:c>
      <x:c r="H203" s="194" t="str">
        <x:f>IF(OR(F203="",G203=""),"",--(F203=G203))</x:f>
      </x:c>
      <x:c r="I203" s="214" t="str">
        <x:f>IF(D203="","",D203*'参数'!$B$34)</x:f>
      </x:c>
      <x:c r="J203" s="214" t="str">
        <x:f>IF(OR(C203="",I203=""),"",ABS(C203-I203))</x:f>
      </x:c>
      <x:c r="K203" s="194" t="str">
        <x:f>IF(D203="","",IF(MAX(ABS(SUM(L203:M203)),ABS(SUM(N203:P203)),ABS(Q203),ABS(SUM(R203:T203)),ABS(SUM(U203:V203)),ABS(SUM(W203:Y203)),ABS(SUM(Z203:AB203)),ABS(SUM(AC203:AE203)))=ABS(SUM(L203:M203)),"订单流",IF(MAX(ABS(SUM(L203:M203)),ABS(SUM(N203:P203)),ABS(Q203),ABS(SUM(R203:T203)),ABS(SUM(U203:V203)),ABS(SUM(W203:Y203)),ABS(SUM(Z203:AB203)),ABS(SUM(AC203:AE203)))=ABS(SUM(N203:P203)),"流动性",IF(MAX(ABS(SUM(L203:M203)),ABS(SUM(N203:P203)),ABS(Q203),ABS(SUM(R203:T203)),ABS(SUM(U203:V203)),ABS(SUM(W203:Y203)),ABS(SUM(Z203:AB203)),ABS(SUM(AC203:AE203)))=ABS(Q203),"价格行为",IF(MAX(ABS(SUM(L203:M203)),ABS(SUM(N203:P203)),ABS(Q203),ABS(SUM(R203:T203)),ABS(SUM(U203:V203)),ABS(SUM(W203:Y203)),ABS(SUM(Z203:AB203)),ABS(SUM(AC203:AE203)))=ABS(SUM(R203:T203)),"杠杆/清算",IF(MAX(ABS(SUM(L203:M203)),ABS(SUM(N203:P203)),ABS(Q203),ABS(SUM(R203:T203)),ABS(SUM(U203:V203)),ABS(SUM(W203:Y203)),ABS(SUM(Z203:AB203)),ABS(SUM(AC203:AE203)))=ABS(SUM(U203:V203)),"衍生品",IF(MAX(ABS(SUM(L203:M203)),ABS(SUM(N203:P203)),ABS(Q203),ABS(SUM(R203:T203)),ABS(SUM(U203:V203)),ABS(SUM(W203:Y203)),ABS(SUM(Z203:AB203)),ABS(SUM(AC203:AE203)))=ABS(SUM(W203:Y203)),"跨市场",IF(MAX(ABS(SUM(L203:M203)),ABS(SUM(N203:P203)),ABS(Q203),ABS(SUM(R203:T203)),ABS(SUM(U203:V203)),ABS(SUM(W203:Y203)),ABS(SUM(Z203:AB203)),ABS(SUM(AC203:AE203)))=ABS(SUM(Z203:AB203)),"宏观代理","事件"))))))))</x:f>
      </x:c>
      <x:c r="L203" s="198"/>
      <x:c r="M203" s="198"/>
      <x:c r="N203" s="198"/>
      <x:c r="O203" s="198"/>
      <x:c r="P203" s="198"/>
      <x:c r="Q203" s="198"/>
      <x:c r="R203" s="198"/>
      <x:c r="S203" s="198"/>
      <x:c r="T203" s="198"/>
      <x:c r="U203" s="198"/>
      <x:c r="V203" s="198"/>
      <x:c r="W203" s="198"/>
      <x:c r="X203" s="198"/>
      <x:c r="Y203" s="198"/>
      <x:c r="Z203" s="198"/>
      <x:c r="AA203" s="198"/>
      <x:c r="AB203" s="198"/>
      <x:c r="AC203" s="198"/>
      <x:c r="AD203" s="198"/>
      <x:c r="AE203" s="198"/>
      <x:c r="AF203" s="215"/>
    </x:row>
    <x:row r="204">
      <x:c r="A204" s="238"/>
      <x:c r="B204" s="215" t="str">
        <x:v>正常</x:v>
      </x:c>
      <x:c r="C204" s="199"/>
      <x:c r="D204" s="223" t="str">
        <x:f>IF(COUNTA(L204:AE204)=0,"",SUMPRODUCT(L204:AE204,'参数'!$C$6:$C$25,'参数'!$D$6:$D$25,INDEX('参数'!$E$6:$J$25,0,MATCH(B204,'参数'!$E$5:$J$5,0)),'参数'!$K$6:$K$25)/SUMPRODUCT('参数'!$C$6:$C$25,'参数'!$D$6:$D$25,INDEX('参数'!$E$6:$J$25,0,MATCH(B204,'参数'!$E$5:$J$5,0)),'参数'!$K$6:$K$25))</x:f>
      </x:c>
      <x:c r="E204" s="223" t="str">
        <x:f>IF(D204="","",SUMPRODUCT(ABS(L204:AE204),'参数'!$C$6:$C$25,'参数'!$D$6:$D$25,INDEX('参数'!$E$6:$J$25,0,MATCH(B204,'参数'!$E$5:$J$5,0)))/SUMPRODUCT('参数'!$C$6:$C$25,'参数'!$D$6:$D$25,INDEX('参数'!$E$6:$J$25,0,MATCH(B204,'参数'!$E$5:$J$5,0))))</x:f>
      </x:c>
      <x:c r="F204" s="194" t="str">
        <x:f>IF(D204="","",IF(D204&gt;='参数'!$B$30,1,IF(D204&lt;=-'参数'!$B$30,-1,0)))</x:f>
      </x:c>
      <x:c r="G204" s="194" t="str">
        <x:f>IF(C204="","",IF(C204&gt;='参数'!$B$37,1,IF(C204&lt;=-'参数'!$B$37,-1,0)))</x:f>
      </x:c>
      <x:c r="H204" s="194" t="str">
        <x:f>IF(OR(F204="",G204=""),"",--(F204=G204))</x:f>
      </x:c>
      <x:c r="I204" s="214" t="str">
        <x:f>IF(D204="","",D204*'参数'!$B$34)</x:f>
      </x:c>
      <x:c r="J204" s="214" t="str">
        <x:f>IF(OR(C204="",I204=""),"",ABS(C204-I204))</x:f>
      </x:c>
      <x:c r="K204" s="194" t="str">
        <x:f>IF(D204="","",IF(MAX(ABS(SUM(L204:M204)),ABS(SUM(N204:P204)),ABS(Q204),ABS(SUM(R204:T204)),ABS(SUM(U204:V204)),ABS(SUM(W204:Y204)),ABS(SUM(Z204:AB204)),ABS(SUM(AC204:AE204)))=ABS(SUM(L204:M204)),"订单流",IF(MAX(ABS(SUM(L204:M204)),ABS(SUM(N204:P204)),ABS(Q204),ABS(SUM(R204:T204)),ABS(SUM(U204:V204)),ABS(SUM(W204:Y204)),ABS(SUM(Z204:AB204)),ABS(SUM(AC204:AE204)))=ABS(SUM(N204:P204)),"流动性",IF(MAX(ABS(SUM(L204:M204)),ABS(SUM(N204:P204)),ABS(Q204),ABS(SUM(R204:T204)),ABS(SUM(U204:V204)),ABS(SUM(W204:Y204)),ABS(SUM(Z204:AB204)),ABS(SUM(AC204:AE204)))=ABS(Q204),"价格行为",IF(MAX(ABS(SUM(L204:M204)),ABS(SUM(N204:P204)),ABS(Q204),ABS(SUM(R204:T204)),ABS(SUM(U204:V204)),ABS(SUM(W204:Y204)),ABS(SUM(Z204:AB204)),ABS(SUM(AC204:AE204)))=ABS(SUM(R204:T204)),"杠杆/清算",IF(MAX(ABS(SUM(L204:M204)),ABS(SUM(N204:P204)),ABS(Q204),ABS(SUM(R204:T204)),ABS(SUM(U204:V204)),ABS(SUM(W204:Y204)),ABS(SUM(Z204:AB204)),ABS(SUM(AC204:AE204)))=ABS(SUM(U204:V204)),"衍生品",IF(MAX(ABS(SUM(L204:M204)),ABS(SUM(N204:P204)),ABS(Q204),ABS(SUM(R204:T204)),ABS(SUM(U204:V204)),ABS(SUM(W204:Y204)),ABS(SUM(Z204:AB204)),ABS(SUM(AC204:AE204)))=ABS(SUM(W204:Y204)),"跨市场",IF(MAX(ABS(SUM(L204:M204)),ABS(SUM(N204:P204)),ABS(Q204),ABS(SUM(R204:T204)),ABS(SUM(U204:V204)),ABS(SUM(W204:Y204)),ABS(SUM(Z204:AB204)),ABS(SUM(AC204:AE204)))=ABS(SUM(Z204:AB204)),"宏观代理","事件"))))))))</x:f>
      </x:c>
      <x:c r="L204" s="198"/>
      <x:c r="M204" s="198"/>
      <x:c r="N204" s="198"/>
      <x:c r="O204" s="198"/>
      <x:c r="P204" s="198"/>
      <x:c r="Q204" s="198"/>
      <x:c r="R204" s="198"/>
      <x:c r="S204" s="198"/>
      <x:c r="T204" s="198"/>
      <x:c r="U204" s="198"/>
      <x:c r="V204" s="198"/>
      <x:c r="W204" s="198"/>
      <x:c r="X204" s="198"/>
      <x:c r="Y204" s="198"/>
      <x:c r="Z204" s="198"/>
      <x:c r="AA204" s="198"/>
      <x:c r="AB204" s="198"/>
      <x:c r="AC204" s="198"/>
      <x:c r="AD204" s="198"/>
      <x:c r="AE204" s="198"/>
      <x:c r="AF204" s="215"/>
    </x:row>
    <x:row r="205">
      <x:c r="A205" s="194"/>
      <x:c r="B205" s="194"/>
      <x:c r="C205" s="194"/>
      <x:c r="D205" s="194"/>
      <x:c r="E205" s="194"/>
      <x:c r="F205" s="194"/>
      <x:c r="G205" s="194"/>
      <x:c r="H205" s="194"/>
      <x:c r="I205" s="194"/>
      <x:c r="J205" s="194"/>
      <x:c r="K205" s="194"/>
      <x:c r="L205" s="194"/>
      <x:c r="M205" s="194"/>
      <x:c r="N205" s="194"/>
      <x:c r="O205" s="194"/>
      <x:c r="P205" s="194"/>
      <x:c r="Q205" s="194"/>
      <x:c r="R205" s="194"/>
      <x:c r="S205" s="194"/>
      <x:c r="T205" s="194"/>
      <x:c r="U205" s="194"/>
      <x:c r="V205" s="194"/>
      <x:c r="W205" s="194"/>
      <x:c r="X205" s="194"/>
      <x:c r="Y205" s="194"/>
      <x:c r="Z205" s="194"/>
      <x:c r="AA205" s="194"/>
      <x:c r="AB205" s="194"/>
      <x:c r="AC205" s="194"/>
      <x:c r="AD205" s="194"/>
      <x:c r="AE205" s="194"/>
      <x:c r="AF205" s="194"/>
    </x:row>
    <x:row r="206">
      <x:c r="A206" s="194"/>
      <x:c r="B206" s="194"/>
      <x:c r="C206" s="194"/>
      <x:c r="D206" s="194"/>
      <x:c r="E206" s="194"/>
      <x:c r="F206" s="194"/>
      <x:c r="G206" s="194"/>
      <x:c r="H206" s="194"/>
      <x:c r="I206" s="194"/>
      <x:c r="J206" s="194"/>
      <x:c r="K206" s="194"/>
      <x:c r="L206" s="194"/>
      <x:c r="M206" s="194"/>
      <x:c r="N206" s="194"/>
      <x:c r="O206" s="194"/>
      <x:c r="P206" s="194"/>
      <x:c r="Q206" s="194"/>
      <x:c r="R206" s="194"/>
      <x:c r="S206" s="194"/>
      <x:c r="T206" s="194"/>
      <x:c r="U206" s="194"/>
      <x:c r="V206" s="194"/>
      <x:c r="W206" s="194"/>
      <x:c r="X206" s="194"/>
      <x:c r="Y206" s="194"/>
      <x:c r="Z206" s="194"/>
      <x:c r="AA206" s="194"/>
      <x:c r="AB206" s="194"/>
      <x:c r="AC206" s="194"/>
      <x:c r="AD206" s="194"/>
      <x:c r="AE206" s="194"/>
      <x:c r="AF206" s="194"/>
    </x:row>
    <x:row r="207" ht="20" customHeight="1">
      <x:c r="A207" s="17" t="str">
        <x:v>回测摘要</x:v>
      </x:c>
      <x:c r="B207" s="17"/>
      <x:c r="C207" s="17"/>
      <x:c r="D207" s="17"/>
      <x:c r="E207" s="17"/>
      <x:c r="F207" s="17"/>
      <x:c r="G207" s="17"/>
      <x:c r="H207" s="17"/>
      <x:c r="I207" s="194"/>
      <x:c r="J207" s="194"/>
      <x:c r="K207" s="194"/>
      <x:c r="L207" s="194"/>
      <x:c r="M207" s="194"/>
      <x:c r="N207" s="194"/>
      <x:c r="O207" s="194"/>
      <x:c r="P207" s="194"/>
      <x:c r="Q207" s="194"/>
      <x:c r="R207" s="194"/>
      <x:c r="S207" s="194"/>
      <x:c r="T207" s="194"/>
      <x:c r="U207" s="194"/>
      <x:c r="V207" s="194"/>
      <x:c r="W207" s="194"/>
      <x:c r="X207" s="194"/>
      <x:c r="Y207" s="194"/>
      <x:c r="Z207" s="194"/>
      <x:c r="AA207" s="194"/>
      <x:c r="AB207" s="194"/>
      <x:c r="AC207" s="194"/>
      <x:c r="AD207" s="194"/>
      <x:c r="AE207" s="194"/>
      <x:c r="AF207" s="194"/>
    </x:row>
    <x:row r="208">
      <x:c r="A208" s="27" t="str">
        <x:v>指标</x:v>
      </x:c>
      <x:c r="B208" s="27" t="str">
        <x:v>公式/结果</x:v>
      </x:c>
      <x:c r="C208" s="194"/>
      <x:c r="D208" s="194"/>
      <x:c r="E208" s="194"/>
      <x:c r="F208" s="194"/>
      <x:c r="G208" s="194"/>
      <x:c r="H208" s="194"/>
      <x:c r="I208" s="194"/>
      <x:c r="J208" s="194"/>
      <x:c r="K208" s="194"/>
      <x:c r="L208" s="194"/>
      <x:c r="M208" s="194"/>
      <x:c r="N208" s="194"/>
      <x:c r="O208" s="194"/>
      <x:c r="P208" s="194"/>
      <x:c r="Q208" s="194"/>
      <x:c r="R208" s="194"/>
      <x:c r="S208" s="194"/>
      <x:c r="T208" s="194"/>
      <x:c r="U208" s="194"/>
      <x:c r="V208" s="194"/>
      <x:c r="W208" s="194"/>
      <x:c r="X208" s="194"/>
      <x:c r="Y208" s="194"/>
      <x:c r="Z208" s="194"/>
      <x:c r="AA208" s="194"/>
      <x:c r="AB208" s="194"/>
      <x:c r="AC208" s="194"/>
      <x:c r="AD208" s="194"/>
      <x:c r="AE208" s="194"/>
      <x:c r="AF208" s="194"/>
    </x:row>
    <x:row r="209">
      <x:c r="A209" s="194" t="str">
        <x:v>样本数</x:v>
      </x:c>
      <x:c r="B209" s="194" t="n">
        <x:f>COUNT(C5:C204)</x:f>
        <x:v>0</x:v>
      </x:c>
      <x:c r="C209" s="194"/>
      <x:c r="D209" s="194"/>
      <x:c r="E209" s="194"/>
      <x:c r="F209" s="194"/>
      <x:c r="G209" s="194"/>
      <x:c r="H209" s="194"/>
      <x:c r="I209" s="194"/>
      <x:c r="J209" s="194"/>
      <x:c r="K209" s="194"/>
      <x:c r="L209" s="194"/>
      <x:c r="M209" s="194"/>
      <x:c r="N209" s="194"/>
      <x:c r="O209" s="194"/>
      <x:c r="P209" s="194"/>
      <x:c r="Q209" s="194"/>
      <x:c r="R209" s="194"/>
      <x:c r="S209" s="194"/>
      <x:c r="T209" s="194"/>
      <x:c r="U209" s="194"/>
      <x:c r="V209" s="194"/>
      <x:c r="W209" s="194"/>
      <x:c r="X209" s="194"/>
      <x:c r="Y209" s="194"/>
      <x:c r="Z209" s="194"/>
      <x:c r="AA209" s="194"/>
      <x:c r="AB209" s="194"/>
      <x:c r="AC209" s="194"/>
      <x:c r="AD209" s="194"/>
      <x:c r="AE209" s="194"/>
      <x:c r="AF209" s="194"/>
    </x:row>
    <x:row r="210">
      <x:c r="A210" s="194" t="str">
        <x:v>方向命中率</x:v>
      </x:c>
      <x:c r="B210" s="225" t="n">
        <x:f>IFERROR(AVERAGE(H5:H204),0)</x:f>
        <x:v>0</x:v>
      </x:c>
      <x:c r="C210" s="194"/>
      <x:c r="D210" s="194"/>
      <x:c r="E210" s="194"/>
      <x:c r="F210" s="194"/>
      <x:c r="G210" s="194"/>
      <x:c r="H210" s="194"/>
      <x:c r="I210" s="194"/>
      <x:c r="J210" s="194"/>
      <x:c r="K210" s="194"/>
      <x:c r="L210" s="194"/>
      <x:c r="M210" s="194"/>
      <x:c r="N210" s="194"/>
      <x:c r="O210" s="194"/>
      <x:c r="P210" s="194"/>
      <x:c r="Q210" s="194"/>
      <x:c r="R210" s="194"/>
      <x:c r="S210" s="194"/>
      <x:c r="T210" s="194"/>
      <x:c r="U210" s="194"/>
      <x:c r="V210" s="194"/>
      <x:c r="W210" s="194"/>
      <x:c r="X210" s="194"/>
      <x:c r="Y210" s="194"/>
      <x:c r="Z210" s="194"/>
      <x:c r="AA210" s="194"/>
      <x:c r="AB210" s="194"/>
      <x:c r="AC210" s="194"/>
      <x:c r="AD210" s="194"/>
      <x:c r="AE210" s="194"/>
      <x:c r="AF210" s="194"/>
    </x:row>
    <x:row r="211">
      <x:c r="A211" s="194" t="str">
        <x:v>非中性样本命中率</x:v>
      </x:c>
      <x:c r="B211" s="225" t="n">
        <x:f>IFERROR(SUMIFS(H5:H204,F5:F204,"&lt;&gt;0")/COUNTIFS(F5:F204,"&lt;&gt;0"),0)</x:f>
        <x:v>0</x:v>
      </x:c>
      <x:c r="C211" s="194"/>
      <x:c r="D211" s="194"/>
      <x:c r="E211" s="194"/>
      <x:c r="F211" s="194"/>
      <x:c r="G211" s="194"/>
      <x:c r="H211" s="194"/>
      <x:c r="I211" s="194"/>
      <x:c r="J211" s="194"/>
      <x:c r="K211" s="194"/>
      <x:c r="L211" s="194"/>
      <x:c r="M211" s="194"/>
      <x:c r="N211" s="194"/>
      <x:c r="O211" s="194"/>
      <x:c r="P211" s="194"/>
      <x:c r="Q211" s="194"/>
      <x:c r="R211" s="194"/>
      <x:c r="S211" s="194"/>
      <x:c r="T211" s="194"/>
      <x:c r="U211" s="194"/>
      <x:c r="V211" s="194"/>
      <x:c r="W211" s="194"/>
      <x:c r="X211" s="194"/>
      <x:c r="Y211" s="194"/>
      <x:c r="Z211" s="194"/>
      <x:c r="AA211" s="194"/>
      <x:c r="AB211" s="194"/>
      <x:c r="AC211" s="194"/>
      <x:c r="AD211" s="194"/>
      <x:c r="AE211" s="194"/>
      <x:c r="AF211" s="194"/>
    </x:row>
    <x:row r="212">
      <x:c r="A212" s="194" t="str">
        <x:v>平均绝对误差</x:v>
      </x:c>
      <x:c r="B212" s="214" t="n">
        <x:f>IFERROR(AVERAGE(J5:J204),0)</x:f>
        <x:v>0</x:v>
      </x:c>
      <x:c r="C212" s="194"/>
      <x:c r="D212" s="194"/>
      <x:c r="E212" s="194"/>
      <x:c r="F212" s="194"/>
      <x:c r="G212" s="194"/>
      <x:c r="H212" s="194"/>
      <x:c r="I212" s="194"/>
      <x:c r="J212" s="194"/>
      <x:c r="K212" s="194"/>
      <x:c r="L212" s="194"/>
      <x:c r="M212" s="194"/>
      <x:c r="N212" s="194"/>
      <x:c r="O212" s="194"/>
      <x:c r="P212" s="194"/>
      <x:c r="Q212" s="194"/>
      <x:c r="R212" s="194"/>
      <x:c r="S212" s="194"/>
      <x:c r="T212" s="194"/>
      <x:c r="U212" s="194"/>
      <x:c r="V212" s="194"/>
      <x:c r="W212" s="194"/>
      <x:c r="X212" s="194"/>
      <x:c r="Y212" s="194"/>
      <x:c r="Z212" s="194"/>
      <x:c r="AA212" s="194"/>
      <x:c r="AB212" s="194"/>
      <x:c r="AC212" s="194"/>
      <x:c r="AD212" s="194"/>
      <x:c r="AE212" s="194"/>
      <x:c r="AF212" s="194"/>
    </x:row>
    <x:row r="213">
      <x:c r="A213" s="194" t="str">
        <x:v>实际平均绝对波动</x:v>
      </x:c>
      <x:c r="B213" s="214" t="n">
        <x:f>IFERROR(SUMPRODUCT(ABS(C5:C204))/COUNT(C5:C204),0)</x:f>
        <x:v>0</x:v>
      </x:c>
      <x:c r="C213" s="194"/>
      <x:c r="D213" s="194"/>
      <x:c r="E213" s="194"/>
      <x:c r="F213" s="194"/>
      <x:c r="G213" s="194"/>
      <x:c r="H213" s="194"/>
      <x:c r="I213" s="194"/>
      <x:c r="J213" s="194"/>
      <x:c r="K213" s="194"/>
      <x:c r="L213" s="194"/>
      <x:c r="M213" s="194"/>
      <x:c r="N213" s="194"/>
      <x:c r="O213" s="194"/>
      <x:c r="P213" s="194"/>
      <x:c r="Q213" s="194"/>
      <x:c r="R213" s="194"/>
      <x:c r="S213" s="194"/>
      <x:c r="T213" s="194"/>
      <x:c r="U213" s="194"/>
      <x:c r="V213" s="194"/>
      <x:c r="W213" s="194"/>
      <x:c r="X213" s="194"/>
      <x:c r="Y213" s="194"/>
      <x:c r="Z213" s="194"/>
      <x:c r="AA213" s="194"/>
      <x:c r="AB213" s="194"/>
      <x:c r="AC213" s="194"/>
      <x:c r="AD213" s="194"/>
      <x:c r="AE213" s="194"/>
      <x:c r="AF213" s="194"/>
    </x:row>
    <x:row r="214">
      <x:c r="A214" s="194" t="str">
        <x:v>方向分与实际收益相关系数</x:v>
      </x:c>
      <x:c r="B214" s="223" t="n">
        <x:f>IFERROR(CORREL(D5:D204,C5:C204),0)</x:f>
        <x:v>0</x:v>
      </x:c>
      <x:c r="C214" s="194"/>
      <x:c r="D214" s="194"/>
      <x:c r="E214" s="194"/>
      <x:c r="F214" s="194"/>
      <x:c r="G214" s="194"/>
      <x:c r="H214" s="194"/>
      <x:c r="I214" s="194"/>
      <x:c r="J214" s="194"/>
      <x:c r="K214" s="194"/>
      <x:c r="L214" s="194"/>
      <x:c r="M214" s="194"/>
      <x:c r="N214" s="194"/>
      <x:c r="O214" s="194"/>
      <x:c r="P214" s="194"/>
      <x:c r="Q214" s="194"/>
      <x:c r="R214" s="194"/>
      <x:c r="S214" s="194"/>
      <x:c r="T214" s="194"/>
      <x:c r="U214" s="194"/>
      <x:c r="V214" s="194"/>
      <x:c r="W214" s="194"/>
      <x:c r="X214" s="194"/>
      <x:c r="Y214" s="194"/>
      <x:c r="Z214" s="194"/>
      <x:c r="AA214" s="194"/>
      <x:c r="AB214" s="194"/>
      <x:c r="AC214" s="194"/>
      <x:c r="AD214" s="194"/>
      <x:c r="AE214" s="194"/>
      <x:c r="AF214" s="194"/>
    </x:row>
  </x:sheetData>
  <x:mergeCells>
    <x:mergeCell ref="A1:AG1"/>
    <x:mergeCell ref="A2:AG2"/>
    <x:mergeCell ref="A207:H207"/>
  </x:mergeCells>
  <x:dataValidations count="1">
    <x:dataValidation type="list" sqref="B5:B204">
      <x:formula1>'参数'!$L$1:$L$6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0" hidden="0" customWidth="1"/>
    <x:col min="4" max="4" width="30" hidden="0" customWidth="1"/>
    <x:col min="5" max="5" width="28" hidden="0" customWidth="1"/>
    <x:col min="6" max="6" width="20" hidden="0" customWidth="1"/>
    <x:col min="7" max="7" width="12" hidden="0" customWidth="1"/>
    <x:col min="8" max="8" width="14" hidden="0" customWidth="1"/>
    <x:col min="9" max="9" width="36" hidden="0" customWidth="1"/>
    <x:col min="10" max="10" width="14" hidden="0" customWidth="1"/>
  </x:cols>
  <x:sheetData>
    <x:row r="1" ht="28" customHeight="1">
      <x:c r="A1" s="5" t="str">
        <x:v>5分钟事件覆盖表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1" t="str">
        <x:v>事件信号只有在准确的公布时点才应提高权重。将实际值与市场一致预期比较，并用跨资产最初30~90秒反应验证方向。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27" t="str">
        <x:v>事件类型</x:v>
      </x:c>
      <x:c r="B4" s="27" t="str">
        <x:v>典型时间</x:v>
      </x:c>
      <x:c r="C4" s="27" t="str">
        <x:v>原始信息</x:v>
      </x:c>
      <x:c r="D4" s="27" t="str">
        <x:v>5分钟内第一观察</x:v>
      </x:c>
      <x:c r="E4" s="27" t="str">
        <x:v>BTC常见传导</x:v>
      </x:c>
      <x:c r="F4" s="27" t="str">
        <x:v>模型输入</x:v>
      </x:c>
      <x:c r="G4" s="27" t="str">
        <x:v>默认重要度</x:v>
      </x:c>
      <x:c r="H4" s="27" t="str">
        <x:v>官方日程</x:v>
      </x:c>
      <x:c r="I4" s="27" t="str">
        <x:v>注意事项</x:v>
      </x:c>
      <x:c r="J4" s="27" t="str">
        <x:v>是否预先标记</x:v>
      </x:c>
    </x:row>
    <x:row r="5">
      <x:c r="A5" s="206" t="str">
        <x:v>美国CPI/PCE</x:v>
      </x:c>
      <x:c r="B5" s="206" t="str">
        <x:v>通常8:30 ET</x:v>
      </x:c>
      <x:c r="C5" s="206" t="str">
        <x:v>实际值 vs 一致预期</x:v>
      </x:c>
      <x:c r="D5" s="206" t="str">
        <x:v>2Y收益率、NQ、DXY首30秒</x:v>
      </x:c>
      <x:c r="E5" s="206" t="str">
        <x:v>利率预期→风险偏好→BTC</x:v>
      </x:c>
      <x:c r="F5" s="206" t="str">
        <x:v>S18 + S15/S16/S17</x:v>
      </x:c>
      <x:c r="G5" s="206" t="n">
        <x:v>3</x:v>
      </x:c>
      <x:c r="H5" s="206" t="str">
        <x:v>BLS/BEA</x:v>
      </x:c>
      <x:c r="I5" s="206" t="str">
        <x:v>不能只看同比；核心/环比和修订也重要</x:v>
      </x:c>
      <x:c r="J5" s="206" t="str">
        <x:v>是</x:v>
      </x:c>
    </x:row>
    <x:row r="6">
      <x:c r="A6" s="206" t="str">
        <x:v>非农就业/失业率/工资</x:v>
      </x:c>
      <x:c r="B6" s="206" t="str">
        <x:v>通常8:30 ET</x:v>
      </x:c>
      <x:c r="C6" s="206" t="str">
        <x:v>新增就业、失业率、工资及修订</x:v>
      </x:c>
      <x:c r="D6" s="206" t="str">
        <x:v>2Y收益率与NQ的方向是否一致</x:v>
      </x:c>
      <x:c r="E6" s="206" t="str">
        <x:v>增长/通胀预期→利率路径</x:v>
      </x:c>
      <x:c r="F6" s="206" t="str">
        <x:v>S18 + 宏观代理</x:v>
      </x:c>
      <x:c r="G6" s="206" t="n">
        <x:v>3</x:v>
      </x:c>
      <x:c r="H6" s="206" t="str">
        <x:v>BLS</x:v>
      </x:c>
      <x:c r="I6" s="206" t="str">
        <x:v>多指标可能互相冲突</x:v>
      </x:c>
      <x:c r="J6" s="206" t="str">
        <x:v>是</x:v>
      </x:c>
    </x:row>
    <x:row r="7">
      <x:c r="A7" s="206" t="str">
        <x:v>FOMC声明/点阵图</x:v>
      </x:c>
      <x:c r="B7" s="206" t="str">
        <x:v>2:00 ET</x:v>
      </x:c>
      <x:c r="C7" s="206" t="str">
        <x:v>利率、声明措辞、预测</x:v>
      </x:c>
      <x:c r="D7" s="206" t="str">
        <x:v>2Y收益率、NQ、美元与BTC同步性</x:v>
      </x:c>
      <x:c r="E7" s="206" t="str">
        <x:v>政策路径与流动性预期</x:v>
      </x:c>
      <x:c r="F7" s="206" t="str">
        <x:v>S18/S19</x:v>
      </x:c>
      <x:c r="G7" s="206" t="n">
        <x:v>3</x:v>
      </x:c>
      <x:c r="H7" s="206" t="str">
        <x:v>Fed</x:v>
      </x:c>
      <x:c r="I7" s="206" t="str">
        <x:v>2:30新闻发布会可反转首轮走势</x:v>
      </x:c>
      <x:c r="J7" s="206" t="str">
        <x:v>是</x:v>
      </x:c>
    </x:row>
    <x:row r="8">
      <x:c r="A8" s="206" t="str">
        <x:v>FOMC新闻发布会</x:v>
      </x:c>
      <x:c r="B8" s="206" t="str">
        <x:v>2:30 ET</x:v>
      </x:c>
      <x:c r="C8" s="206" t="str">
        <x:v>主席措辞与问答</x:v>
      </x:c>
      <x:c r="D8" s="206" t="str">
        <x:v>逐句新闻+跨资产联动</x:v>
      </x:c>
      <x:c r="E8" s="206" t="str">
        <x:v>重新定价政策概率</x:v>
      </x:c>
      <x:c r="F8" s="206" t="str">
        <x:v>S19</x:v>
      </x:c>
      <x:c r="G8" s="206" t="n">
        <x:v>3</x:v>
      </x:c>
      <x:c r="H8" s="206" t="str">
        <x:v>Fed</x:v>
      </x:c>
      <x:c r="I8" s="206" t="str">
        <x:v>语义模型需防断章取义</x:v>
      </x:c>
      <x:c r="J8" s="206" t="str">
        <x:v>是</x:v>
      </x:c>
    </x:row>
    <x:row r="9">
      <x:c r="A9" s="206" t="str">
        <x:v>监管/ETF/财政政策突发</x:v>
      </x:c>
      <x:c r="B9" s="206" t="str">
        <x:v>不定时</x:v>
      </x:c>
      <x:c r="C9" s="206" t="str">
        <x:v>官方文件或可靠快讯</x:v>
      </x:c>
      <x:c r="D9" s="206" t="str">
        <x:v>Coinbase溢价、跨交易所领先</x:v>
      </x:c>
      <x:c r="E9" s="206" t="str">
        <x:v>美国资金边际需求/合规风险</x:v>
      </x:c>
      <x:c r="F9" s="206" t="str">
        <x:v>S19</x:v>
      </x:c>
      <x:c r="G9" s="206" t="n">
        <x:v>3</x:v>
      </x:c>
      <x:c r="H9" s="206" t="str">
        <x:v>官方公告</x:v>
      </x:c>
      <x:c r="I9" s="206" t="str">
        <x:v>先验证真伪与生效范围</x:v>
      </x:c>
      <x:c r="J9" s="206" t="str">
        <x:v>否</x:v>
      </x:c>
    </x:row>
    <x:row r="10">
      <x:c r="A10" s="206" t="str">
        <x:v>战争、制裁、关税、政治消息</x:v>
      </x:c>
      <x:c r="B10" s="206" t="str">
        <x:v>不定时</x:v>
      </x:c>
      <x:c r="C10" s="206" t="str">
        <x:v>官方声明/领导人发布</x:v>
      </x:c>
      <x:c r="D10" s="206" t="str">
        <x:v>NQ、美元、黄金、BTC同时反应</x:v>
      </x:c>
      <x:c r="E10" s="206" t="str">
        <x:v>全球风险偏好与流动性</x:v>
      </x:c>
      <x:c r="F10" s="206" t="str">
        <x:v>S19</x:v>
      </x:c>
      <x:c r="G10" s="206" t="n">
        <x:v>3</x:v>
      </x:c>
      <x:c r="H10" s="206" t="str">
        <x:v>官方公告</x:v>
      </x:c>
      <x:c r="I10" s="206" t="str">
        <x:v>标题冲击可能迅速反转</x:v>
      </x:c>
      <x:c r="J10" s="206" t="str">
        <x:v>否</x:v>
      </x:c>
    </x:row>
    <x:row r="11">
      <x:c r="A11" s="206" t="str">
        <x:v>交易所宕机/提款暂停</x:v>
      </x:c>
      <x:c r="B11" s="206" t="str">
        <x:v>不定时</x:v>
      </x:c>
      <x:c r="C11" s="206" t="str">
        <x:v>状态页/官方公告</x:v>
      </x:c>
      <x:c r="D11" s="206" t="str">
        <x:v>跨所价差、深度、稳定币压力</x:v>
      </x:c>
      <x:c r="E11" s="206" t="str">
        <x:v>流动性断裂与对手方风险</x:v>
      </x:c>
      <x:c r="F11" s="206" t="str">
        <x:v>S20 + S12/S14</x:v>
      </x:c>
      <x:c r="G11" s="206" t="n">
        <x:v>3</x:v>
      </x:c>
      <x:c r="H11" s="206" t="str">
        <x:v>交易所</x:v>
      </x:c>
      <x:c r="I11" s="206" t="str">
        <x:v>单所事故与全市场事故要区分</x:v>
      </x:c>
      <x:c r="J11" s="206" t="str">
        <x:v>否</x:v>
      </x:c>
    </x:row>
    <x:row r="12">
      <x:c r="A12" s="206" t="str">
        <x:v>大额清算级联</x:v>
      </x:c>
      <x:c r="B12" s="206" t="str">
        <x:v>不定时</x:v>
      </x:c>
      <x:c r="C12" s="206" t="str">
        <x:v>forceOrder、OI、深度、价差</x:v>
      </x:c>
      <x:c r="D12" s="206" t="str">
        <x:v>清算流→深度收缩→价差扩大</x:v>
      </x:c>
      <x:c r="E12" s="206" t="str">
        <x:v>强制成交形成反身性循环</x:v>
      </x:c>
      <x:c r="F12" s="206" t="str">
        <x:v>S07/S08 + S03/S05/S09</x:v>
      </x:c>
      <x:c r="G12" s="206" t="n">
        <x:v>3</x:v>
      </x:c>
      <x:c r="H12" s="206" t="str">
        <x:v>交易所API</x:v>
      </x:c>
      <x:c r="I12" s="206" t="str">
        <x:v>清算推送可能低估绝对量</x:v>
      </x:c>
      <x:c r="J12" s="206" t="str">
        <x:v>否</x:v>
      </x:c>
    </x:row>
    <x:row r="13">
      <x:c r="A13" s="206" t="str">
        <x:v>CME/美国现货开盘与定价窗口</x:v>
      </x:c>
      <x:c r="B13" s="206" t="str">
        <x:v>固定时段</x:v>
      </x:c>
      <x:c r="C13" s="206" t="str">
        <x:v>机构流、Coinbase现货流</x:v>
      </x:c>
      <x:c r="D13" s="206" t="str">
        <x:v>Coinbase溢价与NQ联动</x:v>
      </x:c>
      <x:c r="E13" s="206" t="str">
        <x:v>美元资金与机构执行</x:v>
      </x:c>
      <x:c r="F13" s="206" t="str">
        <x:v>S02/S13/S15</x:v>
      </x:c>
      <x:c r="G13" s="206" t="n">
        <x:v>2</x:v>
      </x:c>
      <x:c r="H13" s="206" t="str">
        <x:v>CME/交易日历</x:v>
      </x:c>
      <x:c r="I13" s="206" t="str">
        <x:v>非事件日影响较温和</x:v>
      </x:c>
      <x:c r="J13" s="206" t="str">
        <x:v>是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70" hidden="0" customWidth="1"/>
    <x:col min="4" max="4" width="48" hidden="0" customWidth="1"/>
    <x:col min="5" max="5" width="14" hidden="0" customWidth="1"/>
  </x:cols>
  <x:sheetData>
    <x:row r="1" ht="28" customHeight="1">
      <x:c r="A1" s="5" t="str">
        <x:v>数据源与研究依据</x:v>
      </x:c>
      <x:c r="B1" s="5"/>
      <x:c r="C1" s="5"/>
      <x:c r="D1" s="5"/>
      <x:c r="E1" s="5"/>
    </x:row>
    <x:row r="2">
      <x:c r="A2" s="11" t="str">
        <x:v>所有链接均为模型搭建时使用的官方API、官方日程或原始研究。API字段和限流规则可能变化，接入前应再次核对。</x:v>
      </x:c>
      <x:c r="B2" s="11"/>
      <x:c r="C2" s="11"/>
      <x:c r="D2" s="11"/>
      <x:c r="E2" s="11"/>
    </x:row>
    <x:row r="4">
      <x:c r="A4" s="27" t="str">
        <x:v>Key</x:v>
      </x:c>
      <x:c r="B4" s="27" t="str">
        <x:v>名称</x:v>
      </x:c>
      <x:c r="C4" s="27" t="str">
        <x:v>URL</x:v>
      </x:c>
      <x:c r="D4" s="27" t="str">
        <x:v>用途/限制</x:v>
      </x:c>
      <x:c r="E4" s="27" t="str">
        <x:v>类型</x:v>
      </x:c>
    </x:row>
    <x:row r="5">
      <x:c r="A5" s="206" t="str">
        <x:v>BIN_FUT</x:v>
      </x:c>
      <x:c r="B5" s="206" t="str">
        <x:v>Binance USDⓈ-M Futures实时成交/行情</x:v>
      </x:c>
      <x:c r="C5" s="240" t="str">
        <x:v>https://developers.binance.com/en/docs/catalog/core-trading-derivatives-trading-usd-s-m-futures/api/ws-streams/market</x:v>
      </x:c>
      <x:c r="D5" s="206" t="str">
        <x:v>官方API；aggTrade 100ms</x:v>
      </x:c>
      <x:c r="E5" s="206" t="str">
        <x:v>官方API/日程</x:v>
      </x:c>
    </x:row>
    <x:row r="6">
      <x:c r="A6" s="206" t="str">
        <x:v>BIN_BOOK</x:v>
      </x:c>
      <x:c r="B6" s="206" t="str">
        <x:v>Binance USDⓈ-M Futures盘口</x:v>
      </x:c>
      <x:c r="C6" s="240" t="str">
        <x:v>https://developers.binance.com/en/docs/catalog/core-trading-derivatives-trading-usd-s-m-futures/api/ws-streams/public</x:v>
      </x:c>
      <x:c r="D6" s="206" t="str">
        <x:v>官方API；depth 100ms、bookTicker实时</x:v>
      </x:c>
      <x:c r="E6" s="206" t="str">
        <x:v>官方API/日程</x:v>
      </x:c>
    </x:row>
    <x:row r="7">
      <x:c r="A7" s="206" t="str">
        <x:v>BIN_LIQ</x:v>
      </x:c>
      <x:c r="B7" s="206" t="str">
        <x:v>Binance USDⓈ-M Futures清算流</x:v>
      </x:c>
      <x:c r="C7" s="240" t="str">
        <x:v>https://developers.binance.com/en/docs/catalog/core-trading-derivatives-trading-usd-s-m-futures/api/ws-streams/market</x:v>
      </x:c>
      <x:c r="D7" s="206" t="str">
        <x:v>官方API；forceOrder每标的最多每秒推送最新快照，可能低估真实总量</x:v>
      </x:c>
      <x:c r="E7" s="206" t="str">
        <x:v>官方API/日程</x:v>
      </x:c>
    </x:row>
    <x:row r="8">
      <x:c r="A8" s="206" t="str">
        <x:v>BIN_OI</x:v>
      </x:c>
      <x:c r="B8" s="206" t="str">
        <x:v>Binance开放兴趣与主动买卖量</x:v>
      </x:c>
      <x:c r="C8" s="240" t="str">
        <x:v>https://developers.binance.com/en/docs/catalog/core-trading-derivatives-trading-usd-s-m-futures/api/rest-api/market-data</x:v>
      </x:c>
      <x:c r="D8" s="206" t="str">
        <x:v>官方API；openInterestHist、takerlongshortRatio支持5m</x:v>
      </x:c>
      <x:c r="E8" s="206" t="str">
        <x:v>官方API/日程</x:v>
      </x:c>
    </x:row>
    <x:row r="9">
      <x:c r="A9" s="206" t="str">
        <x:v>BIN_MARK</x:v>
      </x:c>
      <x:c r="B9" s="206" t="str">
        <x:v>Binance标记价与指数价</x:v>
      </x:c>
      <x:c r="C9" s="240" t="str">
        <x:v>https://developers.binance.com/en/docs/catalog/core-trading-derivatives-trading-usd-s-m-futures/api/ws-streams/market</x:v>
      </x:c>
      <x:c r="D9" s="206" t="str">
        <x:v>官方API；mark price stream</x:v>
      </x:c>
      <x:c r="E9" s="206" t="str">
        <x:v>官方API/日程</x:v>
      </x:c>
    </x:row>
    <x:row r="10">
      <x:c r="A10" s="206" t="str">
        <x:v>CB_WS</x:v>
      </x:c>
      <x:c r="B10" s="206" t="str">
        <x:v>Coinbase Advanced Trade WebSocket</x:v>
      </x:c>
      <x:c r="C10" s="240" t="str">
        <x:v>https://docs.cdp.coinbase.com/coinbase-app/advanced-trade-apis/websocket/websocket-channels</x:v>
      </x:c>
      <x:c r="D10" s="206" t="str">
        <x:v>官方API；level2保证全部更新，market trades/ticker</x:v>
      </x:c>
      <x:c r="E10" s="206" t="str">
        <x:v>官方API/日程</x:v>
      </x:c>
    </x:row>
    <x:row r="11">
      <x:c r="A11" s="206" t="str">
        <x:v>DERIBIT</x:v>
      </x:c>
      <x:c r="B11" s="206" t="str">
        <x:v>Deribit BTC永续盘口/行情</x:v>
      </x:c>
      <x:c r="C11" s="240" t="str">
        <x:v>https://docs.deribit.com/articles/market-data-collection-best-practices</x:v>
      </x:c>
      <x:c r="D11" s="206" t="str">
        <x:v>官方API；100ms聚合或raw流</x:v>
      </x:c>
      <x:c r="E11" s="206" t="str">
        <x:v>官方API/日程</x:v>
      </x:c>
    </x:row>
    <x:row r="12">
      <x:c r="A12" s="206" t="str">
        <x:v>DERIBIT_BOOK</x:v>
      </x:c>
      <x:c r="B12" s="206" t="str">
        <x:v>Deribit L2订阅</x:v>
      </x:c>
      <x:c r="C12" s="240" t="str">
        <x:v>https://docs.deribit.com/subscriptions/orderbook/bookinstrument_namegroupdepthinterval</x:v>
      </x:c>
      <x:c r="D12" s="206" t="str">
        <x:v>官方API；可取1/10/20档、100ms</x:v>
      </x:c>
      <x:c r="E12" s="206" t="str">
        <x:v>官方API/日程</x:v>
      </x:c>
    </x:row>
    <x:row r="13">
      <x:c r="A13" s="206" t="str">
        <x:v>BLS</x:v>
      </x:c>
      <x:c r="B13" s="206" t="str">
        <x:v>美国劳工统计局发布日程</x:v>
      </x:c>
      <x:c r="C13" s="240" t="str">
        <x:v>https://www.bls.gov/schedule/</x:v>
      </x:c>
      <x:c r="D13" s="206" t="str">
        <x:v>CPI、就业、PPI等官方发布时间</x:v>
      </x:c>
      <x:c r="E13" s="206" t="str">
        <x:v>官方API/日程</x:v>
      </x:c>
    </x:row>
    <x:row r="14">
      <x:c r="A14" s="206" t="str">
        <x:v>FED</x:v>
      </x:c>
      <x:c r="B14" s="206" t="str">
        <x:v>美联储FOMC日程</x:v>
      </x:c>
      <x:c r="C14" s="240" t="str">
        <x:v>https://www.federalreserve.gov/monetarypolicy/fomccalendars.htm</x:v>
      </x:c>
      <x:c r="D14" s="206" t="str">
        <x:v>FOMC声明、会议纪要、新闻发布会</x:v>
      </x:c>
      <x:c r="E14" s="206" t="str">
        <x:v>官方API/日程</x:v>
      </x:c>
    </x:row>
    <x:row r="15">
      <x:c r="A15" s="206" t="str">
        <x:v>BEA</x:v>
      </x:c>
      <x:c r="B15" s="206" t="str">
        <x:v>美国经济分析局发布日程</x:v>
      </x:c>
      <x:c r="C15" s="240" t="str">
        <x:v>https://www.bea.gov/news/schedule</x:v>
      </x:c>
      <x:c r="D15" s="206" t="str">
        <x:v>GDP、PCE等官方发布时间</x:v>
      </x:c>
      <x:c r="E15" s="206" t="str">
        <x:v>官方API/日程</x:v>
      </x:c>
    </x:row>
    <x:row r="16">
      <x:c r="A16" s="206" t="str">
        <x:v>CME_BTC</x:v>
      </x:c>
      <x:c r="B16" s="206" t="str">
        <x:v>CME比特币期货</x:v>
      </x:c>
      <x:c r="C16" s="240" t="str">
        <x:v>https://www.cmegroup.com/markets/cryptocurrencies/bitcoin/bitcoin</x:v>
      </x:c>
      <x:c r="D16" s="206" t="str">
        <x:v>机构交易时段与传统市场价格发现参考</x:v>
      </x:c>
      <x:c r="E16" s="206" t="str">
        <x:v>官方API/日程</x:v>
      </x:c>
    </x:row>
    <x:row r="17">
      <x:c r="A17" s="206" t="str">
        <x:v>CME_NQ</x:v>
      </x:c>
      <x:c r="B17" s="206" t="str">
        <x:v>CME E-mini Nasdaq-100</x:v>
      </x:c>
      <x:c r="C17" s="240" t="str">
        <x:v>https://www.cmegroup.com/markets/products</x:v>
      </x:c>
      <x:c r="D17" s="206" t="str">
        <x:v>NQ/MNQ实时数据通常需行情供应商</x:v>
      </x:c>
      <x:c r="E17" s="206" t="str">
        <x:v>官方API/日程</x:v>
      </x:c>
    </x:row>
    <x:row r="18">
      <x:c r="A18" s="206" t="str">
        <x:v>CME_TSY</x:v>
      </x:c>
      <x:c r="B18" s="206" t="str">
        <x:v>CME美国国债期货</x:v>
      </x:c>
      <x:c r="C18" s="240" t="str">
        <x:v>https://www.cmegroup.com/markets/interest-rates/us-treasury/30-year-us-treasury-bond.html</x:v>
      </x:c>
      <x:c r="D18" s="206" t="str">
        <x:v>可用2年期国债期货或实时收益率替代</x:v>
      </x:c>
      <x:c r="E18" s="206" t="str">
        <x:v>官方API/日程</x:v>
      </x:c>
    </x:row>
    <x:row r="19">
      <x:c r="A19" s="206" t="str">
        <x:v>CME_FX</x:v>
      </x:c>
      <x:c r="B19" s="206" t="str">
        <x:v>美元指数/美元代理</x:v>
      </x:c>
      <x:c r="C19" s="240" t="str">
        <x:v>https://www.cmegroup.com/markets/products</x:v>
      </x:c>
      <x:c r="D19" s="206" t="str">
        <x:v>可用DXY或主要美元期货的5分钟收益</x:v>
      </x:c>
      <x:c r="E19" s="206" t="str">
        <x:v>官方API/日程</x:v>
      </x:c>
    </x:row>
    <x:row r="20">
      <x:c r="A20" s="206" t="str">
        <x:v>PD_PAPER</x:v>
      </x:c>
      <x:c r="B20" s="206" t="str">
        <x:v>比特币碎片化市场价格发现研究</x:v>
      </x:c>
      <x:c r="C20" s="240" t="str">
        <x:v>https://papers.ssrn.com/sol3/papers.cfm?abstract_id=5070964</x:v>
      </x:c>
      <x:c r="D20" s="206" t="str">
        <x:v>2025研究：高频数据下Binance现货与永续是主要价格发现来源</x:v>
      </x:c>
      <x:c r="E20" s="206" t="str">
        <x:v>原始研究</x:v>
      </x:c>
    </x:row>
    <x:row r="21">
      <x:c r="A21" s="206" t="str">
        <x:v>OFI_PAPER</x:v>
      </x:c>
      <x:c r="B21" s="206" t="str">
        <x:v>高频比特币跳跃与订单流研究</x:v>
      </x:c>
      <x:c r="C21" s="240" t="str">
        <x:v>https://arxiv.org/abs/1704.08175</x:v>
      </x:c>
      <x:c r="D21" s="206" t="str">
        <x:v>订单流失衡、激进交易者占比和价差扩大可预测跳跃</x:v>
      </x:c>
      <x:c r="E21" s="206" t="str">
        <x:v>原始研究</x:v>
      </x:c>
    </x:row>
    <x:row r="22">
      <x:c r="A22" s="206" t="str">
        <x:v>REG_PAPER</x:v>
      </x:c>
      <x:c r="B22" s="206" t="str">
        <x:v>BIS监管消息事件研究</x:v>
      </x:c>
      <x:c r="C22" s="240" t="str">
        <x:v>https://www.bis.org/publ/qtrpdf/r_qt1809f.htm</x:v>
      </x:c>
      <x:c r="D22" s="206" t="str">
        <x:v>监管消息可在5分钟窗口产生显著价格冲击</x:v>
      </x:c>
      <x:c r="E22" s="206" t="str">
        <x:v>原始研究</x:v>
      </x:c>
    </x:row>
    <x:row r="23">
      <x:c r="A23" s="206" t="str">
        <x:v>MACRO</x:v>
      </x:c>
      <x:c r="B23" s="206" t="str">
        <x:v>宏观数据实际值与市场预期</x:v>
      </x:c>
      <x:c r="C23" s="240" t="str">
        <x:v>https://www.bls.gov/schedule/</x:v>
      </x:c>
      <x:c r="D23" s="206" t="str">
        <x:v>实际值需与彭博/路透等一致预期比较</x:v>
      </x:c>
      <x:c r="E23" s="206" t="str">
        <x:v>官方API/日程</x:v>
      </x:c>
    </x:row>
    <x:row r="24">
      <x:c r="A24" s="206" t="str">
        <x:v>NEWS</x:v>
      </x:c>
      <x:c r="B24" s="206" t="str">
        <x:v>低延迟新闻/官方公告</x:v>
      </x:c>
      <x:c r="C24" s="240" t="str">
        <x:v>https://www.federalreserve.gov/newsevents/calendar.htm</x:v>
      </x:c>
      <x:c r="D24" s="206" t="str">
        <x:v>优先官方发布，其次可靠低延迟新闻源</x:v>
      </x:c>
      <x:c r="E24" s="206" t="str">
        <x:v>官方API/日程</x:v>
      </x:c>
    </x:row>
    <x:row r="25">
      <x:c r="A25" s="206" t="str">
        <x:v>INCIDENT</x:v>
      </x:c>
      <x:c r="B25" s="206" t="str">
        <x:v>交易所状态页/官方公告</x:v>
      </x:c>
      <x:c r="C25" s="240" t="str">
        <x:v>https://developers.binance.com/en/docs</x:v>
      </x:c>
      <x:c r="D25" s="206" t="str">
        <x:v>需按交易所分别接入状态与公告</x:v>
      </x:c>
      <x:c r="E25" s="206" t="str">
        <x:v>官方API/日程</x:v>
      </x:c>
    </x:row>
  </x:sheetData>
  <x:mergeCells>
    <x:mergeCell ref="A1:E1"/>
    <x:mergeCell ref="A2:E2"/>
  </x:mergeCells>
  <x:pageMargins left="0.7" right="0.7" top="0.75" bottom="0.75" header="0.3" footer="0.3"/>
</x:worksheet>
</file>