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1358a8a00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a334fea1394c5f"/>
    <x:sheet xmlns:r="http://schemas.openxmlformats.org/officeDocument/2006/relationships" name="Dashboard" sheetId="2" r:id="R7ffbd65698c04acd"/>
    <x:sheet xmlns:r="http://schemas.openxmlformats.org/officeDocument/2006/relationships" name="Assumptions" sheetId="3" r:id="R09445b0b401b415e"/>
    <x:sheet xmlns:r="http://schemas.openxmlformats.org/officeDocument/2006/relationships" name="System_Map" sheetId="4" r:id="R1ebd3cb4dde8413f"/>
    <x:sheet xmlns:r="http://schemas.openxmlformats.org/officeDocument/2006/relationships" name="Data_QA" sheetId="5" r:id="R6957acdb72c34d55"/>
    <x:sheet xmlns:r="http://schemas.openxmlformats.org/officeDocument/2006/relationships" name="Time_Splits" sheetId="6" r:id="R9759836ab3674dce"/>
    <x:sheet xmlns:r="http://schemas.openxmlformats.org/officeDocument/2006/relationships" name="Labeling" sheetId="7" r:id="Rd6bf465749474df2"/>
    <x:sheet xmlns:r="http://schemas.openxmlformats.org/officeDocument/2006/relationships" name="Feature_Library" sheetId="8" r:id="R8557d723dddd4863"/>
    <x:sheet xmlns:r="http://schemas.openxmlformats.org/officeDocument/2006/relationships" name="MultiFactor_Model" sheetId="9" r:id="R5bf46dfeb1b142e8"/>
    <x:sheet xmlns:r="http://schemas.openxmlformats.org/officeDocument/2006/relationships" name="TS_GameTheory" sheetId="10" r:id="R6fd3ec239efa4b99"/>
    <x:sheet xmlns:r="http://schemas.openxmlformats.org/officeDocument/2006/relationships" name="Backtest_Template" sheetId="11" r:id="Rfa98908beeb5437f"/>
    <x:sheet xmlns:r="http://schemas.openxmlformats.org/officeDocument/2006/relationships" name="Asymmetry_Kelly" sheetId="12" r:id="R28f011f798d340da"/>
    <x:sheet xmlns:r="http://schemas.openxmlformats.org/officeDocument/2006/relationships" name="Hyperparam_Tuning" sheetId="13" r:id="R23fb3ecbc1854ae9"/>
    <x:sheet xmlns:r="http://schemas.openxmlformats.org/officeDocument/2006/relationships" name="GoLive_Gates" sheetId="14" r:id="R3b80df5386f445e0"/>
    <x:sheet xmlns:r="http://schemas.openxmlformats.org/officeDocument/2006/relationships" name="Risk_Execution" sheetId="15" r:id="R5c7fa9e7da574a19"/>
    <x:sheet xmlns:r="http://schemas.openxmlformats.org/officeDocument/2006/relationships" name="Monitoring" sheetId="16" r:id="R5bb8e767cbaf43b2"/>
    <x:sheet xmlns:r="http://schemas.openxmlformats.org/officeDocument/2006/relationships" name="Experiment_Log" sheetId="17" r:id="R9ab71701e4fc4903"/>
    <x:sheet xmlns:r="http://schemas.openxmlformats.org/officeDocument/2006/relationships" name="Sources" sheetId="18" r:id="R54eac084756b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0.00%"/>
    <x:numFmt numFmtId="202" formatCode="0.0000"/>
    <x:numFmt numFmtId="203" formatCode="0.0x"/>
    <x:numFmt numFmtId="204" formatCode="0%"/>
    <x:numFmt numFmtId="205" formatCode="0.00"/>
    <x:numFmt numFmtId="206" formatCode="yyyy-mm-dd hh:mm:ss"/>
    <x:numFmt numFmtId="207" formatCode="0.000"/>
    <x:numFmt numFmtId="208" formatCode="#,##0.00;[Red](#,##0.00);-"/>
    <x:numFmt numFmtId="209" formatCode="yyyy-mm-dd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205" fontId="3" fillId="4" borderId="0" xfId="0" applyNumberFormat="1" applyFont="1" applyFill="1" applyBorder="1" applyAlignment="1">
      <x:alignment wrapText="1"/>
    </x:xf>
    <x:xf numFmtId="205" fontId="3" fillId="4" borderId="1" xfId="0" applyNumberFormat="1" applyFont="1" applyFill="1" applyBorder="1" applyAlignment="1">
      <x:alignment wrapText="1"/>
    </x:xf>
    <x:xf numFmtId="205" fontId="3" fillId="4" borderId="0" xfId="0" applyNumberFormat="1" applyFont="1" applyFill="1" applyBorder="1"/>
    <x:xf numFmtId="205" fontId="3" fillId="4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7" fontId="4" fillId="0" borderId="0" xfId="0" applyNumberFormat="1" applyFont="1" applyFill="1" applyBorder="1" applyAlignment="1">
      <x:alignment wrapText="1"/>
    </x:xf>
    <x:xf numFmtId="207" fontId="4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1" xfId="0" applyNumberFormat="1" applyFont="1" applyFill="1" applyBorder="1"/>
  </x:cellXfs>
  <x:cellStyles count="1">
    <x:cellStyle name="Normal" xfId="0"/>
  </x:cellStyles>
  <x:dxfs count="16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7d90e8f5a48a8" /><Relationship Type="http://schemas.openxmlformats.org/officeDocument/2006/relationships/theme" Target="/xl/theme/theme1.xml" Id="R5f7fec914d5b466e" /><Relationship Type="http://schemas.openxmlformats.org/officeDocument/2006/relationships/sharedStrings" Target="/xl/sharedStrings.xml" Id="R5d4b596fc7864301" /><Relationship Type="http://schemas.openxmlformats.org/officeDocument/2006/relationships/worksheet" Target="/xl/worksheets/sheet1.xml" Id="Rd2a334fea1394c5f" /><Relationship Type="http://schemas.openxmlformats.org/officeDocument/2006/relationships/worksheet" Target="/xl/worksheets/sheet2.xml" Id="R7ffbd65698c04acd" /><Relationship Type="http://schemas.openxmlformats.org/officeDocument/2006/relationships/worksheet" Target="/xl/worksheets/sheet3.xml" Id="R09445b0b401b415e" /><Relationship Type="http://schemas.openxmlformats.org/officeDocument/2006/relationships/worksheet" Target="/xl/worksheets/sheet4.xml" Id="R1ebd3cb4dde8413f" /><Relationship Type="http://schemas.openxmlformats.org/officeDocument/2006/relationships/worksheet" Target="/xl/worksheets/sheet5.xml" Id="R6957acdb72c34d55" /><Relationship Type="http://schemas.openxmlformats.org/officeDocument/2006/relationships/worksheet" Target="/xl/worksheets/sheet6.xml" Id="R9759836ab3674dce" /><Relationship Type="http://schemas.openxmlformats.org/officeDocument/2006/relationships/worksheet" Target="/xl/worksheets/sheet7.xml" Id="Rd6bf465749474df2" /><Relationship Type="http://schemas.openxmlformats.org/officeDocument/2006/relationships/worksheet" Target="/xl/worksheets/sheet8.xml" Id="R8557d723dddd4863" /><Relationship Type="http://schemas.openxmlformats.org/officeDocument/2006/relationships/worksheet" Target="/xl/worksheets/sheet9.xml" Id="R5bf46dfeb1b142e8" /><Relationship Type="http://schemas.openxmlformats.org/officeDocument/2006/relationships/worksheet" Target="/xl/worksheets/sheet10.xml" Id="R6fd3ec239efa4b99" /><Relationship Type="http://schemas.openxmlformats.org/officeDocument/2006/relationships/worksheet" Target="/xl/worksheets/sheet11.xml" Id="Rfa98908beeb5437f" /><Relationship Type="http://schemas.openxmlformats.org/officeDocument/2006/relationships/worksheet" Target="/xl/worksheets/sheet12.xml" Id="R28f011f798d340da" /><Relationship Type="http://schemas.openxmlformats.org/officeDocument/2006/relationships/worksheet" Target="/xl/worksheets/sheet13.xml" Id="R23fb3ecbc1854ae9" /><Relationship Type="http://schemas.openxmlformats.org/officeDocument/2006/relationships/worksheet" Target="/xl/worksheets/sheet14.xml" Id="R3b80df5386f445e0" /><Relationship Type="http://schemas.openxmlformats.org/officeDocument/2006/relationships/worksheet" Target="/xl/worksheets/sheet15.xml" Id="R5c7fa9e7da574a19" /><Relationship Type="http://schemas.openxmlformats.org/officeDocument/2006/relationships/worksheet" Target="/xl/worksheets/sheet16.xml" Id="R5bb8e767cbaf43b2" /><Relationship Type="http://schemas.openxmlformats.org/officeDocument/2006/relationships/worksheet" Target="/xl/worksheets/sheet17.xml" Id="R9ab71701e4fc4903" /><Relationship Type="http://schemas.openxmlformats.org/officeDocument/2006/relationships/worksheet" Target="/xl/worksheets/sheet18.xml" Id="R54eac084756b49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bf8cc7d1b94fe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66b5807018940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Bankroll after trade sequence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Loss / Win ratio grows nonlinearly as p approaches 1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Win profit/share</c:v>
          </c:tx>
          <c:cat>
            <c:strRef>
              <c:f>'Asymmetry_Kelly'!$A$4:$A$53</c:f>
              <c:strCache>
                <c:ptCount val="0"/>
              </c:strCache>
            </c:strRef>
          </c:cat>
          <c:val>
            <c:numRef>
              <c:f>'Asymmetry_Kelly'!$B$4:$B$53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Loss/share</c:v>
          </c:tx>
          <c:cat>
            <c:strRef>
              <c:f>'Asymmetry_Kelly'!$A$4:$A$53</c:f>
              <c:strCache>
                <c:ptCount val="0"/>
              </c:strCache>
            </c:strRef>
          </c:cat>
          <c:val>
            <c:numRef>
              <c:f>'Asymmetry_Kelly'!$C$4:$C$53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Loss/Win</c:v>
          </c:tx>
          <c:cat>
            <c:strRef>
              <c:f>'Asymmetry_Kelly'!$A$4:$A$53</c:f>
              <c:strCache>
                <c:ptCount val="0"/>
              </c:strCache>
            </c:strRef>
          </c:cat>
          <c:val>
            <c:numRef>
              <c:f>'Asymmetry_Kelly'!$D$4:$D$53</c:f>
              <c:numCache>
                <c:formatCode>0.0x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bf8cc7d1b94fe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6b5807018940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3:C9" headerRowCount="1">
  <x:tableColumns count="3">
    <x:tableColumn id="1" name="模块"/>
    <x:tableColumn id="2" name="这版解决的问题"/>
    <x:tableColumn id="3" name="输出物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3:G26" headerRowCount="1">
  <x:tableColumns count="7">
    <x:tableColumn id="1" name="Section"/>
    <x:tableColumn id="2" name="Parameter"/>
    <x:tableColumn id="3" name="Base value"/>
    <x:tableColumn id="4" name="Unit"/>
    <x:tableColumn id="5" name="Editable?"/>
    <x:tableColumn id="6" name="Notes"/>
    <x:tableColumn id="7" name="Source / Owner"/>
  </x:tableColumns>
  <x:tableStyleInfo name="TableStyleMedium2" showRowStripes="1"/>
</x:table>
</file>

<file path=xl/tables/table3.xml><?xml version="1.0" encoding="utf-8"?>
<x:table xmlns:x="http://schemas.openxmlformats.org/spreadsheetml/2006/main" id="3" name="SystemMapTable" displayName="SystemMapTable" ref="A3:F12" headerRowCount="1">
  <x:tableColumns count="6">
    <x:tableColumn id="1" name="Layer"/>
    <x:tableColumn id="2" name="目标"/>
    <x:tableColumn id="3" name="输入"/>
    <x:tableColumn id="4" name="核心方法"/>
    <x:tableColumn id="5" name="产出"/>
    <x:tableColumn id="6" name="硬性风控/验收"/>
  </x:tableColumns>
  <x:tableStyleInfo name="TableStyleMedium2" showRowStripes="1"/>
</x:table>
</file>

<file path=xl/tables/table4.xml><?xml version="1.0" encoding="utf-8"?>
<x:table xmlns:x="http://schemas.openxmlformats.org/spreadsheetml/2006/main" id="4" name="DataSchemaTable" displayName="DataSchemaTable" ref="A4:H11" headerRowCount="1">
  <x:tableColumns count="8">
    <x:tableColumn id="1" name="Table"/>
    <x:tableColumn id="2" name="Field"/>
    <x:tableColumn id="3" name="Type"/>
    <x:tableColumn id="4" name="Frequency"/>
    <x:tableColumn id="5" name="Required?"/>
    <x:tableColumn id="6" name="Use"/>
    <x:tableColumn id="7" name="Leakage risk"/>
    <x:tableColumn id="8" name="QA check"/>
  </x:tableColumns>
  <x:tableStyleInfo name="TableStyleMedium2" showRowStripes="1"/>
</x:table>
</file>

<file path=xl/tables/table5.xml><?xml version="1.0" encoding="utf-8"?>
<x:table xmlns:x="http://schemas.openxmlformats.org/spreadsheetml/2006/main" id="5" name="QAChecklistTable" displayName="QAChecklistTable" ref="A15:D21" headerRowCount="1">
  <x:tableColumns count="4">
    <x:tableColumn id="1" name="Check"/>
    <x:tableColumn id="2" name="Formula / Method"/>
    <x:tableColumn id="3" name="Pass threshold"/>
    <x:tableColumn id="4" name="Action if fail"/>
  </x:tableColumns>
  <x:tableStyleInfo name="TableStyleMedium2" showRowStripes="1"/>
</x:table>
</file>

<file path=xl/tables/table6.xml><?xml version="1.0" encoding="utf-8"?>
<x:table xmlns:x="http://schemas.openxmlformats.org/spreadsheetml/2006/main" id="6" name="SplitRulesTable" displayName="SplitRulesTable" ref="A12:C17" headerRowCount="1">
  <x:tableColumns count="3">
    <x:tableColumn id="1" name="Rule"/>
    <x:tableColumn id="2" name="Description"/>
    <x:tableColumn id="3" name="Why it matters"/>
  </x:tableColumns>
  <x:tableStyleInfo name="TableStyleMedium2" showRowStripes="1"/>
</x:table>
</file>

<file path=xl/tables/table7.xml><?xml version="1.0" encoding="utf-8"?>
<x:table xmlns:x="http://schemas.openxmlformats.org/spreadsheetml/2006/main" id="7" name="LabelingTable" displayName="LabelingTable" ref="A3:F8" headerRowCount="1">
  <x:tableColumns count="6">
    <x:tableColumn id="1" name="Label"/>
    <x:tableColumn id="2" name="Definition"/>
    <x:tableColumn id="3" name="Formula idea"/>
    <x:tableColumn id="4" name="Use case"/>
    <x:tableColumn id="5" name="Pros"/>
    <x:tableColumn id="6" name="Cons / Pitfall"/>
  </x:tableColumns>
  <x:tableStyleInfo name="TableStyleMedium2" showRowStripes="1"/>
</x:table>
</file>

<file path=xl/tables/table8.xml><?xml version="1.0" encoding="utf-8"?>
<x:table xmlns:x="http://schemas.openxmlformats.org/spreadsheetml/2006/main" id="8" name="FeatureLibraryTable" displayName="FeatureLibraryTable" ref="A3:J18" headerRowCount="1">
  <x:tableColumns count="10">
    <x:tableColumn id="1" name="Factor family"/>
    <x:tableColumn id="2" name="Feature"/>
    <x:tableColumn id="3" name="Definition"/>
    <x:tableColumn id="4" name="Lookbacks / Params"/>
    <x:tableColumn id="5" name="Expected sign"/>
    <x:tableColumn id="6" name="Model role"/>
    <x:tableColumn id="7" name="Leakage guard"/>
    <x:tableColumn id="8" name="Tune?"/>
    <x:tableColumn id="9" name="Priority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odelPrinciplesTable" displayName="ModelPrinciplesTable" ref="A32:B37" headerRowCount="1">
  <x:tableColumns count="2">
    <x:tableColumn id="1" name="Principle"/>
    <x:tableColumn id="2" name="Implementation"/>
  </x:tableColumns>
  <x:tableStyleInfo name="TableStyleMedium2" showRowStripes="1"/>
</x:table>
</file>

<file path=xl/tables/table10.xml><?xml version="1.0" encoding="utf-8"?>
<x:table xmlns:x="http://schemas.openxmlformats.org/spreadsheetml/2006/main" id="10" name="TimeSeriesMethodsTable" displayName="TimeSeriesMethodsTable" ref="A4:F10" headerRowCount="1">
  <x:tableColumns count="6">
    <x:tableColumn id="1" name="Method"/>
    <x:tableColumn id="2" name="Where used"/>
    <x:tableColumn id="3" name="Inputs"/>
    <x:tableColumn id="4" name="Output"/>
    <x:tableColumn id="5" name="Tune params"/>
    <x:tableColumn id="6" name="上线注意"/>
  </x:tableColumns>
  <x:tableStyleInfo name="TableStyleMedium2" showRowStripes="1"/>
</x:table>
</file>

<file path=xl/tables/table11.xml><?xml version="1.0" encoding="utf-8"?>
<x:table xmlns:x="http://schemas.openxmlformats.org/spreadsheetml/2006/main" id="11" name="GameTheoryTable" displayName="GameTheoryTable" ref="A15:D21" headerRowCount="1">
  <x:tableColumns count="4">
    <x:tableColumn id="1" name="Concept"/>
    <x:tableColumn id="2" name="Trading implication"/>
    <x:tableColumn id="3" name="Metric / Feature"/>
    <x:tableColumn id="4" name="Action rule"/>
  </x:tableColumns>
  <x:tableStyleInfo name="TableStyleMedium2" showRowStripes="1"/>
</x:table>
</file>

<file path=xl/tables/table12.xml><?xml version="1.0" encoding="utf-8"?>
<x:table xmlns:x="http://schemas.openxmlformats.org/spreadsheetml/2006/main" id="12" name="BacktestTable" displayName="BacktestTable" ref="A15:X515" headerRowCount="1">
  <x:tableColumns count="24">
    <x:tableColumn id="1" name="Timestamp"/>
    <x:tableColumn id="2" name="Market_ID"/>
    <x:tableColumn id="3" name="Event_End"/>
    <x:tableColumn id="4" name="Seconds_To_Resolution"/>
    <x:tableColumn id="5" name="Side"/>
    <x:tableColumn id="6" name="Entry_Price"/>
    <x:tableColumn id="7" name="Exit_Price_if_MTM"/>
    <x:tableColumn id="8" name="q_hat_yes"/>
    <x:tableColumn id="9" name="q_side"/>
    <x:tableColumn id="10" name="Cost_per_share"/>
    <x:tableColumn id="11" name="Edge_per_share"/>
    <x:tableColumn id="12" name="Kelly_Full"/>
    <x:tableColumn id="13" name="Kelly_Used"/>
    <x:tableColumn id="14" name="Bankroll_Before"/>
    <x:tableColumn id="15" name="Stake_USDC"/>
    <x:tableColumn id="16" name="Shares"/>
    <x:tableColumn id="17" name="Outcome_Yes"/>
    <x:tableColumn id="18" name="Exit_Mode"/>
    <x:tableColumn id="19" name="Gross_PnL"/>
    <x:tableColumn id="20" name="Cost_USDC"/>
    <x:tableColumn id="21" name="Net_PnL"/>
    <x:tableColumn id="22" name="Bankroll_After"/>
    <x:tableColumn id="23" name="Drawdown"/>
    <x:tableColumn id="24" name="Trade_Flag"/>
  </x:tableColumns>
  <x:tableStyleInfo name="TableStyleMedium2" showRowStripes="1"/>
</x:table>
</file>

<file path=xl/tables/table13.xml><?xml version="1.0" encoding="utf-8"?>
<x:table xmlns:x="http://schemas.openxmlformats.org/spreadsheetml/2006/main" id="13" name="HyperparamSpaceTable" displayName="HyperparamSpaceTable" ref="A4:F15" headerRowCount="1">
  <x:tableColumns count="6">
    <x:tableColumn id="1" name="Module"/>
    <x:tableColumn id="2" name="Hyperparameter"/>
    <x:tableColumn id="3" name="Search space"/>
    <x:tableColumn id="4" name="Default"/>
    <x:tableColumn id="5" name="Why it matters"/>
    <x:tableColumn id="6" name="Validation metric"/>
  </x:tableColumns>
  <x:tableStyleInfo name="TableStyleMedium2" showRowStripes="1"/>
</x:table>
</file>

<file path=xl/tables/table14.xml><?xml version="1.0" encoding="utf-8"?>
<x:table xmlns:x="http://schemas.openxmlformats.org/spreadsheetml/2006/main" id="14" name="ObjectiveTable" displayName="ObjectiveTable" ref="A19:E24" headerRowCount="1">
  <x:tableColumns count="5">
    <x:tableColumn id="1" name="Objective component"/>
    <x:tableColumn id="2" name="Weight"/>
    <x:tableColumn id="3" name="Direction"/>
    <x:tableColumn id="4" name="Definition"/>
    <x:tableColumn id="5" name="Reason"/>
  </x:tableColumns>
  <x:tableStyleInfo name="TableStyleMedium2" showRowStripes="1"/>
</x:table>
</file>

<file path=xl/tables/table15.xml><?xml version="1.0" encoding="utf-8"?>
<x:table xmlns:x="http://schemas.openxmlformats.org/spreadsheetml/2006/main" id="15" name="TuningProcessTable" displayName="TuningProcessTable" ref="A28:C35" headerRowCount="1">
  <x:tableColumns count="3">
    <x:tableColumn id="1" name="Step"/>
    <x:tableColumn id="2" name="Action"/>
    <x:tableColumn id="3" name="Gate"/>
  </x:tableColumns>
  <x:tableStyleInfo name="TableStyleMedium2" showRowStripes="1"/>
</x:table>
</file>

<file path=xl/tables/table16.xml><?xml version="1.0" encoding="utf-8"?>
<x:table xmlns:x="http://schemas.openxmlformats.org/spreadsheetml/2006/main" id="16" name="GoLiveGatesTable" displayName="GoLiveGatesTable" ref="A3:G9" headerRowCount="1">
  <x:tableColumns count="7">
    <x:tableColumn id="1" name="Stage"/>
    <x:tableColumn id="2" name="Minimum duration / sample"/>
    <x:tableColumn id="3" name="Current input"/>
    <x:tableColumn id="4" name="Gate"/>
    <x:tableColumn id="5" name="Pass?"/>
    <x:tableColumn id="6" name="Why"/>
    <x:tableColumn id="7" name="If fail"/>
  </x:tableColumns>
  <x:tableStyleInfo name="TableStyleMedium2" showRowStripes="1"/>
</x:table>
</file>

<file path=xl/tables/table17.xml><?xml version="1.0" encoding="utf-8"?>
<x:table xmlns:x="http://schemas.openxmlformats.org/spreadsheetml/2006/main" id="17" name="RiskExecutionTable" displayName="RiskExecutionTable" ref="A3:E13" headerRowCount="1">
  <x:tableColumns count="5">
    <x:tableColumn id="1" name="Risk / Rule"/>
    <x:tableColumn id="2" name="Trigger"/>
    <x:tableColumn id="3" name="Action"/>
    <x:tableColumn id="4" name="Rationale"/>
    <x:tableColumn id="5" name="Implementation"/>
  </x:tableColumns>
  <x:tableStyleInfo name="TableStyleMedium2" showRowStripes="1"/>
</x:table>
</file>

<file path=xl/tables/table18.xml><?xml version="1.0" encoding="utf-8"?>
<x:table xmlns:x="http://schemas.openxmlformats.org/spreadsheetml/2006/main" id="18" name="MonitoringTable" displayName="MonitoringTable" ref="A3:G11" headerRowCount="1">
  <x:tableColumns count="7">
    <x:tableColumn id="1" name="Metric"/>
    <x:tableColumn id="2" name="Bucket"/>
    <x:tableColumn id="3" name="Frequency"/>
    <x:tableColumn id="4" name="Formula / Method"/>
    <x:tableColumn id="5" name="Green"/>
    <x:tableColumn id="6" name="Yellow"/>
    <x:tableColumn id="7" name="Red action"/>
  </x:tableColumns>
  <x:tableStyleInfo name="TableStyleMedium2" showRowStripes="1"/>
</x:table>
</file>

<file path=xl/tables/table19.xml><?xml version="1.0" encoding="utf-8"?>
<x:table xmlns:x="http://schemas.openxmlformats.org/spreadsheetml/2006/main" id="19" name="ExperimentLogTable" displayName="ExperimentLogTable" ref="A3:P204" headerRowCount="1">
  <x:tableColumns count="16">
    <x:tableColumn id="1" name="Date"/>
    <x:tableColumn id="2" name="Run_ID"/>
    <x:tableColumn id="3" name="Data_Version"/>
    <x:tableColumn id="4" name="Model_Version"/>
    <x:tableColumn id="5" name="Feature_Set"/>
    <x:tableColumn id="6" name="Split_ID"/>
    <x:tableColumn id="7" name="Params_Changed"/>
    <x:tableColumn id="8" name="OOS_LogLoss_Delta"/>
    <x:tableColumn id="9" name="OOS_Brier_Delta"/>
    <x:tableColumn id="10" name="Net_PnL"/>
    <x:tableColumn id="11" name="Max_DD"/>
    <x:tableColumn id="12" name="Extreme_EV"/>
    <x:tableColumn id="13" name="ECE"/>
    <x:tableColumn id="14" name="Decision"/>
    <x:tableColumn id="15" name="Reviewer"/>
    <x:tableColumn id="16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SourcesTable" displayName="SourcesTable" ref="A3:E12" headerRowCount="1">
  <x:tableColumns count="5">
    <x:tableColumn id="1" name="Source"/>
    <x:tableColumn id="2" name="URL"/>
    <x:tableColumn id="3" name="Used for"/>
    <x:tableColumn id="4" name="Reliability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24c4311a58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5f008cf115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1c93c396f4e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ba150bb23f4160" /><Relationship Type="http://schemas.openxmlformats.org/officeDocument/2006/relationships/table" Target="/xl/tables/table5.xml" Id="R34e543ff285149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01402a5ee2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4a53aaadd49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7991fd367e842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4fb88a17bae49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1d6bf436d854308" /><Relationship Type="http://schemas.openxmlformats.org/officeDocument/2006/relationships/table" Target="/xl/tables/table11.xml" Id="R591abbce037e46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f20d4fb88443c3" /><Relationship Type="http://schemas.openxmlformats.org/officeDocument/2006/relationships/table" Target="/xl/tables/table12.xml" Id="R4672ea4318ac4c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fec4086ec0644d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de77b3c461d4031" /><Relationship Type="http://schemas.openxmlformats.org/officeDocument/2006/relationships/table" Target="/xl/tables/table14.xml" Id="Rb369a7a6d33849fd" /><Relationship Type="http://schemas.openxmlformats.org/officeDocument/2006/relationships/table" Target="/xl/tables/table15.xml" Id="R1f4a96d05c9645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4ea4b24a8ef34fd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9abe25a3d4654c7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f071ad481bc742e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3bb04d44e9d34e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0.xml" Id="R0ad0443980e149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5" t="str">
        <x:v>Polymarket 5分钟二元事件交易系统 V2｜从因子研究到上线风控</x:v>
      </x:c>
      <x:c r="B1" s="5"/>
      <x:c r="C1" s="5"/>
      <x:c r="D1" s="5"/>
      <x:c r="E1" s="5"/>
      <x:c r="F1" s="5"/>
      <x:c r="G1" s="5"/>
      <x:c r="H1" s="5"/>
      <x:c r="I1" s="5"/>
    </x:row>
    <x:row r="3" ht="32" customHeight="1">
      <x:c r="A3" s="13" t="str">
        <x:v>模块</x:v>
      </x:c>
      <x:c r="B3" s="13" t="str">
        <x:v>这版解决的问题</x:v>
      </x:c>
      <x:c r="C3" s="13" t="str">
        <x:v>输出物</x:v>
      </x:c>
    </x:row>
    <x:row r="4">
      <x:c r="A4" s="18" t="str">
        <x:v>核心转变</x:v>
      </x:c>
      <x:c r="B4" s="18" t="str">
        <x:v>从“交易 BTC”改为“交易 Polymarket 二元 payoff”：价格 p 是隐含概率/赔率，收益不对称，策略目标是校准概率 q 与执行后 edge。</x:v>
      </x:c>
      <x:c r="C4" s="18" t="str">
        <x:v>全工作簿公式与风控均围绕 q、p、费用、滑点、Kelly、尾部损失设计。</x:v>
      </x:c>
    </x:row>
    <x:row r="5">
      <x:c r="A5" s="18" t="str">
        <x:v>胜率 × 赔率</x:v>
      </x:c>
      <x:c r="B5" s="18" t="str">
        <x:v>0.95 买 YES 的胜率不够高会被一次亏损抹掉；必须用 EV、log growth、回撤和极端价格桶单独评估。</x:v>
      </x:c>
      <x:c r="C5" s="18" t="str">
        <x:v>Asymmetry_Kelly、Backtest_Template</x:v>
      </x:c>
    </x:row>
    <x:row r="6">
      <x:c r="A6" s="18" t="str">
        <x:v>多因子模型</x:v>
      </x:c>
      <x:c r="B6" s="18" t="str">
        <x:v>因子不是简单相加交易信号，而是估计 q=P(YES resolves true | 信息集)，再做概率校准、交易门槛和仓位。</x:v>
      </x:c>
      <x:c r="C6" s="18" t="str">
        <x:v>MultiFactor_Model、Hyperparam_Tuning</x:v>
      </x:c>
    </x:row>
    <x:row r="7">
      <x:c r="A7" s="18" t="str">
        <x:v>时间序列</x:v>
      </x:c>
      <x:c r="B7" s="18" t="str">
        <x:v>秒级数据适合提取短窗动量、状态切换、订单流、波动、距离阈值/到期时间等特征；验证必须避免未来函数。</x:v>
      </x:c>
      <x:c r="C7" s="18" t="str">
        <x:v>Feature_Library、TS_GameTheory</x:v>
      </x:c>
    </x:row>
    <x:row r="8">
      <x:c r="A8" s="18" t="str">
        <x:v>博弈论/微观结构</x:v>
      </x:c>
      <x:c r="B8" s="18" t="str">
        <x:v>对手盘、盘口深度、逆向选择、等待/抢跑、maker/taker 角色会决定能否把理论 edge 变成成交后 edge。</x:v>
      </x:c>
      <x:c r="C8" s="18" t="str">
        <x:v>TS_GameTheory、Risk_Execution</x:v>
      </x:c>
    </x:row>
    <x:row r="9">
      <x:c r="A9" s="18" t="str">
        <x:v>上线门槛</x:v>
      </x:c>
      <x:c r="B9" s="18" t="str">
        <x:v>不能只看一次回测；需要 walk-forward、校准、分桶稳定性、纸上交易、小资金灰度和熔断规则。</x:v>
      </x:c>
      <x:c r="C9" s="18" t="str">
        <x:v>GoLive_Gates、Monitoring</x:v>
      </x:c>
    </x:row>
    <x:row r="12" ht="22" customHeight="1">
      <x:c r="A12" s="23" t="str">
        <x:v>推荐阅读顺序</x:v>
      </x:c>
      <x:c r="B12" s="23"/>
      <x:c r="C12" s="23"/>
      <x:c r="D12" s="23"/>
      <x:c r="E12" s="23"/>
      <x:c r="F12" s="23"/>
      <x:c r="G12" s="23"/>
      <x:c r="H12" s="23"/>
      <x:c r="I12" s="23"/>
    </x:row>
    <x:row r="13">
      <x:c r="A13" s="18" t="str">
        <x:v>1</x:v>
      </x:c>
      <x:c r="B13" s="18" t="str">
        <x:v>Assumptions</x:v>
      </x:c>
      <x:c r="C13" s="18" t="str">
        <x:v>先填资金、费用、滑点、最大仓位、上线门槛。</x:v>
      </x:c>
      <x:c r="D13" t="str"/>
      <x:c r="E13" t="str"/>
      <x:c r="F13" t="str"/>
      <x:c r="G13" t="str"/>
      <x:c r="H13" t="str"/>
      <x:c r="I13" t="str"/>
    </x:row>
    <x:row r="14">
      <x:c r="A14" s="18" t="str">
        <x:v>2</x:v>
      </x:c>
      <x:c r="B14" s="18" t="str">
        <x:v>04_Market_Mechanics</x:v>
      </x:c>
      <x:c r="C14" s="18" t="str">
        <x:v>理解 p/q/赔率/二元 payoff 的公式。</x:v>
      </x:c>
      <x:c r="D14" t="str"/>
      <x:c r="E14" t="str"/>
      <x:c r="F14" t="str"/>
      <x:c r="G14" t="str"/>
      <x:c r="H14" t="str"/>
      <x:c r="I14" t="str"/>
    </x:row>
    <x:row r="15">
      <x:c r="A15" s="18" t="str">
        <x:v>3</x:v>
      </x:c>
      <x:c r="B15" s="18" t="str">
        <x:v>06→08</x:v>
      </x:c>
      <x:c r="C15" s="18" t="str">
        <x:v>按特征库构建因子，决定多因子+时间序列+博弈论建模方案。</x:v>
      </x:c>
      <x:c r="D15" t="str"/>
      <x:c r="E15" t="str"/>
      <x:c r="F15" t="str"/>
      <x:c r="G15" t="str"/>
      <x:c r="H15" t="str"/>
      <x:c r="I15" t="str"/>
    </x:row>
    <x:row r="16">
      <x:c r="A16" s="18" t="str">
        <x:v>4</x:v>
      </x:c>
      <x:c r="B16" s="18" t="str">
        <x:v>09→11</x:v>
      </x:c>
      <x:c r="C16" s="18" t="str">
        <x:v>跑回测、边界价格敏感性、调参和因子消融。</x:v>
      </x:c>
      <x:c r="D16" t="str"/>
      <x:c r="E16" t="str"/>
      <x:c r="F16" t="str"/>
      <x:c r="G16" t="str"/>
      <x:c r="H16" t="str"/>
      <x:c r="I16" t="str"/>
    </x:row>
    <x:row r="17">
      <x:c r="A17" s="18" t="str">
        <x:v>5</x:v>
      </x:c>
      <x:c r="B17" s="18" t="str">
        <x:v>12→14</x:v>
      </x:c>
      <x:c r="C17" s="18" t="str">
        <x:v>只有所有上线门槛通过后，才进入小资金灰度与监控。</x:v>
      </x:c>
      <x:c r="D17" t="str"/>
      <x:c r="E17" t="str"/>
      <x:c r="F17" t="str"/>
      <x:c r="G17" t="str"/>
      <x:c r="H17" t="str"/>
      <x:c r="I17" t="str"/>
    </x:row>
    <x:row r="18">
      <x:c r="A18" s="18" t="str">
        <x:v>注意</x:v>
      </x:c>
      <x:c r="B18" s="18" t="str">
        <x:v>本文件是交易系统模板，不是投资建议；手续费、地区可用性和市场规则必须以 Polymarket 当前官方文档/API 为准。</x:v>
      </x:c>
      <x:c r="C18" s="18" t="str"/>
      <x:c r="D18" t="str"/>
      <x:c r="E18" t="str"/>
      <x:c r="F18" t="str"/>
      <x:c r="G18" t="str"/>
      <x:c r="H18" t="str"/>
      <x:c r="I18" t="str"/>
    </x:row>
  </x:sheetData>
  <x:mergeCells>
    <x:mergeCell ref="A1:I1"/>
    <x:mergeCell ref="A12:I12"/>
  </x:mergeCells>
  <x:pageMargins left="0.7" right="0.7" top="0.75" bottom="0.75" header="0.3" footer="0.3"/>
  <x:tableParts count="1">
    <x:tablePart xmlns:r="http://schemas.openxmlformats.org/officeDocument/2006/relationships" r:id="R8324c4311a5843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5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6" hidden="0" customWidth="1"/>
    <x:col min="9" max="9" width="12" hidden="0" customWidth="1"/>
    <x:col min="10" max="10" width="28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Dashboard｜上线准备度、边界价格风险、当前决策模板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3" t="str">
        <x:v>关键输入/结果</x:v>
      </x:c>
      <x:c r="B3" s="13" t="str">
        <x:v>数值</x:v>
      </x:c>
      <x:c r="C3" s="13" t="str">
        <x:v>单位</x:v>
      </x:c>
      <x:c r="D3" s="13" t="str">
        <x:v>说明</x:v>
      </x:c>
      <x:c r="F3" s="13" t="str">
        <x:v>上线门槛</x:v>
      </x:c>
      <x:c r="G3" s="13" t="str">
        <x:v>当前值</x:v>
      </x:c>
      <x:c r="H3" s="13" t="str">
        <x:v>目标/阈值</x:v>
      </x:c>
      <x:c r="I3" s="13" t="str">
        <x:v>状态</x:v>
      </x:c>
      <x:c r="J3" s="13" t="str">
        <x:v>解释</x:v>
      </x:c>
      <x:c r="K3" s="13" t="str">
        <x:v>Owner</x:v>
      </x:c>
      <x:c r="L3" s="13" t="str">
        <x:v>频率</x:v>
      </x:c>
    </x:row>
    <x:row r="4">
      <x:c r="A4" s="18" t="str">
        <x:v>示例 YES 价格 p</x:v>
      </x:c>
      <x:c r="B4" s="42" t="n">
        <x:v>0.95</x:v>
      </x:c>
      <x:c r="C4" s="18" t="str">
        <x:v>USDC/份</x:v>
      </x:c>
      <x:c r="D4" s="18" t="str">
        <x:v>可改：用来查看 0.95 这类极端赔率的 EV 与 Kelly</x:v>
      </x:c>
      <x:c r="F4" t="str">
        <x:v>OOS EV / trade</x:v>
      </x:c>
      <x:c r="G4" s="32" t="n">
        <x:f>Backtest_Template!B5</x:f>
        <x:v>0</x:v>
      </x:c>
      <x:c r="H4" t="str">
        <x:v>&gt; 0，且费用后为正</x:v>
      </x:c>
      <x:c r="I4" t="str">
        <x:f>IF(G4&gt;0,"PASS","FAIL")</x:f>
        <x:v>FAIL</x:v>
      </x:c>
      <x:c r="J4" t="str">
        <x:v>全样本费用后期望收益</x:v>
      </x:c>
      <x:c r="K4" t="str">
        <x:v>Research</x:v>
      </x:c>
      <x:c r="L4" t="str">
        <x:v>每次训练</x:v>
      </x:c>
    </x:row>
    <x:row r="5">
      <x:c r="A5" s="18" t="str">
        <x:v>你的主观/模型概率 q</x:v>
      </x:c>
      <x:c r="B5" s="43" t="n">
        <x:v>0.975</x:v>
      </x:c>
      <x:c r="C5" s="18" t="str">
        <x:v>概率</x:v>
      </x:c>
      <x:c r="D5" s="18" t="str">
        <x:v>可改：校准后的 q，而不是原始模型分数</x:v>
      </x:c>
      <x:c r="F5" t="str">
        <x:v>OOS LogLoss vs baseline</x:v>
      </x:c>
      <x:c r="G5" s="32" t="n">
        <x:f>Backtest_Template!B6</x:f>
        <x:v>-0.002</x:v>
      </x:c>
      <x:c r="H5" t="str">
        <x:v>&lt; 0，即优于市场价格 baseline</x:v>
      </x:c>
      <x:c r="I5" t="str">
        <x:f>IF(G5&lt;0,"PASS","FAIL")</x:f>
        <x:v>PASS</x:v>
      </x:c>
      <x:c r="J5" t="str">
        <x:v>不能只看 PnL，要看概率质量</x:v>
      </x:c>
      <x:c r="K5" t="str">
        <x:v>Research</x:v>
      </x:c>
      <x:c r="L5" t="str">
        <x:v>每次训练</x:v>
      </x:c>
    </x:row>
    <x:row r="6">
      <x:c r="A6" s="18" t="str">
        <x:v>每份成本 c</x:v>
      </x:c>
      <x:c r="B6" s="44" t="n">
        <x:f>Assumptions!C12+Assumptions!C11*B4</x:f>
        <x:v>0.003</x:v>
      </x:c>
      <x:c r="C6" s="18" t="str">
        <x:v>USDC/份</x:v>
      </x:c>
      <x:c r="D6" s="18" t="str">
        <x:v>滑点 + 费用的简化口径</x:v>
      </x:c>
      <x:c r="F6" t="str">
        <x:v>Extreme bucket p&gt;=0.90 EV</x:v>
      </x:c>
      <x:c r="G6" s="32" t="n">
        <x:f>Backtest_Template!B7</x:f>
        <x:v>0</x:v>
      </x:c>
      <x:c r="H6" t="str">
        <x:v>&gt; 0 且样本数达标</x:v>
      </x:c>
      <x:c r="I6" t="str">
        <x:f>IF(G6&gt;0,"PASS","FAIL")</x:f>
        <x:v>FAIL</x:v>
      </x:c>
      <x:c r="J6" t="str">
        <x:v>专门管 0.95 这类不对称尾部</x:v>
      </x:c>
      <x:c r="K6" t="str">
        <x:v>Risk</x:v>
      </x:c>
      <x:c r="L6" t="str">
        <x:v>每日</x:v>
      </x:c>
    </x:row>
    <x:row r="7">
      <x:c r="A7" s="18" t="str">
        <x:v>EV / 份</x:v>
      </x:c>
      <x:c r="B7" s="45" t="n">
        <x:f>B5-B4-B6</x:f>
        <x:v>0.022000000000000023</x:v>
      </x:c>
      <x:c r="C7" s="18" t="str">
        <x:v>USDC/份</x:v>
      </x:c>
      <x:c r="D7" s="18" t="str">
        <x:v>买 YES：q - p - c</x:v>
      </x:c>
      <x:c r="F7" t="str">
        <x:v>Max drawdown</x:v>
      </x:c>
      <x:c r="G7" s="32" t="n">
        <x:f>Backtest_Template!B8</x:f>
        <x:v>-0.03849514202369386</x:v>
      </x:c>
      <x:c r="H7" t="str">
        <x:v>&lt;= Assumptions!C7</x:v>
      </x:c>
      <x:c r="I7" t="str">
        <x:f>IF(ABS(G7)&lt;=Assumptions!C7,"PASS","FAIL")</x:f>
        <x:v>PASS</x:v>
      </x:c>
      <x:c r="J7" t="str">
        <x:v>资金曲线最大回撤</x:v>
      </x:c>
      <x:c r="K7" t="str">
        <x:v>Risk</x:v>
      </x:c>
      <x:c r="L7" t="str">
        <x:v>每日</x:v>
      </x:c>
    </x:row>
    <x:row r="8">
      <x:c r="A8" s="18" t="str">
        <x:v>ROI / 本金</x:v>
      </x:c>
      <x:c r="B8" s="46" t="n">
        <x:f>IFERROR(B7/B4,0)</x:f>
        <x:v>0.02315789473684213</x:v>
      </x:c>
      <x:c r="C8" s="18" t="str">
        <x:v>%</x:v>
      </x:c>
      <x:c r="D8" s="18" t="str">
        <x:v>单份期望收益 / 入场价格</x:v>
      </x:c>
      <x:c r="F8" t="str">
        <x:v>Paper trading days</x:v>
      </x:c>
      <x:c r="G8" s="32" t="n">
        <x:f>GoLive_Gates!C16</x:f>
        <x:v>0</x:v>
      </x:c>
      <x:c r="H8" t="str">
        <x:v>&gt;= Assumptions!C19</x:v>
      </x:c>
      <x:c r="I8" t="str">
        <x:f>IF(G8&gt;=Assumptions!C19,"PASS","FAIL")</x:f>
        <x:v>FAIL</x:v>
      </x:c>
      <x:c r="J8" t="str">
        <x:v>模拟/实盘影子账户连续运行</x:v>
      </x:c>
      <x:c r="K8" t="str">
        <x:v>Ops</x:v>
      </x:c>
      <x:c r="L8" t="str">
        <x:v>每日</x:v>
      </x:c>
    </x:row>
    <x:row r="9">
      <x:c r="A9" s="18" t="str">
        <x:v>盈亏比：亏损/盈利</x:v>
      </x:c>
      <x:c r="B9" s="47" t="n">
        <x:f>IFERROR(B4/(1-B4),0)</x:f>
        <x:v>18.999999999999982</x:v>
      </x:c>
      <x:c r="C9" s="18" t="str">
        <x:v>x</x:v>
      </x:c>
      <x:c r="D9" s="18" t="str">
        <x:v>0.95 时亏损约为盈利的 19x</x:v>
      </x:c>
      <x:c r="F9" t="str">
        <x:v>Resolved trades</x:v>
      </x:c>
      <x:c r="G9" s="32" t="n">
        <x:f>GoLive_Gates!C17</x:f>
        <x:v>0</x:v>
      </x:c>
      <x:c r="H9" t="str">
        <x:v>&gt;= Assumptions!C20</x:v>
      </x:c>
      <x:c r="I9" t="str">
        <x:f>IF(G9&gt;=Assumptions!C20,"PASS","FAIL")</x:f>
        <x:v>FAIL</x:v>
      </x:c>
      <x:c r="J9" t="str">
        <x:v>已判定、可归因的样本数</x:v>
      </x:c>
      <x:c r="K9" t="str">
        <x:v>Ops</x:v>
      </x:c>
      <x:c r="L9" t="str">
        <x:v>每日</x:v>
      </x:c>
    </x:row>
    <x:row r="10">
      <x:c r="A10" s="18" t="str">
        <x:v>全 Kelly 仓位</x:v>
      </x:c>
      <x:c r="B10" s="46" t="n">
        <x:f>MAX(0,IFERROR((B5-B4-B6)/(1-B4),0))</x:f>
        <x:v>0.44000000000000006</x:v>
      </x:c>
      <x:c r="C10" s="18" t="str">
        <x:v>% bankroll</x:v>
      </x:c>
      <x:c r="D10" s="18" t="str">
        <x:v>简化公式；实际仓位还要乘 Kelly shrink 并受风控 cap</x:v>
      </x:c>
      <x:c r="F10" t="str">
        <x:v>总准备度</x:v>
      </x:c>
      <x:c r="G10" s="54" t="n">
        <x:f>COUNTIF(I4:I9,"PASS")/COUNTA(I4:I9)</x:f>
        <x:v>0.3333333333333333</x:v>
      </x:c>
      <x:c r="H10" t="str">
        <x:v>&gt;= 100%</x:v>
      </x:c>
      <x:c r="I10" t="str">
        <x:f>IF(G10=1,"GO","NO-GO")</x:f>
        <x:v>NO-GO</x:v>
      </x:c>
      <x:c r="J10" t="str">
        <x:v>所有门槛必须通过</x:v>
      </x:c>
      <x:c r="K10" t="str">
        <x:v>Owner</x:v>
      </x:c>
      <x:c r="L10" t="str">
        <x:v>上线前</x:v>
      </x:c>
    </x:row>
    <x:row r="11">
      <x:c r="A11" s="18" t="str">
        <x:v>建议使用仓位</x:v>
      </x:c>
      <x:c r="B11" s="46" t="n">
        <x:f>MIN(Assumptions!C8*B10,Assumptions!C5)</x:f>
        <x:v>0.005</x:v>
      </x:c>
      <x:c r="C11" s="18" t="str">
        <x:v>% bankroll</x:v>
      </x:c>
      <x:c r="D11" s="18" t="str">
        <x:v>fractional Kelly 与单事件上限取较小值</x:v>
      </x:c>
    </x:row>
    <x:row r="12">
      <x:c r="A12" s="18" t="str">
        <x:v>交易建议</x:v>
      </x:c>
      <x:c r="B12" s="44" t="str">
        <x:f>IF(B7&gt;IF(B4&gt;=Assumptions!C21,Assumptions!C10,Assumptions!C9),"可进入候选池","不交易/等待")</x:f>
        <x:v>可进入候选池</x:v>
      </x:c>
      <x:c r="C12" s="18" t="str">
        <x:v>状态</x:v>
      </x:c>
      <x:c r="D12" s="18" t="str">
        <x:v>先过 edge，再过风控、盘口、监控</x:v>
      </x:c>
    </x:row>
    <x:row r="14" ht="22" customHeight="1">
      <x:c r="A14" s="23" t="str">
        <x:v>系统原则：Polymarket 二元市场的目标函数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18" t="str">
        <x:v>1</x:v>
      </x:c>
      <x:c r="B15" s="18" t="str">
        <x:v>不要优化“命中率最高”</x:v>
      </x:c>
      <x:c r="C15" s="18" t="str">
        <x:v>高价位 p=0.95 的单次亏损是 0.95，本金损失远大于 0.05 的盈利；必须优化 EV、log growth、最大回撤和极端价格桶。</x:v>
      </x:c>
      <x:c r="D15" t="str"/>
      <x:c r="E15" t="str"/>
      <x:c r="F15" t="str"/>
      <x:c r="G15" t="str"/>
      <x:c r="H15" t="str"/>
      <x:c r="I15" t="str"/>
      <x:c r="J15" t="str"/>
      <x:c r="K15" t="str"/>
      <x:c r="L15" t="str"/>
    </x:row>
    <x:row r="16">
      <x:c r="A16" s="18" t="str">
        <x:v>2</x:v>
      </x:c>
      <x:c r="B16" s="18" t="str">
        <x:v>因子输出必须是校准概率 q</x:v>
      </x:c>
      <x:c r="C16" s="18" t="str">
        <x:v>多因子模型最终输出 P(YES resolves true)，交易由 q-p-cost 决定；模型分数未经校准不能直接下注。</x:v>
      </x:c>
      <x:c r="D16" t="str"/>
      <x:c r="E16" t="str"/>
      <x:c r="F16" t="str"/>
      <x:c r="G16" t="str"/>
      <x:c r="H16" t="str"/>
      <x:c r="I16" t="str"/>
      <x:c r="J16" t="str"/>
      <x:c r="K16" t="str"/>
      <x:c r="L16" t="str"/>
    </x:row>
    <x:row r="17">
      <x:c r="A17" s="18" t="str">
        <x:v>3</x:v>
      </x:c>
      <x:c r="B17" s="18" t="str">
        <x:v>时间序列是特征/状态，不是万能预测器</x:v>
      </x:c>
      <x:c r="C17" s="18" t="str">
        <x:v>秒级价格、订单流、深度、距离阈值、到期时间可以建模短窗状态；验证必须 purged walk-forward。</x:v>
      </x:c>
      <x:c r="D17" t="str"/>
      <x:c r="E17" t="str"/>
      <x:c r="F17" t="str"/>
      <x:c r="G17" t="str"/>
      <x:c r="H17" t="str"/>
      <x:c r="I17" t="str"/>
      <x:c r="J17" t="str"/>
      <x:c r="K17" t="str"/>
      <x:c r="L17" t="str"/>
    </x:row>
    <x:row r="18">
      <x:c r="A18" s="18" t="str">
        <x:v>4</x:v>
      </x:c>
      <x:c r="B18" s="18" t="str">
        <x:v>博弈论进入执行层</x:v>
      </x:c>
      <x:c r="C18" s="18" t="str">
        <x:v>同样的 q，在窄 spread/深盘口/对手非知情时才可执行；否则 edge 会被滑点和逆向选择吃掉。</x:v>
      </x:c>
      <x:c r="D18" t="str"/>
      <x:c r="E18" t="str"/>
      <x:c r="F18" t="str"/>
      <x:c r="G18" t="str"/>
      <x:c r="H18" t="str"/>
      <x:c r="I18" t="str"/>
      <x:c r="J18" t="str"/>
      <x:c r="K18" t="str"/>
      <x:c r="L18" t="str"/>
    </x:row>
    <x:row r="19">
      <x:c r="A19" s="18" t="str">
        <x:v>5</x:v>
      </x:c>
      <x:c r="B19" s="18" t="str">
        <x:v>边界价格单独管理</x:v>
      </x:c>
      <x:c r="C19" s="18" t="str">
        <x:v>p&gt;=0.90 或 p&lt;=0.10 的交易要提高 edge 门槛、降低 Kelly、限制事件总敞口，并做强制 kill-switch。</x:v>
      </x:c>
      <x:c r="D19" t="str"/>
      <x:c r="E19" t="str"/>
      <x:c r="F19" t="str"/>
      <x:c r="G19" t="str"/>
      <x:c r="H19" t="str"/>
      <x:c r="I19" t="str"/>
      <x:c r="J19" t="str"/>
      <x:c r="K19" t="str"/>
      <x:c r="L19" t="str"/>
    </x:row>
    <x:row r="20">
      <x:c r="A20" s="18" t="str">
        <x:v>6</x:v>
      </x:c>
      <x:c r="B20" s="18" t="str">
        <x:v>灰度上线</x:v>
      </x:c>
      <x:c r="C20" s="18" t="str">
        <x:v>过回测不等于上线；必须经历 OOS、paper trading、小资金、分桶监控，再扩大规模。</x:v>
      </x:c>
      <x:c r="D20" t="str"/>
      <x:c r="E20" t="str"/>
      <x:c r="F20" t="str"/>
      <x:c r="G20" t="str"/>
      <x:c r="H20" t="str"/>
      <x:c r="I20" t="str"/>
      <x:c r="J20" t="str"/>
      <x:c r="K20" t="str"/>
      <x:c r="L20" t="str"/>
    </x:row>
  </x:sheetData>
  <x:mergeCells>
    <x:mergeCell ref="A1:L1"/>
    <x:mergeCell ref="A14:L14"/>
  </x:mergeCells>
  <x:conditionalFormatting sqref="B7:B12">
    <x:cfRule type="expression" dxfId="0" priority="1">
      <x:formula>B7&lt;0</x:formula>
    </x:cfRule>
  </x:conditionalFormatting>
  <x:conditionalFormatting sqref="B12:B12">
    <x:cfRule type="expression" dxfId="1" priority="2">
      <x:formula>B12="可进入候选池"</x:formula>
    </x:cfRule>
    <x:cfRule type="expression" dxfId="2" priority="3">
      <x:formula>B12&lt;&gt;"可进入候选池"</x:formula>
    </x:cfRule>
  </x:conditionalFormatting>
  <x:conditionalFormatting sqref="I4:I10">
    <x:cfRule type="expression" dxfId="3" priority="4">
      <x:formula>I4="PASS"</x:formula>
    </x:cfRule>
    <x:cfRule type="expression" dxfId="4" priority="5">
      <x:formula>OR(I4="FAIL",I4="NO-GO")</x:formula>
    </x:cfRule>
  </x:conditionalFormatting>
  <x:conditionalFormatting sqref="I10:I10">
    <x:cfRule type="expression" dxfId="5" priority="6">
      <x:formula>I10="GO"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15" hidden="0" customWidth="1"/>
    <x:col min="5" max="5" width="10" hidden="0" customWidth="1"/>
    <x:col min="6" max="6" width="55" hidden="0" customWidth="1"/>
    <x:col min="7" max="7" width="42" hidden="0" customWidth="1"/>
  </x:cols>
  <x:sheetData>
    <x:row r="1" ht="28" customHeight="1">
      <x:c r="A1" s="5" t="str">
        <x:v>Assumptions｜资金、成本、窗口、上线门槛</x:v>
      </x:c>
      <x:c r="B1" s="5"/>
      <x:c r="C1" s="5"/>
      <x:c r="D1" s="5"/>
      <x:c r="E1" s="5"/>
      <x:c r="F1" s="5"/>
      <x:c r="G1" s="5"/>
    </x:row>
    <x:row r="3" ht="32" customHeight="1">
      <x:c r="A3" s="13" t="str">
        <x:v>Section</x:v>
      </x:c>
      <x:c r="B3" s="13" t="str">
        <x:v>Parameter</x:v>
      </x:c>
      <x:c r="C3" s="13" t="str">
        <x:v>Base value</x:v>
      </x:c>
      <x:c r="D3" s="13" t="str">
        <x:v>Unit</x:v>
      </x:c>
      <x:c r="E3" s="13" t="str">
        <x:v>Editable?</x:v>
      </x:c>
      <x:c r="F3" s="13" t="str">
        <x:v>Notes</x:v>
      </x:c>
      <x:c r="G3" s="13" t="str">
        <x:v>Source / Owner</x:v>
      </x:c>
    </x:row>
    <x:row r="4">
      <x:c r="A4" s="18" t="str">
        <x:v>Capital</x:v>
      </x:c>
      <x:c r="B4" s="18" t="str">
        <x:v>Portfolio capital</x:v>
      </x:c>
      <x:c r="C4" s="42" t="n">
        <x:v>10000</x:v>
      </x:c>
      <x:c r="D4" s="18" t="str">
        <x:v>USDC</x:v>
      </x:c>
      <x:c r="E4" s="18" t="str">
        <x:v>YES</x:v>
      </x:c>
      <x:c r="F4" s="18" t="str">
        <x:v>用于回测/仓位公式；上线前改成实际可交易资本。</x:v>
      </x:c>
      <x:c r="G4" s="18" t="str">
        <x:v>User input</x:v>
      </x:c>
    </x:row>
    <x:row r="5">
      <x:c r="A5" s="18" t="str">
        <x:v>Risk</x:v>
      </x:c>
      <x:c r="B5" s="18" t="str">
        <x:v>Max exposure per event</x:v>
      </x:c>
      <x:c r="C5" s="58" t="n">
        <x:v>0.005</x:v>
      </x:c>
      <x:c r="D5" s="18" t="str">
        <x:v>% bankroll</x:v>
      </x:c>
      <x:c r="E5" s="18" t="str">
        <x:v>YES</x:v>
      </x:c>
      <x:c r="F5" s="18" t="str">
        <x:v>单个 market/event 的总本金上限；0.5% 是保守起点。</x:v>
      </x:c>
      <x:c r="G5" s="18" t="str">
        <x:v>Risk policy</x:v>
      </x:c>
    </x:row>
    <x:row r="6">
      <x:c r="A6" s="18" t="str">
        <x:v>Risk</x:v>
      </x:c>
      <x:c r="B6" s="18" t="str">
        <x:v>Max daily loss</x:v>
      </x:c>
      <x:c r="C6" s="58" t="n">
        <x:v>0.02</x:v>
      </x:c>
      <x:c r="D6" s="18" t="str">
        <x:v>% bankroll</x:v>
      </x:c>
      <x:c r="E6" s="18" t="str">
        <x:v>YES</x:v>
      </x:c>
      <x:c r="F6" s="18" t="str">
        <x:v>触发当天停机/降频。</x:v>
      </x:c>
      <x:c r="G6" s="18" t="str">
        <x:v>Risk policy</x:v>
      </x:c>
    </x:row>
    <x:row r="7">
      <x:c r="A7" s="18" t="str">
        <x:v>Risk</x:v>
      </x:c>
      <x:c r="B7" s="18" t="str">
        <x:v>Max peak-to-trough drawdown halt</x:v>
      </x:c>
      <x:c r="C7" s="58" t="n">
        <x:v>0.05</x:v>
      </x:c>
      <x:c r="D7" s="18" t="str">
        <x:v>% bankroll</x:v>
      </x:c>
      <x:c r="E7" s="18" t="str">
        <x:v>YES</x:v>
      </x:c>
      <x:c r="F7" s="18" t="str">
        <x:v>策略级别熔断。</x:v>
      </x:c>
      <x:c r="G7" s="18" t="str">
        <x:v>Risk policy</x:v>
      </x:c>
    </x:row>
    <x:row r="8">
      <x:c r="A8" s="18" t="str">
        <x:v>Sizing</x:v>
      </x:c>
      <x:c r="B8" s="18" t="str">
        <x:v>Kelly shrink</x:v>
      </x:c>
      <x:c r="C8" s="58" t="n">
        <x:v>0.25</x:v>
      </x:c>
      <x:c r="D8" s="18" t="str">
        <x:v>x full Kelly</x:v>
      </x:c>
      <x:c r="E8" s="18" t="str">
        <x:v>YES</x:v>
      </x:c>
      <x:c r="F8" s="18" t="str">
        <x:v>建议 0.10–0.25；高价位/低样本桶更低。</x:v>
      </x:c>
      <x:c r="G8" s="18" t="str">
        <x:v>Risk policy</x:v>
      </x:c>
    </x:row>
    <x:row r="9">
      <x:c r="A9" s="18" t="str">
        <x:v>Decision</x:v>
      </x:c>
      <x:c r="B9" s="18" t="str">
        <x:v>Min edge threshold normal</x:v>
      </x:c>
      <x:c r="C9" s="58" t="n">
        <x:v>0.008</x:v>
      </x:c>
      <x:c r="D9" s="18" t="str">
        <x:v>prob pts</x:v>
      </x:c>
      <x:c r="E9" s="18" t="str">
        <x:v>YES</x:v>
      </x:c>
      <x:c r="F9" s="18" t="str">
        <x:v>p&lt;0.90 时 q-p-cost 的最低边际。</x:v>
      </x:c>
      <x:c r="G9" s="18" t="str">
        <x:v>Research</x:v>
      </x:c>
    </x:row>
    <x:row r="10">
      <x:c r="A10" s="18" t="str">
        <x:v>Decision</x:v>
      </x:c>
      <x:c r="B10" s="18" t="str">
        <x:v>Min edge threshold boundary</x:v>
      </x:c>
      <x:c r="C10" s="58" t="n">
        <x:v>0.025</x:v>
      </x:c>
      <x:c r="D10" s="18" t="str">
        <x:v>prob pts</x:v>
      </x:c>
      <x:c r="E10" s="18" t="str">
        <x:v>YES</x:v>
      </x:c>
      <x:c r="F10" s="18" t="str">
        <x:v>p&gt;=0.90 或 p&lt;=0.10 时提高门槛，防止小优势大亏损。</x:v>
      </x:c>
      <x:c r="G10" s="18" t="str">
        <x:v>Research</x:v>
      </x:c>
    </x:row>
    <x:row r="11">
      <x:c r="A11" s="18" t="str">
        <x:v>Cost</x:v>
      </x:c>
      <x:c r="B11" s="18" t="str">
        <x:v>Taker fee rate</x:v>
      </x:c>
      <x:c r="C11" s="60" t="n">
        <x:v>0</x:v>
      </x:c>
      <x:c r="D11" s="18" t="str">
        <x:v>% notional</x:v>
      </x:c>
      <x:c r="E11" s="18" t="str">
        <x:v>YES</x:v>
      </x:c>
      <x:c r="F11" s="18" t="str">
        <x:v>Polymarket 文档称某些市场有 taker fee，实际以 API/文档为准。</x:v>
      </x:c>
      <x:c r="G11" s="18" t="str">
        <x:v>https://docs.polymarket.com/trading/fees</x:v>
      </x:c>
    </x:row>
    <x:row r="12">
      <x:c r="A12" s="18" t="str">
        <x:v>Cost</x:v>
      </x:c>
      <x:c r="B12" s="18" t="str">
        <x:v>Slippage / spread cost per share</x:v>
      </x:c>
      <x:c r="C12" s="62" t="n">
        <x:v>0.003</x:v>
      </x:c>
      <x:c r="D12" s="18" t="str">
        <x:v>USDC/share</x:v>
      </x:c>
      <x:c r="E12" s="18" t="str">
        <x:v>YES</x:v>
      </x:c>
      <x:c r="F12" s="18" t="str">
        <x:v>用真实成交数据按价格桶、深度桶估计，不要全局常数。</x:v>
      </x:c>
      <x:c r="G12" s="18" t="str">
        <x:v>Execution analytics</x:v>
      </x:c>
    </x:row>
    <x:row r="13">
      <x:c r="A13" s="18" t="str">
        <x:v>Market</x:v>
      </x:c>
      <x:c r="B13" s="18" t="str">
        <x:v>Binary payout</x:v>
      </x:c>
      <x:c r="C13" s="62" t="n">
        <x:v>1</x:v>
      </x:c>
      <x:c r="D13" s="18" t="str">
        <x:v>USDC/share</x:v>
      </x:c>
      <x:c r="E13" s="18" t="str">
        <x:v>NO</x:v>
      </x:c>
      <x:c r="F13" s="18" t="str">
        <x:v>获胜结果代币可兑换 1，失败为 0。</x:v>
      </x:c>
      <x:c r="G13" s="18" t="str">
        <x:v>https://docs.polymarket.com/trading/ctf/redeem</x:v>
      </x:c>
    </x:row>
    <x:row r="14">
      <x:c r="A14" s="18" t="str">
        <x:v>Market</x:v>
      </x:c>
      <x:c r="B14" s="18" t="str">
        <x:v>Decision interval</x:v>
      </x:c>
      <x:c r="C14" s="62" t="n">
        <x:v>5</x:v>
      </x:c>
      <x:c r="D14" s="18" t="str">
        <x:v>seconds</x:v>
      </x:c>
      <x:c r="E14" s="18" t="str">
        <x:v>YES</x:v>
      </x:c>
      <x:c r="F14" s="18" t="str">
        <x:v>你提到 5–10 秒交易一次，这里用 5 秒做基准。</x:v>
      </x:c>
      <x:c r="G14" s="18" t="str">
        <x:v>User input</x:v>
      </x:c>
    </x:row>
    <x:row r="15">
      <x:c r="A15" s="18" t="str">
        <x:v>Market</x:v>
      </x:c>
      <x:c r="B15" s="18" t="str">
        <x:v>Event horizon</x:v>
      </x:c>
      <x:c r="C15" s="62" t="n">
        <x:v>300</x:v>
      </x:c>
      <x:c r="D15" s="18" t="str">
        <x:v>seconds</x:v>
      </x:c>
      <x:c r="E15" s="18" t="str">
        <x:v>YES</x:v>
      </x:c>
      <x:c r="F15" s="18" t="str">
        <x:v>类似 BTC 5-min up/down。</x:v>
      </x:c>
      <x:c r="G15" s="18" t="str">
        <x:v>User input</x:v>
      </x:c>
    </x:row>
    <x:row r="16">
      <x:c r="A16" s="18" t="str">
        <x:v>Validation</x:v>
      </x:c>
      <x:c r="B16" s="18" t="str">
        <x:v>Train window</x:v>
      </x:c>
      <x:c r="C16" s="62" t="n">
        <x:v>21</x:v>
      </x:c>
      <x:c r="D16" s="18" t="str">
        <x:v>days</x:v>
      </x:c>
      <x:c r="E16" s="18" t="str">
        <x:v>YES</x:v>
      </x:c>
      <x:c r="F16" s="18" t="str">
        <x:v>1个月数据内建议滚动训练；更长历史会更稳。</x:v>
      </x:c>
      <x:c r="G16" s="18" t="str">
        <x:v>Research design</x:v>
      </x:c>
    </x:row>
    <x:row r="17">
      <x:c r="A17" s="18" t="str">
        <x:v>Validation</x:v>
      </x:c>
      <x:c r="B17" s="18" t="str">
        <x:v>Validation window</x:v>
      </x:c>
      <x:c r="C17" s="62" t="n">
        <x:v>5</x:v>
      </x:c>
      <x:c r="D17" s="18" t="str">
        <x:v>days</x:v>
      </x:c>
      <x:c r="E17" s="18" t="str">
        <x:v>YES</x:v>
      </x:c>
      <x:c r="F17" s="18" t="str">
        <x:v>调参窗口；不能用最终测试集调参。</x:v>
      </x:c>
      <x:c r="G17" s="18" t="str">
        <x:v>Research design</x:v>
      </x:c>
    </x:row>
    <x:row r="18">
      <x:c r="A18" s="18" t="str">
        <x:v>Validation</x:v>
      </x:c>
      <x:c r="B18" s="18" t="str">
        <x:v>Test window</x:v>
      </x:c>
      <x:c r="C18" s="62" t="n">
        <x:v>5</x:v>
      </x:c>
      <x:c r="D18" s="18" t="str">
        <x:v>days</x:v>
      </x:c>
      <x:c r="E18" s="18" t="str">
        <x:v>YES</x:v>
      </x:c>
      <x:c r="F18" s="18" t="str">
        <x:v>严格 OOS；每次上线前重跑。</x:v>
      </x:c>
      <x:c r="G18" s="18" t="str">
        <x:v>Research design</x:v>
      </x:c>
    </x:row>
    <x:row r="19">
      <x:c r="A19" s="18" t="str">
        <x:v>Validation</x:v>
      </x:c>
      <x:c r="B19" s="18" t="str">
        <x:v>Purged embargo</x:v>
      </x:c>
      <x:c r="C19" s="62" t="n">
        <x:v>300</x:v>
      </x:c>
      <x:c r="D19" s="18" t="str">
        <x:v>seconds</x:v>
      </x:c>
      <x:c r="E19" s="18" t="str">
        <x:v>YES</x:v>
      </x:c>
      <x:c r="F19" s="18" t="str">
        <x:v>事件重叠时禁止相邻窗口泄漏。</x:v>
      </x:c>
      <x:c r="G19" s="18" t="str">
        <x:v>Research design</x:v>
      </x:c>
    </x:row>
    <x:row r="20">
      <x:c r="A20" s="18" t="str">
        <x:v>Go-live</x:v>
      </x:c>
      <x:c r="B20" s="18" t="str">
        <x:v>Paper trading min days</x:v>
      </x:c>
      <x:c r="C20" s="62" t="n">
        <x:v>14</x:v>
      </x:c>
      <x:c r="D20" s="18" t="str">
        <x:v>days</x:v>
      </x:c>
      <x:c r="E20" s="18" t="str">
        <x:v>YES</x:v>
      </x:c>
      <x:c r="F20" s="18" t="str">
        <x:v>至少 2 周；更推荐覆盖不同波动/成交环境。</x:v>
      </x:c>
      <x:c r="G20" s="18" t="str">
        <x:v>Ops policy</x:v>
      </x:c>
    </x:row>
    <x:row r="21">
      <x:c r="A21" s="18" t="str">
        <x:v>Go-live</x:v>
      </x:c>
      <x:c r="B21" s="18" t="str">
        <x:v>Resolved trades min</x:v>
      </x:c>
      <x:c r="C21" s="62" t="n">
        <x:v>1000</x:v>
      </x:c>
      <x:c r="D21" s="18" t="str">
        <x:v>trades</x:v>
      </x:c>
      <x:c r="E21" s="18" t="str">
        <x:v>YES</x:v>
      </x:c>
      <x:c r="F21" s="18" t="str">
        <x:v>必须是已判定/可归因交易；极端价格桶另算。</x:v>
      </x:c>
      <x:c r="G21" s="18" t="str">
        <x:v>Ops policy</x:v>
      </x:c>
    </x:row>
    <x:row r="22">
      <x:c r="A22" s="18" t="str">
        <x:v>Boundary</x:v>
      </x:c>
      <x:c r="B22" s="18" t="str">
        <x:v>High price boundary</x:v>
      </x:c>
      <x:c r="C22" s="62" t="n">
        <x:v>0.9</x:v>
      </x:c>
      <x:c r="D22" s="18" t="str">
        <x:v>price</x:v>
      </x:c>
      <x:c r="E22" s="18" t="str">
        <x:v>YES</x:v>
      </x:c>
      <x:c r="F22" s="18" t="str">
        <x:v>p&gt;=0.90 是不对称尾部区，单独看 EV/回撤。</x:v>
      </x:c>
      <x:c r="G22" s="18" t="str">
        <x:v>Risk policy</x:v>
      </x:c>
    </x:row>
    <x:row r="23">
      <x:c r="A23" s="18" t="str">
        <x:v>Boundary</x:v>
      </x:c>
      <x:c r="B23" s="18" t="str">
        <x:v>Extreme price example</x:v>
      </x:c>
      <x:c r="C23" s="62" t="n">
        <x:v>0.95</x:v>
      </x:c>
      <x:c r="D23" s="18" t="str">
        <x:v>price</x:v>
      </x:c>
      <x:c r="E23" s="18" t="str">
        <x:v>YES</x:v>
      </x:c>
      <x:c r="F23" s="18" t="str">
        <x:v>用户特别指出的 0.95 场景。</x:v>
      </x:c>
      <x:c r="G23" s="18" t="str">
        <x:v>User input</x:v>
      </x:c>
    </x:row>
    <x:row r="24">
      <x:c r="A24" s="18" t="str">
        <x:v>Execution</x:v>
      </x:c>
      <x:c r="B24" s="18" t="str">
        <x:v>No-new-trade before resolution</x:v>
      </x:c>
      <x:c r="C24" s="62" t="n">
        <x:v>10</x:v>
      </x:c>
      <x:c r="D24" s="18" t="str">
        <x:v>seconds</x:v>
      </x:c>
      <x:c r="E24" s="18" t="str">
        <x:v>YES</x:v>
      </x:c>
      <x:c r="F24" s="18" t="str">
        <x:v>最后几秒成交/判定风险上升，默认禁止新开仓。</x:v>
      </x:c>
      <x:c r="G24" s="18" t="str">
        <x:v>Risk policy</x:v>
      </x:c>
    </x:row>
    <x:row r="25">
      <x:c r="A25" s="18" t="str">
        <x:v>Liquidity</x:v>
      </x:c>
      <x:c r="B25" s="18" t="str">
        <x:v>Min top-of-book depth</x:v>
      </x:c>
      <x:c r="C25" s="62" t="n">
        <x:v>100</x:v>
      </x:c>
      <x:c r="D25" s="18" t="str">
        <x:v>USDC</x:v>
      </x:c>
      <x:c r="E25" s="18" t="str">
        <x:v>YES</x:v>
      </x:c>
      <x:c r="F25" s="18" t="str">
        <x:v>低于此值不吃单，只挂单或跳过。</x:v>
      </x:c>
      <x:c r="G25" s="18" t="str">
        <x:v>Execution analytics</x:v>
      </x:c>
    </x:row>
    <x:row r="26">
      <x:c r="A26" s="18" t="str">
        <x:v>Calibration</x:v>
      </x:c>
      <x:c r="B26" s="18" t="str">
        <x:v>Max ECE</x:v>
      </x:c>
      <x:c r="C26" s="62" t="n">
        <x:v>0.015</x:v>
      </x:c>
      <x:c r="D26" s="18" t="str">
        <x:v>prob pts</x:v>
      </x:c>
      <x:c r="E26" s="18" t="str">
        <x:v>YES</x:v>
      </x:c>
      <x:c r="F26" s="18" t="str">
        <x:v>Expected Calibration Error 上限；按价格桶和时间桶分别算。</x:v>
      </x:c>
      <x:c r="G26" s="18" t="str">
        <x:v>Research</x:v>
      </x:c>
    </x:row>
    <x:row r="27">
      <x:c r="A27" s="18"/>
      <x:c r="B27" s="18"/>
      <x:c r="C27" s="62"/>
      <x:c r="D27" s="18"/>
      <x:c r="E27" s="18"/>
      <x:c r="F27" s="18"/>
      <x:c r="G27" s="18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c5f008cf1154d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42" hidden="0" customWidth="1"/>
    <x:col min="5" max="5" width="28" hidden="0" customWidth="1"/>
    <x:col min="6" max="6" width="4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System_Map｜端到端交易系统架构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3" t="str">
        <x:v>Layer</x:v>
      </x:c>
      <x:c r="B3" s="13" t="str">
        <x:v>目标</x:v>
      </x:c>
      <x:c r="C3" s="13" t="str">
        <x:v>输入</x:v>
      </x:c>
      <x:c r="D3" s="13" t="str">
        <x:v>核心方法</x:v>
      </x:c>
      <x:c r="E3" s="13" t="str">
        <x:v>产出</x:v>
      </x:c>
      <x:c r="F3" s="13" t="str">
        <x:v>硬性风控/验收</x:v>
      </x:c>
    </x:row>
    <x:row r="4">
      <x:c r="A4" s="18" t="str">
        <x:v>Data ingestion</x:v>
      </x:c>
      <x:c r="B4" s="18" t="str">
        <x:v>秒级抓取 Polymarket 与外部参考序列</x:v>
      </x:c>
      <x:c r="C4" s="18" t="str">
        <x:v>CLOB orderbook、trades、market metadata、resolution、BTC spot/index</x:v>
      </x:c>
      <x:c r="D4" s="18" t="str">
        <x:v>去重、排序、延迟标记、事件ID标准化</x:v>
      </x:c>
      <x:c r="E4" s="18" t="str">
        <x:v>干净的 event-second panel</x:v>
      </x:c>
      <x:c r="F4" s="18" t="str">
        <x:v>缺失率/乱序/重复/时钟漂移达标</x:v>
      </x:c>
    </x:row>
    <x:row r="5">
      <x:c r="A5" s="18" t="str">
        <x:v>Feature layer</x:v>
      </x:c>
      <x:c r="B5" s="18" t="str">
        <x:v>构建多因子特征</x:v>
      </x:c>
      <x:c r="C5" s="18" t="str">
        <x:v>价格、盘口、成交、时间、BTC 短窗序列、跨市场价格</x:v>
      </x:c>
      <x:c r="D5" s="18" t="str">
        <x:v>rolling windows、EWMA、z-score、lag-only 特征</x:v>
      </x:c>
      <x:c r="E5" s="18" t="str">
        <x:v>X_t 特征矩阵</x:v>
      </x:c>
      <x:c r="F5" s="18" t="str">
        <x:v>所有特征必须只用 t 时刻及以前数据</x:v>
      </x:c>
    </x:row>
    <x:row r="6">
      <x:c r="A6" s="18" t="str">
        <x:v>Label layer</x:v>
      </x:c>
      <x:c r="B6" s="18" t="str">
        <x:v>定义预测目标</x:v>
      </x:c>
      <x:c r="C6" s="18" t="str">
        <x:v>resolution result、未来可成交价、入场价</x:v>
      </x:c>
      <x:c r="D6" s="18" t="str">
        <x:v>binary outcome、future mark-to-market、realized edge</x:v>
      </x:c>
      <x:c r="E6" s="18" t="str">
        <x:v>y_t 与收益标签</x:v>
      </x:c>
      <x:c r="F6" s="18" t="str">
        <x:v>不能用未来 mid/last 直接当入场可成交价</x:v>
      </x:c>
    </x:row>
    <x:row r="7">
      <x:c r="A7" s="18" t="str">
        <x:v>Model layer</x:v>
      </x:c>
      <x:c r="B7" s="18" t="str">
        <x:v>估计 q=P(YES true|X)</x:v>
      </x:c>
      <x:c r="C7" s="18" t="str">
        <x:v>X_t、y_t、market p</x:v>
      </x:c>
      <x:c r="D7" s="18" t="str">
        <x:v>logistic/GBDT/online Bayesian/状态模型</x:v>
      </x:c>
      <x:c r="E7" s="18" t="str">
        <x:v>q_raw</x:v>
      </x:c>
      <x:c r="F7" s="18" t="str">
        <x:v>OOS logloss/Brier 优于 baseline</x:v>
      </x:c>
    </x:row>
    <x:row r="8">
      <x:c r="A8" s="18" t="str">
        <x:v>Calibration</x:v>
      </x:c>
      <x:c r="B8" s="18" t="str">
        <x:v>把模型分数变成可靠概率</x:v>
      </x:c>
      <x:c r="C8" s="18" t="str">
        <x:v>q_raw、p、outcome</x:v>
      </x:c>
      <x:c r="D8" s="18" t="str">
        <x:v>Platt/isotonic/beta calibration、分桶校准</x:v>
      </x:c>
      <x:c r="E8" s="18" t="str">
        <x:v>q_calibrated</x:v>
      </x:c>
      <x:c r="F8" s="18" t="str">
        <x:v>ECE、价格桶校准、极端桶校准达标</x:v>
      </x:c>
    </x:row>
    <x:row r="9">
      <x:c r="A9" s="18" t="str">
        <x:v>Decision engine</x:v>
      </x:c>
      <x:c r="B9" s="18" t="str">
        <x:v>把概率优势转化成交易</x:v>
      </x:c>
      <x:c r="C9" s="18" t="str">
        <x:v>q、可执行价、费用、盘口、风控</x:v>
      </x:c>
      <x:c r="D9" s="18" t="str">
        <x:v>edge=q-p-c、no-trade band、maker/taker选择</x:v>
      </x:c>
      <x:c r="E9" s="18" t="str">
        <x:v>trade / no trade / wait</x:v>
      </x:c>
      <x:c r="F9" s="18" t="str">
        <x:v>必须过 edge、深度、价位、时间、风险门槛</x:v>
      </x:c>
    </x:row>
    <x:row r="10">
      <x:c r="A10" s="18" t="str">
        <x:v>Sizing</x:v>
      </x:c>
      <x:c r="B10" s="18" t="str">
        <x:v>控制不对称尾部与复利</x:v>
      </x:c>
      <x:c r="C10" s="18" t="str">
        <x:v>edge、p、bankroll、事件相关性</x:v>
      </x:c>
      <x:c r="D10" s="18" t="str">
        <x:v>fractional Kelly、cap、bucket shrinkage</x:v>
      </x:c>
      <x:c r="E10" s="18" t="str">
        <x:v>stake/shares</x:v>
      </x:c>
      <x:c r="F10" s="18" t="str">
        <x:v>单事件/单日/单桶上限</x:v>
      </x:c>
    </x:row>
    <x:row r="11">
      <x:c r="A11" s="18" t="str">
        <x:v>Execution</x:v>
      </x:c>
      <x:c r="B11" s="18" t="str">
        <x:v>在不丢失 edge 的情况下成交</x:v>
      </x:c>
      <x:c r="C11" s="18" t="str">
        <x:v>orderbook、latency、fill history</x:v>
      </x:c>
      <x:c r="D11" s="18" t="str">
        <x:v>限价、排队、撤单、禁吃薄盘口</x:v>
      </x:c>
      <x:c r="E11" s="18" t="str">
        <x:v>fills &amp; slippage</x:v>
      </x:c>
      <x:c r="F11" s="18" t="str">
        <x:v>实际成交价不得超出预估可执行价</x:v>
      </x:c>
    </x:row>
    <x:row r="12">
      <x:c r="A12" s="18" t="str">
        <x:v>Monitoring</x:v>
      </x:c>
      <x:c r="B12" s="18" t="str">
        <x:v>上线后发现漂移与失效</x:v>
      </x:c>
      <x:c r="C12" s="18" t="str">
        <x:v>实时 PnL、calibration、fills、latency、market states</x:v>
      </x:c>
      <x:c r="D12" s="18" t="str">
        <x:v>drift tests、bucket PnL、kill-switch</x:v>
      </x:c>
      <x:c r="E12" s="18" t="str">
        <x:v>alerts &amp; halts</x:v>
      </x:c>
      <x:c r="F12" s="18" t="str">
        <x:v>触发即降频/停机/回滚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061c93c396f4e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2" hidden="0" customWidth="1"/>
    <x:col min="6" max="6" width="32" hidden="0" customWidth="1"/>
    <x:col min="7" max="7" width="18" hidden="0" customWidth="1"/>
    <x:col min="8" max="8" width="35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Data_QA｜秒级数据字段、质量检查、泄漏防线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23" t="str">
        <x:v>最小数据表结构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 ht="32" customHeight="1">
      <x:c r="A4" s="13" t="str">
        <x:v>Table</x:v>
      </x:c>
      <x:c r="B4" s="13" t="str">
        <x:v>Field</x:v>
      </x:c>
      <x:c r="C4" s="13" t="str">
        <x:v>Type</x:v>
      </x:c>
      <x:c r="D4" s="13" t="str">
        <x:v>Frequency</x:v>
      </x:c>
      <x:c r="E4" s="13" t="str">
        <x:v>Required?</x:v>
      </x:c>
      <x:c r="F4" s="13" t="str">
        <x:v>Use</x:v>
      </x:c>
      <x:c r="G4" s="13" t="str">
        <x:v>Leakage risk</x:v>
      </x:c>
      <x:c r="H4" s="13" t="str">
        <x:v>QA check</x:v>
      </x:c>
    </x:row>
    <x:row r="5">
      <x:c r="A5" s="18" t="str">
        <x:v>market_meta</x:v>
      </x:c>
      <x:c r="B5" s="18" t="str">
        <x:v>market_id / condition_id / token_id_yes / token_id_no</x:v>
      </x:c>
      <x:c r="C5" s="18" t="str">
        <x:v>string</x:v>
      </x:c>
      <x:c r="D5" s="18" t="str">
        <x:v>static</x:v>
      </x:c>
      <x:c r="E5" s="18" t="str">
        <x:v>YES</x:v>
      </x:c>
      <x:c r="F5" s="18" t="str">
        <x:v>join key</x:v>
      </x:c>
      <x:c r="G5" s="18" t="str">
        <x:v>low</x:v>
      </x:c>
      <x:c r="H5" s="18" t="str">
        <x:v>唯一性，不可为空</x:v>
      </x:c>
    </x:row>
    <x:row r="6">
      <x:c r="A6" s="18" t="str">
        <x:v>market_meta</x:v>
      </x:c>
      <x:c r="B6" s="18" t="str">
        <x:v>event_start / event_end / resolution_time</x:v>
      </x:c>
      <x:c r="C6" s="18" t="str">
        <x:v>datetime</x:v>
      </x:c>
      <x:c r="D6" s="18" t="str">
        <x:v>static</x:v>
      </x:c>
      <x:c r="E6" s="18" t="str">
        <x:v>YES</x:v>
      </x:c>
      <x:c r="F6" s="18" t="str">
        <x:v>time-to-resolution, label</x:v>
      </x:c>
      <x:c r="G6" s="18" t="str">
        <x:v>high</x:v>
      </x:c>
      <x:c r="H6" s="18" t="str">
        <x:v>所有时间统一 UTC，resolution_time 只能用于 label</x:v>
      </x:c>
    </x:row>
    <x:row r="7">
      <x:c r="A7" s="18" t="str">
        <x:v>book_second</x:v>
      </x:c>
      <x:c r="B7" s="18" t="str">
        <x:v>best_bid_yes / best_ask_yes / best_bid_no / best_ask_no</x:v>
      </x:c>
      <x:c r="C7" s="18" t="str">
        <x:v>float</x:v>
      </x:c>
      <x:c r="D7" s="18" t="str">
        <x:v>1s</x:v>
      </x:c>
      <x:c r="E7" s="18" t="str">
        <x:v>YES</x:v>
      </x:c>
      <x:c r="F7" s="18" t="str">
        <x:v>executable price &amp; spread</x:v>
      </x:c>
      <x:c r="G7" s="18" t="str">
        <x:v>medium</x:v>
      </x:c>
      <x:c r="H7" s="18" t="str">
        <x:v>bid&lt;=ask；0&lt;=price&lt;=1</x:v>
      </x:c>
    </x:row>
    <x:row r="8">
      <x:c r="A8" s="18" t="str">
        <x:v>book_second</x:v>
      </x:c>
      <x:c r="B8" s="18" t="str">
        <x:v>depth_bid_l1_l5 / depth_ask_l1_l5</x:v>
      </x:c>
      <x:c r="C8" s="18" t="str">
        <x:v>float</x:v>
      </x:c>
      <x:c r="D8" s="18" t="str">
        <x:v>1s</x:v>
      </x:c>
      <x:c r="E8" s="18" t="str">
        <x:v>YES</x:v>
      </x:c>
      <x:c r="F8" s="18" t="str">
        <x:v>liquidity/impact</x:v>
      </x:c>
      <x:c r="G8" s="18" t="str">
        <x:v>medium</x:v>
      </x:c>
      <x:c r="H8" s="18" t="str">
        <x:v>非负，异常 spike 标记</x:v>
      </x:c>
    </x:row>
    <x:row r="9">
      <x:c r="A9" s="18" t="str">
        <x:v>trade_second</x:v>
      </x:c>
      <x:c r="B9" s="18" t="str">
        <x:v>last_trade_price / trade_size / aggressor_side</x:v>
      </x:c>
      <x:c r="C9" s="18" t="str">
        <x:v>float/string</x:v>
      </x:c>
      <x:c r="D9" s="18" t="str">
        <x:v>1s</x:v>
      </x:c>
      <x:c r="E9" s="18" t="str">
        <x:v>YES</x:v>
      </x:c>
      <x:c r="F9" s="18" t="str">
        <x:v>order flow &amp; momentum</x:v>
      </x:c>
      <x:c r="G9" s="18" t="str">
        <x:v>medium</x:v>
      </x:c>
      <x:c r="H9" s="18" t="str">
        <x:v>成交价在合理 bid/ask 邻域</x:v>
      </x:c>
    </x:row>
    <x:row r="10">
      <x:c r="A10" s="18" t="str">
        <x:v>reference_ts</x:v>
      </x:c>
      <x:c r="B10" s="18" t="str">
        <x:v>BTC spot/index price, spread, vol</x:v>
      </x:c>
      <x:c r="C10" s="18" t="str">
        <x:v>float</x:v>
      </x:c>
      <x:c r="D10" s="18" t="str">
        <x:v>1s</x:v>
      </x:c>
      <x:c r="E10" s="18" t="str">
        <x:v>YES for BTC event</x:v>
      </x:c>
      <x:c r="F10" s="18" t="str">
        <x:v>distance to threshold &amp; momentum</x:v>
      </x:c>
      <x:c r="G10" s="18" t="str">
        <x:v>high</x:v>
      </x:c>
      <x:c r="H10" s="18" t="str">
        <x:v>必须对齐 timestamp 且只使用已发布数据</x:v>
      </x:c>
    </x:row>
    <x:row r="11">
      <x:c r="A11" s="18" t="str">
        <x:v>resolution</x:v>
      </x:c>
      <x:c r="B11" s="18" t="str">
        <x:v>outcome_yes</x:v>
      </x:c>
      <x:c r="C11" s="18" t="str">
        <x:v>0/1</x:v>
      </x:c>
      <x:c r="D11" s="18" t="str">
        <x:v>event</x:v>
      </x:c>
      <x:c r="E11" s="18" t="str">
        <x:v>YES</x:v>
      </x:c>
      <x:c r="F11" s="18" t="str">
        <x:v>label</x:v>
      </x:c>
      <x:c r="G11" s="18" t="str">
        <x:v>very high</x:v>
      </x:c>
      <x:c r="H11" s="18" t="str">
        <x:v>训练/评估时只作为 y，不可进特征</x:v>
      </x:c>
    </x:row>
    <x:row r="14" ht="22" customHeight="1">
      <x:c r="A14" s="23" t="str">
        <x:v>质量检查清单</x:v>
      </x:c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 ht="32" customHeight="1">
      <x:c r="A15" s="13" t="str">
        <x:v>Check</x:v>
      </x:c>
      <x:c r="B15" s="13" t="str">
        <x:v>Formula / Method</x:v>
      </x:c>
      <x:c r="C15" s="13" t="str">
        <x:v>Pass threshold</x:v>
      </x:c>
      <x:c r="D15" s="13" t="str">
        <x:v>Action if fail</x:v>
      </x:c>
    </x:row>
    <x:row r="16">
      <x:c r="A16" s="18" t="str">
        <x:v>时间戳连续性</x:v>
      </x:c>
      <x:c r="B16" s="18" t="str">
        <x:v>每个 market_id 每秒有 0/1 条记录，缺口率 = missing_seconds / expected_seconds</x:v>
      </x:c>
      <x:c r="C16" s="18" t="str">
        <x:v>&lt; 0.5% 或按市场分桶可解释</x:v>
      </x:c>
      <x:c r="D16" s="18" t="str">
        <x:v>缺口过大市场剔除或降权</x:v>
      </x:c>
    </x:row>
    <x:row r="17">
      <x:c r="A17" s="18" t="str">
        <x:v>可执行价格</x:v>
      </x:c>
      <x:c r="B17" s="18" t="str">
        <x:v>买入 YES 用 ask_yes，不用 mid；卖出 YES 用 bid_yes</x:v>
      </x:c>
      <x:c r="C17" s="18" t="str">
        <x:v>100% 使用 side-specific executable price</x:v>
      </x:c>
      <x:c r="D17" s="18" t="str">
        <x:v>回测重跑</x:v>
      </x:c>
    </x:row>
    <x:row r="18">
      <x:c r="A18" s="18" t="str">
        <x:v>未来函数</x:v>
      </x:c>
      <x:c r="B18" s="18" t="str">
        <x:v>任何 rolling 特征只能使用 shift(1) 后数据</x:v>
      </x:c>
      <x:c r="C18" s="18" t="str">
        <x:v>特征审计 0 例泄漏</x:v>
      </x:c>
      <x:c r="D18" s="18" t="str">
        <x:v>该因子禁用</x:v>
      </x:c>
    </x:row>
    <x:row r="19">
      <x:c r="A19" s="18" t="str">
        <x:v>极端价桶样本量</x:v>
      </x:c>
      <x:c r="B19" s="18" t="str">
        <x:v>p&gt;=0.90、p&lt;=0.10 的 trade count 与 resolved count</x:v>
      </x:c>
      <x:c r="C19" s="18" t="str">
        <x:v>每桶 &gt;= 200；上线建议更多</x:v>
      </x:c>
      <x:c r="D19" s="18" t="str">
        <x:v>限制边界价格交易或延长 paper</x:v>
      </x:c>
    </x:row>
    <x:row r="20">
      <x:c r="A20" s="18" t="str">
        <x:v>重复成交/订单簿快照</x:v>
      </x:c>
      <x:c r="B20" s="18" t="str">
        <x:v>按 timestamp, market_id, token_id 去重</x:v>
      </x:c>
      <x:c r="C20" s="18" t="str">
        <x:v>重复率 &lt; 0.1%</x:v>
      </x:c>
      <x:c r="D20" s="18" t="str">
        <x:v>保留最新或按规则聚合</x:v>
      </x:c>
    </x:row>
    <x:row r="21">
      <x:c r="A21" s="18" t="str">
        <x:v>延迟/乱序</x:v>
      </x:c>
      <x:c r="B21" s="18" t="str">
        <x:v>event time 与 ingest time 差值</x:v>
      </x:c>
      <x:c r="C21" s="18" t="str">
        <x:v>p95 latency 可接受且稳定</x:v>
      </x:c>
      <x:c r="D21" s="18" t="str">
        <x:v>特征加 latency buffer</x:v>
      </x:c>
    </x:row>
  </x:sheetData>
  <x:mergeCells>
    <x:mergeCell ref="A1:J1"/>
    <x:mergeCell ref="A3:J3"/>
    <x:mergeCell ref="A14:J14"/>
  </x:mergeCells>
  <x:pageMargins left="0.7" right="0.7" top="0.75" bottom="0.75" header="0.3" footer="0.3"/>
  <x:tableParts count="2">
    <x:tablePart xmlns:r="http://schemas.openxmlformats.org/officeDocument/2006/relationships" r:id="R55ba150bb23f4160"/>
    <x:tablePart xmlns:r="http://schemas.openxmlformats.org/officeDocument/2006/relationships" r:id="R34e543ff285149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2" hidden="0" customWidth="1"/>
    <x:col min="11" max="11" width="55" hidden="0" customWidth="1"/>
  </x:cols>
  <x:sheetData>
    <x:row r="1" ht="28" customHeight="1">
      <x:c r="A1" s="5" t="str">
        <x:v>Time_Splits｜1个月秒级数据的时间序列切分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3" t="str">
        <x:v>Fold</x:v>
      </x:c>
      <x:c r="B3" s="13" t="str">
        <x:v>Train start</x:v>
      </x:c>
      <x:c r="C3" s="13" t="str">
        <x:v>Train end</x:v>
      </x:c>
      <x:c r="D3" s="13" t="str">
        <x:v>Embargo start</x:v>
      </x:c>
      <x:c r="E3" s="13" t="str">
        <x:v>Embargo end</x:v>
      </x:c>
      <x:c r="F3" s="13" t="str">
        <x:v>Validation start</x:v>
      </x:c>
      <x:c r="G3" s="13" t="str">
        <x:v>Validation end</x:v>
      </x:c>
      <x:c r="H3" s="13" t="str">
        <x:v>Test start</x:v>
      </x:c>
      <x:c r="I3" s="13" t="str">
        <x:v>Test end</x:v>
      </x:c>
      <x:c r="J3" s="13" t="str">
        <x:v>Purpose</x:v>
      </x:c>
      <x:c r="K3" s="13" t="str">
        <x:v>Notes</x:v>
      </x:c>
    </x:row>
    <x:row r="4">
      <x:c r="A4" t="n">
        <x:v>1</x:v>
      </x:c>
      <x:c r="B4" s="66" t="n">
        <x:v>46143</x:v>
      </x:c>
      <x:c r="C4" s="66" t="n">
        <x:v>46163</x:v>
      </x:c>
      <x:c r="D4" s="66" t="n">
        <x:v>46163</x:v>
      </x:c>
      <x:c r="E4" s="66" t="n">
        <x:v>46163.00347222222</x:v>
      </x:c>
      <x:c r="F4" s="66" t="n">
        <x:v>46163.00347222222</x:v>
      </x:c>
      <x:c r="G4" s="66" t="n">
        <x:v>46166.00347222222</x:v>
      </x:c>
      <x:c r="H4" s="66" t="n">
        <x:v>46166.006944444445</x:v>
      </x:c>
      <x:c r="I4" s="66" t="n">
        <x:v>46168.006944444445</x:v>
      </x:c>
      <x:c r="J4" t="str">
        <x:v>调参 + OOS 检验</x:v>
      </x:c>
      <x:c r="K4" t="str">
        <x:v>示例滚动窗口；实际按你的1个月数据日期改。</x:v>
      </x:c>
    </x:row>
    <x:row r="5">
      <x:c r="A5" t="n">
        <x:v>2</x:v>
      </x:c>
      <x:c r="B5" s="66" t="n">
        <x:v>46146</x:v>
      </x:c>
      <x:c r="C5" s="66" t="n">
        <x:v>46166</x:v>
      </x:c>
      <x:c r="D5" s="66" t="n">
        <x:v>46166</x:v>
      </x:c>
      <x:c r="E5" s="66" t="n">
        <x:v>46166.00347222222</x:v>
      </x:c>
      <x:c r="F5" s="66" t="n">
        <x:v>46166.00347222222</x:v>
      </x:c>
      <x:c r="G5" s="66" t="n">
        <x:v>46169.00347222222</x:v>
      </x:c>
      <x:c r="H5" s="66" t="n">
        <x:v>46169.006944444445</x:v>
      </x:c>
      <x:c r="I5" s="66" t="n">
        <x:v>46171.006944444445</x:v>
      </x:c>
      <x:c r="J5" t="str">
        <x:v>调参 + OOS 检验</x:v>
      </x:c>
      <x:c r="K5" t="str">
        <x:v>示例滚动窗口；实际按你的1个月数据日期改。</x:v>
      </x:c>
    </x:row>
    <x:row r="6">
      <x:c r="A6" t="n">
        <x:v>3</x:v>
      </x:c>
      <x:c r="B6" s="66" t="n">
        <x:v>46149</x:v>
      </x:c>
      <x:c r="C6" s="66" t="n">
        <x:v>46169</x:v>
      </x:c>
      <x:c r="D6" s="66" t="n">
        <x:v>46169</x:v>
      </x:c>
      <x:c r="E6" s="66" t="n">
        <x:v>46169.00347222222</x:v>
      </x:c>
      <x:c r="F6" s="66" t="n">
        <x:v>46169.00347222222</x:v>
      </x:c>
      <x:c r="G6" s="66" t="n">
        <x:v>46172.00347222222</x:v>
      </x:c>
      <x:c r="H6" s="66" t="n">
        <x:v>46172.006944444445</x:v>
      </x:c>
      <x:c r="I6" s="66" t="n">
        <x:v>46174.006944444445</x:v>
      </x:c>
      <x:c r="J6" t="str">
        <x:v>调参 + OOS 检验</x:v>
      </x:c>
      <x:c r="K6" t="str">
        <x:v>示例滚动窗口；实际按你的1个月数据日期改。</x:v>
      </x:c>
    </x:row>
    <x:row r="7">
      <x:c r="A7" t="n">
        <x:v>4</x:v>
      </x:c>
      <x:c r="B7" s="66" t="n">
        <x:v>46152</x:v>
      </x:c>
      <x:c r="C7" s="66" t="n">
        <x:v>46172</x:v>
      </x:c>
      <x:c r="D7" s="66" t="n">
        <x:v>46172</x:v>
      </x:c>
      <x:c r="E7" s="66" t="n">
        <x:v>46172.00347222222</x:v>
      </x:c>
      <x:c r="F7" s="66" t="n">
        <x:v>46172.00347222222</x:v>
      </x:c>
      <x:c r="G7" s="66" t="n">
        <x:v>46175.00347222222</x:v>
      </x:c>
      <x:c r="H7" s="66" t="n">
        <x:v>46175.006944444445</x:v>
      </x:c>
      <x:c r="I7" s="66" t="n">
        <x:v>46177.006944444445</x:v>
      </x:c>
      <x:c r="J7" t="str">
        <x:v>调参 + OOS 检验</x:v>
      </x:c>
      <x:c r="K7" t="str">
        <x:v>示例滚动窗口；实际按你的1个月数据日期改。</x:v>
      </x:c>
    </x:row>
    <x:row r="8">
      <x:c r="A8" t="n">
        <x:v>5</x:v>
      </x:c>
      <x:c r="B8" s="66" t="n">
        <x:v>46155</x:v>
      </x:c>
      <x:c r="C8" s="66" t="n">
        <x:v>46175</x:v>
      </x:c>
      <x:c r="D8" s="66" t="n">
        <x:v>46175</x:v>
      </x:c>
      <x:c r="E8" s="66" t="n">
        <x:v>46175.00347222222</x:v>
      </x:c>
      <x:c r="F8" s="66" t="n">
        <x:v>46175.00347222222</x:v>
      </x:c>
      <x:c r="G8" s="66" t="n">
        <x:v>46178.00347222222</x:v>
      </x:c>
      <x:c r="H8" s="66" t="n">
        <x:v>46178.006944444445</x:v>
      </x:c>
      <x:c r="I8" s="66" t="n">
        <x:v>46180.006944444445</x:v>
      </x:c>
      <x:c r="J8" t="str">
        <x:v>调参 + OOS 检验</x:v>
      </x:c>
      <x:c r="K8" t="str">
        <x:v>示例滚动窗口；实际按你的1个月数据日期改。</x:v>
      </x:c>
    </x:row>
    <x:row r="11" ht="22" customHeight="1">
      <x:c r="A11" s="23" t="str">
        <x:v>切分规则</x:v>
      </x:c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 ht="32" customHeight="1">
      <x:c r="A12" s="13" t="str">
        <x:v>Rule</x:v>
      </x:c>
      <x:c r="B12" s="13" t="str">
        <x:v>Description</x:v>
      </x:c>
      <x:c r="C12" s="13" t="str">
        <x:v>Why it matters</x:v>
      </x:c>
    </x:row>
    <x:row r="13">
      <x:c r="A13" s="18" t="str">
        <x:v>Purged walk-forward</x:v>
      </x:c>
      <x:c r="B13" s="18" t="str">
        <x:v>训练、验证、测试按时间顺序滚动；事件 horizon 交叠处加 embargo。</x:v>
      </x:c>
      <x:c r="C13" s="18" t="str">
        <x:v>避免相邻 5min 事件/同一行情段泄漏。</x:v>
      </x:c>
    </x:row>
    <x:row r="14">
      <x:c r="A14" s="18" t="str">
        <x:v>Nested tuning</x:v>
      </x:c>
      <x:c r="B14" s="18" t="str">
        <x:v>验证集用于调参，测试集只用于最后评估；测试集结果不能反馈进参数。</x:v>
      </x:c>
      <x:c r="C14" s="18" t="str">
        <x:v>防止把调参收益误认为可交易 alpha。</x:v>
      </x:c>
    </x:row>
    <x:row r="15">
      <x:c r="A15" s="18" t="str">
        <x:v>Bucket stability</x:v>
      </x:c>
      <x:c r="B15" s="18" t="str">
        <x:v>按 p 桶、剩余秒数桶、波动桶、流动性桶分别评估。</x:v>
      </x:c>
      <x:c r="C15" s="18" t="str">
        <x:v>总体 PnL 好但 0.95 桶爆亏不能上线。</x:v>
      </x:c>
    </x:row>
    <x:row r="16">
      <x:c r="A16" s="18" t="str">
        <x:v>Resolution-aware</x:v>
      </x:c>
      <x:c r="B16" s="18" t="str">
        <x:v>最终 binary label 使用 resolution；mark-to-market label 要使用可执行 bid/ask。</x:v>
      </x:c>
      <x:c r="C16" s="18" t="str">
        <x:v>二元市场最终跳变是结构性风险。</x:v>
      </x:c>
    </x:row>
    <x:row r="17">
      <x:c r="A17" s="18" t="str">
        <x:v>Minimum sample</x:v>
      </x:c>
      <x:c r="B17" s="18" t="str">
        <x:v>若一个桶样本不足，允许训练但不允许该桶上线。</x:v>
      </x:c>
      <x:c r="C17" s="18" t="str">
        <x:v>边界价格小样本过拟合最危险。</x:v>
      </x:c>
    </x:row>
  </x:sheetData>
  <x:mergeCells>
    <x:mergeCell ref="A1:K1"/>
    <x:mergeCell ref="A11:K11"/>
  </x:mergeCells>
  <x:pageMargins left="0.7" right="0.7" top="0.75" bottom="0.75" header="0.3" footer="0.3"/>
  <x:tableParts count="1">
    <x:tablePart xmlns:r="http://schemas.openxmlformats.org/officeDocument/2006/relationships" r:id="R7e01402a5ee249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2" hidden="0" customWidth="1"/>
    <x:col min="4" max="4" width="28" hidden="0" customWidth="1"/>
    <x:col min="5" max="5" width="30" hidden="0" customWidth="1"/>
    <x:col min="6" max="6" width="4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Labeling｜二元结果、可交易收益、mark-to-market 标签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3" t="str">
        <x:v>Label</x:v>
      </x:c>
      <x:c r="B3" s="13" t="str">
        <x:v>Definition</x:v>
      </x:c>
      <x:c r="C3" s="13" t="str">
        <x:v>Formula idea</x:v>
      </x:c>
      <x:c r="D3" s="13" t="str">
        <x:v>Use case</x:v>
      </x:c>
      <x:c r="E3" s="13" t="str">
        <x:v>Pros</x:v>
      </x:c>
      <x:c r="F3" s="13" t="str">
        <x:v>Cons / Pitfall</x:v>
      </x:c>
    </x:row>
    <x:row r="4">
      <x:c r="A4" s="18" t="str">
        <x:v>Resolution binary y</x:v>
      </x:c>
      <x:c r="B4" s="18" t="str">
        <x:v>事件最终 YES 是否为真</x:v>
      </x:c>
      <x:c r="C4" s="18" t="str">
        <x:v>y=1 if YES wins else 0</x:v>
      </x:c>
      <x:c r="D4" s="18" t="str">
        <x:v>训练 q=P(YES true|X)</x:v>
      </x:c>
      <x:c r="E4" s="18" t="str">
        <x:v>直接对应最终 payoff</x:v>
      </x:c>
      <x:c r="F4" s="18" t="str">
        <x:v>只有判定后才知道；样本频率为事件级</x:v>
      </x:c>
    </x:row>
    <x:row r="5">
      <x:c r="A5" s="18" t="str">
        <x:v>Per-share realized edge</x:v>
      </x:c>
      <x:c r="B5" s="18" t="str">
        <x:v>按入场价到 resolution 的每份净收益</x:v>
      </x:c>
      <x:c r="C5" s="18" t="str">
        <x:v>YES: y - p_entry - cost</x:v>
      </x:c>
      <x:c r="D5" s="18" t="str">
        <x:v>训练/评估交易收益</x:v>
      </x:c>
      <x:c r="E5" s="18" t="str">
        <x:v>捕捉赔率不对称</x:v>
      </x:c>
      <x:c r="F5" s="18" t="str">
        <x:v>受执行价与成本假设影响</x:v>
      </x:c>
    </x:row>
    <x:row r="6">
      <x:c r="A6" s="18" t="str">
        <x:v>Future executable price Δ</x:v>
      </x:c>
      <x:c r="B6" s="18" t="str">
        <x:v>t+5s/10s/30s 可卖出价与入场价差</x:v>
      </x:c>
      <x:c r="C6" s="18" t="str">
        <x:v>bid_exit - ask_entry</x:v>
      </x:c>
      <x:c r="D6" s="18" t="str">
        <x:v>短持仓/做市/退出策略</x:v>
      </x:c>
      <x:c r="E6" s="18" t="str">
        <x:v>更适合多次交易</x:v>
      </x:c>
      <x:c r="F6" s="18" t="str">
        <x:v>不能替代最终 resolution 风险</x:v>
      </x:c>
    </x:row>
    <x:row r="7">
      <x:c r="A7" s="18" t="str">
        <x:v>Adverse excursion</x:v>
      </x:c>
      <x:c r="B7" s="18" t="str">
        <x:v>入场后最大不利价格变动</x:v>
      </x:c>
      <x:c r="C7" s="18" t="str">
        <x:v>min/bad price path vs entry</x:v>
      </x:c>
      <x:c r="D7" s="18" t="str">
        <x:v>止损/撤单/风控</x:v>
      </x:c>
      <x:c r="E7" s="18" t="str">
        <x:v>衡量尾部和滑点</x:v>
      </x:c>
      <x:c r="F7" s="18" t="str">
        <x:v>需要高质量盘口路径</x:v>
      </x:c>
    </x:row>
    <x:row r="8">
      <x:c r="A8" s="18" t="str">
        <x:v>Calibration bucket outcome</x:v>
      </x:c>
      <x:c r="B8" s="18" t="str">
        <x:v>按 q_hat/p/time bucket 的实际胜率</x:v>
      </x:c>
      <x:c r="C8" s="18" t="str">
        <x:v>avg(y) by bucket</x:v>
      </x:c>
      <x:c r="D8" s="18" t="str">
        <x:v>校准与上线门槛</x:v>
      </x:c>
      <x:c r="E8" s="18" t="str">
        <x:v>防止 0.95 桶误判</x:v>
      </x:c>
      <x:c r="F8" s="18" t="str">
        <x:v>需要足够 resolved 样本</x:v>
      </x:c>
    </x:row>
    <x:row r="11" ht="22" customHeight="1">
      <x:c r="A11" s="23" t="str">
        <x:v>推荐主标签与辅助标签</x:v>
      </x:c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18" t="str">
        <x:v>主模型</x:v>
      </x:c>
      <x:c r="B12" s="18" t="str">
        <x:v>y = resolution binary；目标输出 q_calibrated。</x:v>
      </x:c>
      <x:c r="C12" s="18" t="str">
        <x:v>这是二元预测市场最核心的概率。</x:v>
      </x:c>
      <x:c r="D12" t="str"/>
      <x:c r="E12" t="str"/>
      <x:c r="F12" t="str"/>
      <x:c r="G12" t="str"/>
      <x:c r="H12" t="str"/>
      <x:c r="I12" t="str"/>
      <x:c r="J12" t="str"/>
    </x:row>
    <x:row r="13">
      <x:c r="A13" s="18" t="str">
        <x:v>交易模型</x:v>
      </x:c>
      <x:c r="B13" s="18" t="str">
        <x:v>realized_edge = side_outcome - entry_price - cost。</x:v>
      </x:c>
      <x:c r="C13" s="18" t="str">
        <x:v>用来筛选是否值得交易，尤其比较高价位/低价位桶。</x:v>
      </x:c>
      <x:c r="D13" t="str"/>
      <x:c r="E13" t="str"/>
      <x:c r="F13" t="str"/>
      <x:c r="G13" t="str"/>
      <x:c r="H13" t="str"/>
      <x:c r="I13" t="str"/>
      <x:c r="J13" t="str"/>
    </x:row>
    <x:row r="14">
      <x:c r="A14" s="18" t="str">
        <x:v>执行模型</x:v>
      </x:c>
      <x:c r="B14" s="18" t="str">
        <x:v>future executable Δ 与 fill probability。</x:v>
      </x:c>
      <x:c r="C14" s="18" t="str">
        <x:v>决定挂单/吃单/等待，而不是决定事件真伪。</x:v>
      </x:c>
      <x:c r="D14" t="str"/>
      <x:c r="E14" t="str"/>
      <x:c r="F14" t="str"/>
      <x:c r="G14" t="str"/>
      <x:c r="H14" t="str"/>
      <x:c r="I14" t="str"/>
      <x:c r="J14" t="str"/>
    </x:row>
    <x:row r="15">
      <x:c r="A15" s="18" t="str">
        <x:v>风险模型</x:v>
      </x:c>
      <x:c r="B15" s="18" t="str">
        <x:v>adverse excursion、gap-to-resolution、final-seconds jump。</x:v>
      </x:c>
      <x:c r="C15" s="18" t="str">
        <x:v>决定仓位 cap、禁开时间、熔断。</x:v>
      </x:c>
      <x:c r="D15" t="str"/>
      <x:c r="E15" t="str"/>
      <x:c r="F15" t="str"/>
      <x:c r="G15" t="str"/>
      <x:c r="H15" t="str"/>
      <x:c r="I15" t="str"/>
      <x:c r="J15" t="str"/>
    </x:row>
    <x:row r="16">
      <x:c r="A16" s="18" t="str">
        <x:v>样本权重</x:v>
      </x:c>
      <x:c r="B16" s="18" t="str">
        <x:v>按 time-to-resolution、liquidity、volatility 分层。</x:v>
      </x:c>
      <x:c r="C16" s="18" t="str">
        <x:v>避免模型被大量低价值重复秒级观测淹没。</x:v>
      </x:c>
      <x:c r="D16" t="str"/>
      <x:c r="E16" t="str"/>
      <x:c r="F16" t="str"/>
      <x:c r="G16" t="str"/>
      <x:c r="H16" t="str"/>
      <x:c r="I16" t="str"/>
      <x:c r="J16" t="str"/>
    </x:row>
    <x:row r="17">
      <x:c r="A17" s="18" t="str">
        <x:v>Leakage guard</x:v>
      </x:c>
      <x:c r="B17" s="18" t="str">
        <x:v>所有 label 只能在训练目标中使用，不可作为特征。</x:v>
      </x:c>
      <x:c r="C17" s="18" t="str">
        <x:v>所有 rolling feature 必须 lag。</x:v>
      </x:c>
      <x:c r="D17" t="str"/>
      <x:c r="E17" t="str"/>
      <x:c r="F17" t="str"/>
      <x:c r="G17" t="str"/>
      <x:c r="H17" t="str"/>
      <x:c r="I17" t="str"/>
      <x:c r="J17" t="str"/>
    </x:row>
  </x:sheetData>
  <x:mergeCells>
    <x:mergeCell ref="A1:J1"/>
    <x:mergeCell ref="A11:J11"/>
  </x:mergeCells>
  <x:pageMargins left="0.7" right="0.7" top="0.75" bottom="0.75" header="0.3" footer="0.3"/>
  <x:tableParts count="1">
    <x:tablePart xmlns:r="http://schemas.openxmlformats.org/officeDocument/2006/relationships" r:id="R64a53aaadd494e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20" hidden="0" customWidth="1"/>
    <x:col min="5" max="5" width="16" hidden="0" customWidth="1"/>
    <x:col min="6" max="6" width="20" hidden="0" customWidth="1"/>
    <x:col min="7" max="7" width="36" hidden="0" customWidth="1"/>
    <x:col min="8" max="8" width="10" hidden="0" customWidth="1"/>
    <x:col min="9" max="9" width="10" hidden="0" customWidth="1"/>
    <x:col min="10" max="10" width="44" hidden="0" customWidth="1"/>
    <x:col min="11" max="11" width="12" hidden="0" customWidth="1"/>
  </x:cols>
  <x:sheetData>
    <x:row r="1" ht="28" customHeight="1">
      <x:c r="A1" s="5" t="str">
        <x:v>Feature_Library｜多因子库：预测 q、执行质量、对手行为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2" customHeight="1">
      <x:c r="A3" s="13" t="str">
        <x:v>Factor family</x:v>
      </x:c>
      <x:c r="B3" s="13" t="str">
        <x:v>Feature</x:v>
      </x:c>
      <x:c r="C3" s="13" t="str">
        <x:v>Definition</x:v>
      </x:c>
      <x:c r="D3" s="13" t="str">
        <x:v>Lookbacks / Params</x:v>
      </x:c>
      <x:c r="E3" s="13" t="str">
        <x:v>Expected sign</x:v>
      </x:c>
      <x:c r="F3" s="13" t="str">
        <x:v>Model role</x:v>
      </x:c>
      <x:c r="G3" s="13" t="str">
        <x:v>Leakage guard</x:v>
      </x:c>
      <x:c r="H3" s="13" t="str">
        <x:v>Tune?</x:v>
      </x:c>
      <x:c r="I3" s="13" t="str">
        <x:v>Priority</x:v>
      </x:c>
      <x:c r="J3" s="13" t="str">
        <x:v>Notes</x:v>
      </x:c>
    </x:row>
    <x:row r="4">
      <x:c r="A4" s="18" t="str">
        <x:v>Market price prior</x:v>
      </x:c>
      <x:c r="B4" s="18" t="str">
        <x:v>logit_market_p</x:v>
      </x:c>
      <x:c r="C4" s="18" t="str">
        <x:v>logit(可执行中间价/概率)，截断到 [0.01,0.99]</x:v>
      </x:c>
      <x:c r="D4" s="18" t="str">
        <x:v>current</x:v>
      </x:c>
      <x:c r="E4" s="18" t="str">
        <x:v>+</x:v>
      </x:c>
      <x:c r="F4" s="18" t="str">
        <x:v>q baseline</x:v>
      </x:c>
      <x:c r="G4" s="18" t="str">
        <x:v>用 t 时刻之前可见 price</x:v>
      </x:c>
      <x:c r="H4" s="18" t="str">
        <x:v>No</x:v>
      </x:c>
      <x:c r="I4" s="18" t="str">
        <x:v>P0</x:v>
      </x:c>
      <x:c r="J4" s="18" t="str">
        <x:v>价格本身是强 prior，模型常常学 residual edge。</x:v>
      </x:c>
    </x:row>
    <x:row r="5">
      <x:c r="A5" s="18" t="str">
        <x:v>Underlying TS</x:v>
      </x:c>
      <x:c r="B5" s="18" t="str">
        <x:v>btc_return_5s_15s_60s</x:v>
      </x:c>
      <x:c r="C5" s="18" t="str">
        <x:v>BTC spot/index 短窗收益率</x:v>
      </x:c>
      <x:c r="D5" s="18" t="str">
        <x:v>5/15/30/60s</x:v>
      </x:c>
      <x:c r="E5" s="18" t="str">
        <x:v>+/−</x:v>
      </x:c>
      <x:c r="F5" s="18" t="str">
        <x:v>q feature</x:v>
      </x:c>
      <x:c r="G5" s="18" t="str">
        <x:v>外部行情需按可见时间 lag</x:v>
      </x:c>
      <x:c r="H5" s="18" t="str">
        <x:v>Yes</x:v>
      </x:c>
      <x:c r="I5" s="18" t="str">
        <x:v>P0</x:v>
      </x:c>
      <x:c r="J5" s="18" t="str">
        <x:v>对 BTC 5min up/down 这类市场尤其重要。</x:v>
      </x:c>
    </x:row>
    <x:row r="6">
      <x:c r="A6" s="18" t="str">
        <x:v>Underlying TS</x:v>
      </x:c>
      <x:c r="B6" s="18" t="str">
        <x:v>distance_to_threshold</x:v>
      </x:c>
      <x:c r="C6" s="18" t="str">
        <x:v>当前 BTC 价相对事件起始/判定阈值的距离</x:v>
      </x:c>
      <x:c r="D6" s="18" t="str">
        <x:v>current + tte</x:v>
      </x:c>
      <x:c r="E6" s="18" t="str">
        <x:v>+</x:v>
      </x:c>
      <x:c r="F6" s="18" t="str">
        <x:v>q feature</x:v>
      </x:c>
      <x:c r="G6" s="18" t="str">
        <x:v>阈值必须来自 market rules，不可用未来 close</x:v>
      </x:c>
      <x:c r="H6" s="18" t="str">
        <x:v>Yes</x:v>
      </x:c>
      <x:c r="I6" s="18" t="str">
        <x:v>P0</x:v>
      </x:c>
      <x:c r="J6" s="18" t="str">
        <x:v>和剩余时间一起构成 moneyness。</x:v>
      </x:c>
    </x:row>
    <x:row r="7">
      <x:c r="A7" s="18" t="str">
        <x:v>Time-to-expiry</x:v>
      </x:c>
      <x:c r="B7" s="18" t="str">
        <x:v>seconds_to_resolution</x:v>
      </x:c>
      <x:c r="C7" s="18" t="str">
        <x:v>距离事件结束秒数</x:v>
      </x:c>
      <x:c r="D7" s="18" t="str">
        <x:v>current</x:v>
      </x:c>
      <x:c r="E7" s="18" t="str">
        <x:v>nonlinear</x:v>
      </x:c>
      <x:c r="F7" s="18" t="str">
        <x:v>state feature</x:v>
      </x:c>
      <x:c r="G7" s="18" t="str">
        <x:v>只用公开 end time</x:v>
      </x:c>
      <x:c r="H7" s="18" t="str">
        <x:v>Yes</x:v>
      </x:c>
      <x:c r="I7" s="18" t="str">
        <x:v>P0</x:v>
      </x:c>
      <x:c r="J7" s="18" t="str">
        <x:v>越接近结束，概率对距离阈值更敏感。</x:v>
      </x:c>
    </x:row>
    <x:row r="8">
      <x:c r="A8" s="18" t="str">
        <x:v>Orderbook</x:v>
      </x:c>
      <x:c r="B8" s="18" t="str">
        <x:v>spread_yes_no</x:v>
      </x:c>
      <x:c r="C8" s="18" t="str">
        <x:v>ask_yes - bid_yes；或 YES/NO 合成价差</x:v>
      </x:c>
      <x:c r="D8" s="18" t="str">
        <x:v>current/EWMA</x:v>
      </x:c>
      <x:c r="E8" s="18" t="str">
        <x:v>−</x:v>
      </x:c>
      <x:c r="F8" s="18" t="str">
        <x:v>execution &amp; q</x:v>
      </x:c>
      <x:c r="G8" s="18" t="str">
        <x:v>买入用 ask，卖出用 bid</x:v>
      </x:c>
      <x:c r="H8" s="18" t="str">
        <x:v>Yes</x:v>
      </x:c>
      <x:c r="I8" s="18" t="str">
        <x:v>P0</x:v>
      </x:c>
      <x:c r="J8" s="18" t="str">
        <x:v>宽 spread 降低可交易 edge。</x:v>
      </x:c>
    </x:row>
    <x:row r="9">
      <x:c r="A9" s="18" t="str">
        <x:v>Orderbook</x:v>
      </x:c>
      <x:c r="B9" s="18" t="str">
        <x:v>depth_imbalance_l1_l5</x:v>
      </x:c>
      <x:c r="C9" s="18" t="str">
        <x:v>(bid_depth - ask_depth)/(sum depth)</x:v>
      </x:c>
      <x:c r="D9" s="18" t="str">
        <x:v>L1/L3/L5</x:v>
      </x:c>
      <x:c r="E9" s="18" t="str">
        <x:v>+/−</x:v>
      </x:c>
      <x:c r="F9" s="18" t="str">
        <x:v>q/execution</x:v>
      </x:c>
      <x:c r="G9" s="18" t="str">
        <x:v>仅用当前盘口</x:v>
      </x:c>
      <x:c r="H9" s="18" t="str">
        <x:v>Yes</x:v>
      </x:c>
      <x:c r="I9" s="18" t="str">
        <x:v>P1</x:v>
      </x:c>
      <x:c r="J9" s="18" t="str">
        <x:v>方向需要实证验证，可能市场/阶段不同。</x:v>
      </x:c>
    </x:row>
    <x:row r="10">
      <x:c r="A10" s="18" t="str">
        <x:v>Order flow</x:v>
      </x:c>
      <x:c r="B10" s="18" t="str">
        <x:v>signed_trade_imbalance</x:v>
      </x:c>
      <x:c r="C10" s="18" t="str">
        <x:v>买方主动成交量 - 卖方主动成交量 / 总成交量</x:v>
      </x:c>
      <x:c r="D10" s="18" t="str">
        <x:v>10/30/60s EWMA</x:v>
      </x:c>
      <x:c r="E10" s="18" t="str">
        <x:v>+</x:v>
      </x:c>
      <x:c r="F10" s="18" t="str">
        <x:v>q/game</x:v>
      </x:c>
      <x:c r="G10" s="18" t="str">
        <x:v>成交归因不可用则用价格变动代理</x:v>
      </x:c>
      <x:c r="H10" s="18" t="str">
        <x:v>Yes</x:v>
      </x:c>
      <x:c r="I10" s="18" t="str">
        <x:v>P0</x:v>
      </x:c>
      <x:c r="J10" s="18" t="str">
        <x:v>捕捉短窗知情交易/羊群。</x:v>
      </x:c>
    </x:row>
    <x:row r="11">
      <x:c r="A11" s="18" t="str">
        <x:v>Polymarket TS</x:v>
      </x:c>
      <x:c r="B11" s="18" t="str">
        <x:v>market_price_momentum</x:v>
      </x:c>
      <x:c r="C11" s="18" t="str">
        <x:v>YES mid/ask/bid 的短窗 return</x:v>
      </x:c>
      <x:c r="D11" s="18" t="str">
        <x:v>5/15/30/60s</x:v>
      </x:c>
      <x:c r="E11" s="18" t="str">
        <x:v>+ then mean-revert</x:v>
      </x:c>
      <x:c r="F11" s="18" t="str">
        <x:v>q/execution</x:v>
      </x:c>
      <x:c r="G11" s="18" t="str">
        <x:v>必须 shift，不能用未来 mid</x:v>
      </x:c>
      <x:c r="H11" s="18" t="str">
        <x:v>Yes</x:v>
      </x:c>
      <x:c r="I11" s="18" t="str">
        <x:v>P1</x:v>
      </x:c>
      <x:c r="J11" s="18" t="str">
        <x:v>很容易过拟合，需消融检验。</x:v>
      </x:c>
    </x:row>
    <x:row r="12">
      <x:c r="A12" s="18" t="str">
        <x:v>Volatility</x:v>
      </x:c>
      <x:c r="B12" s="18" t="str">
        <x:v>realized_vol_btc</x:v>
      </x:c>
      <x:c r="C12" s="18" t="str">
        <x:v>BTC 秒级 realized vol / range</x:v>
      </x:c>
      <x:c r="D12" s="18" t="str">
        <x:v>30/60/120s</x:v>
      </x:c>
      <x:c r="E12" s="18" t="str">
        <x:v>nonlinear</x:v>
      </x:c>
      <x:c r="F12" s="18" t="str">
        <x:v>risk &amp; q</x:v>
      </x:c>
      <x:c r="G12" s="18" t="str">
        <x:v>lag only</x:v>
      </x:c>
      <x:c r="H12" s="18" t="str">
        <x:v>Yes</x:v>
      </x:c>
      <x:c r="I12" s="18" t="str">
        <x:v>P0</x:v>
      </x:c>
      <x:c r="J12" s="18" t="str">
        <x:v>高波动时 0.95 价格并不安全。</x:v>
      </x:c>
    </x:row>
    <x:row r="13">
      <x:c r="A13" s="18" t="str">
        <x:v>Volatility</x:v>
      </x:c>
      <x:c r="B13" s="18" t="str">
        <x:v>market_price_vol</x:v>
      </x:c>
      <x:c r="C13" s="18" t="str">
        <x:v>Polymarket price realized vol</x:v>
      </x:c>
      <x:c r="D13" s="18" t="str">
        <x:v>30/60/120s</x:v>
      </x:c>
      <x:c r="E13" s="18" t="str">
        <x:v>nonlinear</x:v>
      </x:c>
      <x:c r="F13" s="18" t="str">
        <x:v>risk</x:v>
      </x:c>
      <x:c r="G13" s="18" t="str">
        <x:v>lag only</x:v>
      </x:c>
      <x:c r="H13" s="18" t="str">
        <x:v>Yes</x:v>
      </x:c>
      <x:c r="I13" s="18" t="str">
        <x:v>P1</x:v>
      </x:c>
      <x:c r="J13" s="18" t="str">
        <x:v>波动上升时提高 edge threshold。</x:v>
      </x:c>
    </x:row>
    <x:row r="14">
      <x:c r="A14" s="18" t="str">
        <x:v>Cross-market</x:v>
      </x:c>
      <x:c r="B14" s="18" t="str">
        <x:v>complement_gap</x:v>
      </x:c>
      <x:c r="C14" s="18" t="str">
        <x:v>YES ask + NO ask - 1；YES bid + NO bid - 1</x:v>
      </x:c>
      <x:c r="D14" s="18" t="str">
        <x:v>current</x:v>
      </x:c>
      <x:c r="E14" s="18" t="str">
        <x:v>arb/execution</x:v>
      </x:c>
      <x:c r="F14" s="18" t="str">
        <x:v>execution</x:v>
      </x:c>
      <x:c r="G14" s="18" t="str">
        <x:v>用可执行价</x:v>
      </x:c>
      <x:c r="H14" s="18" t="str">
        <x:v>Yes</x:v>
      </x:c>
      <x:c r="I14" s="18" t="str">
        <x:v>P1</x:v>
      </x:c>
      <x:c r="J14" s="18" t="str">
        <x:v>用于发现合成套利/退出路径。</x:v>
      </x:c>
    </x:row>
    <x:row r="15">
      <x:c r="A15" s="18" t="str">
        <x:v>Game theory</x:v>
      </x:c>
      <x:c r="B15" s="18" t="str">
        <x:v>adverse_selection_score</x:v>
      </x:c>
      <x:c r="C15" s="18" t="str">
        <x:v>吃单后短期价格反向/继续不利概率</x:v>
      </x:c>
      <x:c r="D15" s="18" t="str">
        <x:v>by venue/market bucket</x:v>
      </x:c>
      <x:c r="E15" s="18" t="str">
        <x:v>−</x:v>
      </x:c>
      <x:c r="F15" s="18" t="str">
        <x:v>execution sizing</x:v>
      </x:c>
      <x:c r="G15" s="18" t="str">
        <x:v>只用历史已发生 fill</x:v>
      </x:c>
      <x:c r="H15" s="18" t="str">
        <x:v>Yes</x:v>
      </x:c>
      <x:c r="I15" s="18" t="str">
        <x:v>P0</x:v>
      </x:c>
      <x:c r="J15" s="18" t="str">
        <x:v>判断是否被更知情对手成交。</x:v>
      </x:c>
    </x:row>
    <x:row r="16">
      <x:c r="A16" s="18" t="str">
        <x:v>Game theory</x:v>
      </x:c>
      <x:c r="B16" s="18" t="str">
        <x:v>queue_pressure</x:v>
      </x:c>
      <x:c r="C16" s="18" t="str">
        <x:v>盘口同侧排队量/取消强度/补单速度</x:v>
      </x:c>
      <x:c r="D16" s="18" t="str">
        <x:v>5/10/30s</x:v>
      </x:c>
      <x:c r="E16" s="18" t="str">
        <x:v>+/−</x:v>
      </x:c>
      <x:c r="F16" s="18" t="str">
        <x:v>maker/taker</x:v>
      </x:c>
      <x:c r="G16" s="18" t="str">
        <x:v>如果缺少订单生命周期，只做市场级代理</x:v>
      </x:c>
      <x:c r="H16" s="18" t="str">
        <x:v>Yes</x:v>
      </x:c>
      <x:c r="I16" s="18" t="str">
        <x:v>P2</x:v>
      </x:c>
      <x:c r="J16" s="18" t="str">
        <x:v>没有 quote lifecycle 数据时不要做地址级断言。</x:v>
      </x:c>
    </x:row>
    <x:row r="17">
      <x:c r="A17" s="18" t="str">
        <x:v>Regime</x:v>
      </x:c>
      <x:c r="B17" s="18" t="str">
        <x:v>liquidity_regime</x:v>
      </x:c>
      <x:c r="C17" s="18" t="str">
        <x:v>depth/spread/volume 聚类状态</x:v>
      </x:c>
      <x:c r="D17" s="18" t="str">
        <x:v>rolling day/hour</x:v>
      </x:c>
      <x:c r="E17" s="18" t="str">
        <x:v>state</x:v>
      </x:c>
      <x:c r="F17" s="18" t="str">
        <x:v>model gating</x:v>
      </x:c>
      <x:c r="G17" s="18" t="str">
        <x:v>lag only</x:v>
      </x:c>
      <x:c r="H17" s="18" t="str">
        <x:v>Yes</x:v>
      </x:c>
      <x:c r="I17" s="18" t="str">
        <x:v>P1</x:v>
      </x:c>
      <x:c r="J17" s="18" t="str">
        <x:v>不同状态使用不同阈值/Kelly shrink。</x:v>
      </x:c>
    </x:row>
    <x:row r="18">
      <x:c r="A18" s="18" t="str">
        <x:v>Risk</x:v>
      </x:c>
      <x:c r="B18" s="18" t="str">
        <x:v>boundary_price_flag</x:v>
      </x:c>
      <x:c r="C18" s="18" t="str">
        <x:v>p&gt;=0.90 or p&lt;=0.10</x:v>
      </x:c>
      <x:c r="D18" s="18" t="str">
        <x:v>current</x:v>
      </x:c>
      <x:c r="E18" s="18" t="str">
        <x:v>risk</x:v>
      </x:c>
      <x:c r="F18" s="18" t="str">
        <x:v>sizing cap</x:v>
      </x:c>
      <x:c r="G18" s="18" t="str">
        <x:v>current</x:v>
      </x:c>
      <x:c r="H18" s="18" t="str">
        <x:v>No</x:v>
      </x:c>
      <x:c r="I18" s="18" t="str">
        <x:v>P0</x:v>
      </x:c>
      <x:c r="J18" s="18" t="str">
        <x:v>不直接预测，但强制更严格交易门槛。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7991fd367e8420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5" t="str">
        <x:v>MultiFactor_Model｜多因子如何组合成 q，再转成交易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22" customHeight="1">
      <x:c r="A3" s="23" t="str">
        <x:v>A. 模型结构：先估计概率，再做交易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13" t="str">
        <x:v>Step</x:v>
      </x:c>
      <x:c r="B4" s="13" t="str">
        <x:v>Formula / Concept</x:v>
      </x:c>
      <x:c r="C4" s="13" t="str">
        <x:v>Explanation</x:v>
      </x:c>
      <x:c r="D4" t="str"/>
      <x:c r="E4" t="str"/>
      <x:c r="F4" t="str"/>
      <x:c r="G4" t="str"/>
      <x:c r="H4" t="str"/>
      <x:c r="I4" t="str"/>
      <x:c r="J4" t="str"/>
      <x:c r="K4" t="str"/>
      <x:c r="L4" t="str"/>
    </x:row>
    <x:row r="5">
      <x:c r="A5" s="18" t="str">
        <x:v>1. Market prior</x:v>
      </x:c>
      <x:c r="B5" s="18" t="str">
        <x:v>base_logit = logit(p_market_executable)</x:v>
      </x:c>
      <x:c r="C5" s="18" t="str">
        <x:v>市场价格是全体参与者的 prior，不要轻易丢弃。</x:v>
      </x:c>
      <x:c r="D5" t="str"/>
      <x:c r="E5" t="str"/>
      <x:c r="F5" t="str"/>
      <x:c r="G5" t="str"/>
      <x:c r="H5" t="str"/>
      <x:c r="I5" t="str"/>
      <x:c r="J5" t="str"/>
      <x:c r="K5" t="str"/>
      <x:c r="L5" t="str"/>
    </x:row>
    <x:row r="6">
      <x:c r="A6" s="18" t="str">
        <x:v>2. Factor residual</x:v>
      </x:c>
      <x:c r="B6" s="18" t="str">
        <x:v>score = intercept + β0*base_logit + Σ wi*zi</x:v>
      </x:c>
      <x:c r="C6" s="18" t="str">
        <x:v>多因子不是“投票”，而是解释市场价格之外的 residual edge。</x:v>
      </x:c>
      <x:c r="D6" t="str"/>
      <x:c r="E6" t="str"/>
      <x:c r="F6" t="str"/>
      <x:c r="G6" t="str"/>
      <x:c r="H6" t="str"/>
      <x:c r="I6" t="str"/>
      <x:c r="J6" t="str"/>
      <x:c r="K6" t="str"/>
      <x:c r="L6" t="str"/>
    </x:row>
    <x:row r="7">
      <x:c r="A7" s="18" t="str">
        <x:v>3. Probability</x:v>
      </x:c>
      <x:c r="B7" s="18" t="str">
        <x:v>q_raw = sigmoid(score)</x:v>
      </x:c>
      <x:c r="C7" s="18" t="str">
        <x:v>得到 YES 成真的原始概率。</x:v>
      </x:c>
      <x:c r="D7" t="str"/>
      <x:c r="E7" t="str"/>
      <x:c r="F7" t="str"/>
      <x:c r="G7" t="str"/>
      <x:c r="H7" t="str"/>
      <x:c r="I7" t="str"/>
      <x:c r="J7" t="str"/>
      <x:c r="K7" t="str"/>
      <x:c r="L7" t="str"/>
    </x:row>
    <x:row r="8">
      <x:c r="A8" s="18" t="str">
        <x:v>4. Calibration</x:v>
      </x:c>
      <x:c r="B8" s="18" t="str">
        <x:v>q = calibrator(q_raw, bucket)</x:v>
      </x:c>
      <x:c r="C8" s="18" t="str">
        <x:v>用验证集校准，按价格/时间/波动/流动性桶分别检查。</x:v>
      </x:c>
      <x:c r="D8" t="str"/>
      <x:c r="E8" t="str"/>
      <x:c r="F8" t="str"/>
      <x:c r="G8" t="str"/>
      <x:c r="H8" t="str"/>
      <x:c r="I8" t="str"/>
      <x:c r="J8" t="str"/>
      <x:c r="K8" t="str"/>
      <x:c r="L8" t="str"/>
    </x:row>
    <x:row r="10" ht="22" customHeight="1">
      <x:c r="A10" s="23" t="str">
        <x:v>B. 因子打分示例：可直接替换为你的实时特征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13" t="str">
        <x:v>Factor</x:v>
      </x:c>
      <x:c r="B11" s="13" t="str">
        <x:v>Raw value</x:v>
      </x:c>
      <x:c r="C11" s="13" t="str">
        <x:v>Mean</x:v>
      </x:c>
      <x:c r="D11" s="13" t="str">
        <x:v>Std</x:v>
      </x:c>
      <x:c r="E11" s="13" t="str">
        <x:v>Z-score</x:v>
      </x:c>
      <x:c r="F11" s="13" t="str">
        <x:v>Weight</x:v>
      </x:c>
      <x:c r="G11" s="13" t="str">
        <x:v>Contribution</x:v>
      </x:c>
      <x:c r="H11" s="13" t="str">
        <x:v>Notes</x:v>
      </x:c>
    </x:row>
    <x:row r="12">
      <x:c r="A12" t="str">
        <x:v>Intercept</x:v>
      </x:c>
      <x:c r="B12" s="29" t="n">
        <x:v>1</x:v>
      </x:c>
      <x:c r="C12" s="29" t="n">
        <x:v>0</x:v>
      </x:c>
      <x:c r="D12" s="29" t="n">
        <x:v>1</x:v>
      </x:c>
      <x:c r="E12" s="70" t="n">
        <x:f>B12</x:f>
        <x:v>1</x:v>
      </x:c>
      <x:c r="F12" s="29" t="n">
        <x:v>-0.15</x:v>
      </x:c>
      <x:c r="G12" s="32" t="n">
        <x:f>E12*F12</x:f>
        <x:v>-0.15</x:v>
      </x:c>
      <x:c r="H12" t="str">
        <x:v>基准截距</x:v>
      </x:c>
    </x:row>
    <x:row r="13">
      <x:c r="A13" t="str">
        <x:v>logit_market_p</x:v>
      </x:c>
      <x:c r="B13" s="29" t="n">
        <x:f>LOG(MAX(MIN(Dashboard!B4,0.999),0.001)/(1-MAX(MIN(Dashboard!B4,0.999),0.001)))</x:f>
        <x:v>1.2787536009528284</x:v>
      </x:c>
      <x:c r="C13" s="29" t="n">
        <x:v>0</x:v>
      </x:c>
      <x:c r="D13" s="29" t="n">
        <x:v>1</x:v>
      </x:c>
      <x:c r="E13" s="70" t="n">
        <x:f>IFERROR((B13-C13)/D13,0)</x:f>
        <x:v>1.2787536009528284</x:v>
      </x:c>
      <x:c r="F13" s="29" t="n">
        <x:v>0.85</x:v>
      </x:c>
      <x:c r="G13" s="32" t="n">
        <x:f>E13*F13</x:f>
        <x:v>1.086940560809904</x:v>
      </x:c>
      <x:c r="H13" t="str">
        <x:v>市场价格 prior；权重通常接近 1 但需训练</x:v>
      </x:c>
    </x:row>
    <x:row r="14">
      <x:c r="A14" t="str">
        <x:v>btc_return_15s_z</x:v>
      </x:c>
      <x:c r="B14" s="29" t="n">
        <x:v>0.4</x:v>
      </x:c>
      <x:c r="C14" s="29" t="n">
        <x:v>0</x:v>
      </x:c>
      <x:c r="D14" s="29" t="n">
        <x:v>1</x:v>
      </x:c>
      <x:c r="E14" s="70" t="n">
        <x:f>IFERROR((B14-C14)/D14,0)</x:f>
        <x:v>0.4</x:v>
      </x:c>
      <x:c r="F14" s="29" t="n">
        <x:v>0.18</x:v>
      </x:c>
      <x:c r="G14" s="32" t="n">
        <x:f>E14*F14</x:f>
        <x:v>0.072</x:v>
      </x:c>
      <x:c r="H14" t="str">
        <x:v>BTC 短窗动量</x:v>
      </x:c>
    </x:row>
    <x:row r="15">
      <x:c r="A15" t="str">
        <x:v>distance_to_threshold_z</x:v>
      </x:c>
      <x:c r="B15" s="29" t="n">
        <x:v>0.75</x:v>
      </x:c>
      <x:c r="C15" s="29" t="n">
        <x:v>0</x:v>
      </x:c>
      <x:c r="D15" s="29" t="n">
        <x:v>1</x:v>
      </x:c>
      <x:c r="E15" s="70" t="n">
        <x:f>IFERROR((B15-C15)/D15,0)</x:f>
        <x:v>0.75</x:v>
      </x:c>
      <x:c r="F15" s="29" t="n">
        <x:v>0.35</x:v>
      </x:c>
      <x:c r="G15" s="32" t="n">
        <x:f>E15*F15</x:f>
        <x:v>0.26249999999999996</x:v>
      </x:c>
      <x:c r="H15" t="str">
        <x:v>离判定阈值越远，概率越偏</x:v>
      </x:c>
    </x:row>
    <x:row r="16">
      <x:c r="A16" t="str">
        <x:v>order_flow_imbalance_z</x:v>
      </x:c>
      <x:c r="B16" s="29" t="n">
        <x:v>0.25</x:v>
      </x:c>
      <x:c r="C16" s="29" t="n">
        <x:v>0</x:v>
      </x:c>
      <x:c r="D16" s="29" t="n">
        <x:v>1</x:v>
      </x:c>
      <x:c r="E16" s="70" t="n">
        <x:f>IFERROR((B16-C16)/D16,0)</x:f>
        <x:v>0.25</x:v>
      </x:c>
      <x:c r="F16" s="29" t="n">
        <x:v>0.12</x:v>
      </x:c>
      <x:c r="G16" s="32" t="n">
        <x:f>E16*F16</x:f>
        <x:v>0.03</x:v>
      </x:c>
      <x:c r="H16" t="str">
        <x:v>主动成交方向</x:v>
      </x:c>
    </x:row>
    <x:row r="17">
      <x:c r="A17" t="str">
        <x:v>depth_imbalance_z</x:v>
      </x:c>
      <x:c r="B17" s="29" t="n">
        <x:v>-0.1</x:v>
      </x:c>
      <x:c r="C17" s="29" t="n">
        <x:v>0</x:v>
      </x:c>
      <x:c r="D17" s="29" t="n">
        <x:v>1</x:v>
      </x:c>
      <x:c r="E17" s="70" t="n">
        <x:f>IFERROR((B17-C17)/D17,0)</x:f>
        <x:v>-0.1</x:v>
      </x:c>
      <x:c r="F17" s="29" t="n">
        <x:v>0.08</x:v>
      </x:c>
      <x:c r="G17" s="32" t="n">
        <x:f>E17*F17</x:f>
        <x:v>-0.008</x:v>
      </x:c>
      <x:c r="H17" t="str">
        <x:v>盘口深度偏斜</x:v>
      </x:c>
    </x:row>
    <x:row r="18">
      <x:c r="A18" t="str">
        <x:v>volatility_regime_z</x:v>
      </x:c>
      <x:c r="B18" s="29" t="n">
        <x:v>0.6</x:v>
      </x:c>
      <x:c r="C18" s="29" t="n">
        <x:v>0</x:v>
      </x:c>
      <x:c r="D18" s="29" t="n">
        <x:v>1</x:v>
      </x:c>
      <x:c r="E18" s="70" t="n">
        <x:f>IFERROR((B18-C18)/D18,0)</x:f>
        <x:v>0.6</x:v>
      </x:c>
      <x:c r="F18" s="29" t="n">
        <x:v>-0.1</x:v>
      </x:c>
      <x:c r="G18" s="32" t="n">
        <x:f>E18*F18</x:f>
        <x:v>-0.06</x:v>
      </x:c>
      <x:c r="H18" t="str">
        <x:v>高波动下对边界价更保守</x:v>
      </x:c>
    </x:row>
    <x:row r="19">
      <x:c r="A19" t="str">
        <x:v>seconds_to_resolution_z</x:v>
      </x:c>
      <x:c r="B19" s="29" t="n">
        <x:v>-0.5</x:v>
      </x:c>
      <x:c r="C19" s="29" t="n">
        <x:v>0</x:v>
      </x:c>
      <x:c r="D19" s="29" t="n">
        <x:v>1</x:v>
      </x:c>
      <x:c r="E19" s="70" t="n">
        <x:f>IFERROR((B19-C19)/D19,0)</x:f>
        <x:v>-0.5</x:v>
      </x:c>
      <x:c r="F19" s="29" t="n">
        <x:v>0.05</x:v>
      </x:c>
      <x:c r="G19" s="32" t="n">
        <x:f>E19*F19</x:f>
        <x:v>-0.025</x:v>
      </x:c>
      <x:c r="H19" t="str">
        <x:v>时间效应可非线性，这里简化</x:v>
      </x:c>
    </x:row>
    <x:row r="22">
      <x:c r="A22" s="18" t="str">
        <x:v>Raw score</x:v>
      </x:c>
      <x:c r="B22" s="72" t="n">
        <x:f>SUM(G12:G19)</x:f>
        <x:v>1.208440560809904</x:v>
      </x:c>
      <x:c r="C22" s="18" t="str"/>
    </x:row>
    <x:row r="23">
      <x:c r="A23" s="18" t="str">
        <x:v>q_raw</x:v>
      </x:c>
      <x:c r="B23" s="46" t="n">
        <x:f>1/(1+EXP(-B22))</x:f>
        <x:v>0.7700229079500882</x:v>
      </x:c>
      <x:c r="C23" s="18" t="str">
        <x:v>sigmoid(score)</x:v>
      </x:c>
    </x:row>
    <x:row r="24">
      <x:c r="A24" s="18" t="str">
        <x:v>Calibration intercept</x:v>
      </x:c>
      <x:c r="B24" s="46" t="n">
        <x:v>0</x:v>
      </x:c>
      <x:c r="C24" s="18" t="str">
        <x:v>验证集估计；示例为 0</x:v>
      </x:c>
    </x:row>
    <x:row r="25">
      <x:c r="A25" s="18" t="str">
        <x:v>Calibration slope</x:v>
      </x:c>
      <x:c r="B25" s="46" t="n">
        <x:v>1</x:v>
      </x:c>
      <x:c r="C25" s="18" t="str">
        <x:v>验证集估计；&lt;1 表示原模型过度自信</x:v>
      </x:c>
    </x:row>
    <x:row r="26">
      <x:c r="A26" s="18" t="str">
        <x:v>q_calibrated</x:v>
      </x:c>
      <x:c r="B26" s="46" t="n">
        <x:f>1/(1+EXP(-(B24+B25*LOG(MAX(MIN(B23,0.999),0.001)/(1-MAX(MIN(B23,0.999),0.001))))))</x:f>
        <x:v>0.6282739331968438</x:v>
      </x:c>
      <x:c r="C26" s="18" t="str">
        <x:v>上线只能用校准后的 q</x:v>
      </x:c>
    </x:row>
    <x:row r="27">
      <x:c r="A27" s="18" t="str">
        <x:v>Edge vs executable p</x:v>
      </x:c>
      <x:c r="B27" s="46" t="n">
        <x:f>B26-Dashboard!B4-Dashboard!B6</x:f>
        <x:v>-0.3247260668031562</x:v>
      </x:c>
      <x:c r="C27" s="18" t="str">
        <x:v>q - p - cost</x:v>
      </x:c>
    </x:row>
    <x:row r="28">
      <x:c r="A28" s="18" t="str">
        <x:v>Decision</x:v>
      </x:c>
      <x:c r="B28" s="44" t="str">
        <x:f>IF(B27&gt;IF(Dashboard!B4&gt;=Assumptions!C21,Assumptions!C10,Assumptions!C9),"TRADE_CANDIDATE","NO_TRADE")</x:f>
        <x:v>NO_TRADE</x:v>
      </x:c>
      <x:c r="C28" s="18" t="str">
        <x:v>还需执行/风控过滤</x:v>
      </x:c>
    </x:row>
    <x:row r="31" ht="22" customHeight="1">
      <x:c r="A31" s="23" t="str">
        <x:v>C. 多因子建模原则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 ht="32" customHeight="1">
      <x:c r="A32" s="13" t="str">
        <x:v>Principle</x:v>
      </x:c>
      <x:c r="B32" s="13" t="str">
        <x:v>Implementation</x:v>
      </x:c>
    </x:row>
    <x:row r="33">
      <x:c r="A33" s="18" t="str">
        <x:v>先建 baseline</x:v>
      </x:c>
      <x:c r="B33" s="18" t="str">
        <x:v>只用市场价格 p 做 q baseline，然后所有复杂因子必须证明能提升 OOS logloss/Brier 和费用后 PnL。</x:v>
      </x:c>
    </x:row>
    <x:row r="34">
      <x:c r="A34" s="18" t="str">
        <x:v>优先做 residual</x:v>
      </x:c>
      <x:c r="B34" s="18" t="str">
        <x:v>模型的任务不是重复市场价格，而是找 q-p-cost 的稳定偏差。</x:v>
      </x:c>
    </x:row>
    <x:row r="35">
      <x:c r="A35" s="18" t="str">
        <x:v>校准优先于命中率</x:v>
      </x:c>
      <x:c r="B35" s="18" t="str">
        <x:v>0.95 桶预测 97% 但真实只有 94% 会长期亏损。</x:v>
      </x:c>
    </x:row>
    <x:row r="36">
      <x:c r="A36" s="18" t="str">
        <x:v>分桶参数</x:v>
      </x:c>
      <x:c r="B36" s="18" t="str">
        <x:v>同一个 edge threshold 不适合 p=0.55 与 p=0.95；边界价、低深度、临近到期要更严格。</x:v>
      </x:c>
    </x:row>
    <x:row r="37">
      <x:c r="A37" s="18" t="str">
        <x:v>因子消融</x:v>
      </x:c>
      <x:c r="B37" s="18" t="str">
        <x:v>每个因子/因子族要有 ablation：去掉后 OOS 是否下降。没有贡献就删除。</x:v>
      </x:c>
    </x:row>
  </x:sheetData>
  <x:mergeCells>
    <x:mergeCell ref="A1:L1"/>
    <x:mergeCell ref="A3:L3"/>
    <x:mergeCell ref="A10:L10"/>
    <x:mergeCell ref="A31:L31"/>
  </x:mergeCells>
  <x:conditionalFormatting sqref="B28:B28">
    <x:cfRule type="expression" dxfId="6" priority="1">
      <x:formula>B28="TRADE_CANDIDATE"</x:formula>
    </x:cfRule>
    <x:cfRule type="expression" dxfId="7" priority="2">
      <x:formula>B28="NO_TRADE"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fb88a17bae49e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4" hidden="0" customWidth="1"/>
    <x:col min="4" max="4" width="30" hidden="0" customWidth="1"/>
    <x:col min="5" max="5" width="22" hidden="0" customWidth="1"/>
    <x:col min="6" max="6" width="4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5" t="str">
        <x:v>TS_GameTheory｜时间序列 + 博弈论在系统中的位置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22" customHeight="1">
      <x:c r="A3" s="23" t="str">
        <x:v>时间序列方法：用于特征、状态与在线更新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2" customHeight="1">
      <x:c r="A4" s="13" t="str">
        <x:v>Method</x:v>
      </x:c>
      <x:c r="B4" s="13" t="str">
        <x:v>Where used</x:v>
      </x:c>
      <x:c r="C4" s="13" t="str">
        <x:v>Inputs</x:v>
      </x:c>
      <x:c r="D4" s="13" t="str">
        <x:v>Output</x:v>
      </x:c>
      <x:c r="E4" s="13" t="str">
        <x:v>Tune params</x:v>
      </x:c>
      <x:c r="F4" s="13" t="str">
        <x:v>上线注意</x:v>
      </x:c>
    </x:row>
    <x:row r="5">
      <x:c r="A5" s="18" t="str">
        <x:v>EWMA / rolling features</x:v>
      </x:c>
      <x:c r="B5" s="18" t="str">
        <x:v>短窗动量、波动、订单流</x:v>
      </x:c>
      <x:c r="C5" s="18" t="str">
        <x:v>price/trade/book seconds</x:v>
      </x:c>
      <x:c r="D5" s="18" t="str">
        <x:v>z-score features</x:v>
      </x:c>
      <x:c r="E5" s="18" t="str">
        <x:v>half-life/window</x:v>
      </x:c>
      <x:c r="F5" s="18" t="str">
        <x:v>所有窗口 shift(1)，避免偷看当前成交结果。</x:v>
      </x:c>
    </x:row>
    <x:row r="6">
      <x:c r="A6" s="18" t="str">
        <x:v>State space / Kalman</x:v>
      </x:c>
      <x:c r="B6" s="18" t="str">
        <x:v>平滑 noisy probability 或 BTC trend</x:v>
      </x:c>
      <x:c r="C6" s="18" t="str">
        <x:v>mid/spot returns</x:v>
      </x:c>
      <x:c r="D6" s="18" t="str">
        <x:v>latent trend</x:v>
      </x:c>
      <x:c r="E6" s="18" t="str">
        <x:v>process/obs noise</x:v>
      </x:c>
      <x:c r="F6" s="18" t="str">
        <x:v>只作为平滑器，不能压低突发风险。</x:v>
      </x:c>
    </x:row>
    <x:row r="7">
      <x:c r="A7" s="18" t="str">
        <x:v>HMM / regime clustering</x:v>
      </x:c>
      <x:c r="B7" s="18" t="str">
        <x:v>流动性/波动状态切换</x:v>
      </x:c>
      <x:c r="C7" s="18" t="str">
        <x:v>spread, depth, vol, volume</x:v>
      </x:c>
      <x:c r="D7" s="18" t="str">
        <x:v>regime id</x:v>
      </x:c>
      <x:c r="E7" s="18" t="str">
        <x:v>num states</x:v>
      </x:c>
      <x:c r="F7" s="18" t="str">
        <x:v>每个状态单独评估 edge 与仓位 cap。</x:v>
      </x:c>
    </x:row>
    <x:row r="8">
      <x:c r="A8" s="18" t="str">
        <x:v>AR/logit residual</x:v>
      </x:c>
      <x:c r="B8" s="18" t="str">
        <x:v>预测 market-price residual</x:v>
      </x:c>
      <x:c r="C8" s="18" t="str">
        <x:v>lagged q-p, flow, returns</x:v>
      </x:c>
      <x:c r="D8" s="18" t="str">
        <x:v>residual probability adjustment</x:v>
      </x:c>
      <x:c r="E8" s="18" t="str">
        <x:v>lags, regularization</x:v>
      </x:c>
      <x:c r="F8" s="18" t="str">
        <x:v>若收益来自自相关，需确认扣除滑点后仍存在。</x:v>
      </x:c>
    </x:row>
    <x:row r="9">
      <x:c r="A9" s="18" t="str">
        <x:v>Hawkes/order-flow intensity</x:v>
      </x:c>
      <x:c r="B9" s="18" t="str">
        <x:v>主动买卖压力、短期抢跑</x:v>
      </x:c>
      <x:c r="C9" s="18" t="str">
        <x:v>timestamped fills</x:v>
      </x:c>
      <x:c r="D9" s="18" t="str">
        <x:v>arrival intensity</x:v>
      </x:c>
      <x:c r="E9" s="18" t="str">
        <x:v>decay/kernel</x:v>
      </x:c>
      <x:c r="F9" s="18" t="str">
        <x:v>对 5–10s 决策有用，但很容易过拟合。</x:v>
      </x:c>
    </x:row>
    <x:row r="10">
      <x:c r="A10" s="18" t="str">
        <x:v>Online Bayesian update</x:v>
      </x:c>
      <x:c r="B10" s="18" t="str">
        <x:v>事件临近时更新 q</x:v>
      </x:c>
      <x:c r="C10" s="18" t="str">
        <x:v>prior p, new evidence</x:v>
      </x:c>
      <x:c r="D10" s="18" t="str">
        <x:v>posterior q</x:v>
      </x:c>
      <x:c r="E10" s="18" t="str">
        <x:v>prior strength</x:v>
      </x:c>
      <x:c r="F10" s="18" t="str">
        <x:v>避免每秒微小噪声导致过度交易。</x:v>
      </x:c>
    </x:row>
    <x:row r="14" ht="22" customHeight="1">
      <x:c r="A14" s="23" t="str">
        <x:v>博弈论/微观结构：用于执行和风控，不要只当“预测因子”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5" ht="32" customHeight="1">
      <x:c r="A15" s="13" t="str">
        <x:v>Concept</x:v>
      </x:c>
      <x:c r="B15" s="13" t="str">
        <x:v>Trading implication</x:v>
      </x:c>
      <x:c r="C15" s="13" t="str">
        <x:v>Metric / Feature</x:v>
      </x:c>
      <x:c r="D15" s="13" t="str">
        <x:v>Action rule</x:v>
      </x:c>
    </x:row>
    <x:row r="16">
      <x:c r="A16" s="18" t="str">
        <x:v>Adverse selection</x:v>
      </x:c>
      <x:c r="B16" s="18" t="str">
        <x:v>你吃到的单可能是对手知道更多/反应更快的报价。</x:v>
      </x:c>
      <x:c r="C16" s="18" t="str">
        <x:v>fill 后 5s/10s 的 adverse move；taker PnL by bucket</x:v>
      </x:c>
      <x:c r="D16" s="18" t="str">
        <x:v>adverse score 高时只挂单/降低仓位/不交易。</x:v>
      </x:c>
    </x:row>
    <x:row r="17">
      <x:c r="A17" s="18" t="str">
        <x:v>Waiting option</x:v>
      </x:c>
      <x:c r="B17" s="18" t="str">
        <x:v>不交易也是有价值的；尤其 p=0.95 时，等价于避免大额左尾。</x:v>
      </x:c>
      <x:c r="C17" s="18" t="str">
        <x:v>edge decay vs fill probability；seconds_to_resolution</x:v>
      </x:c>
      <x:c r="D17" s="18" t="str">
        <x:v>edge 不够厚时等待，而不是为了高胜率硬上。</x:v>
      </x:c>
    </x:row>
    <x:row r="18">
      <x:c r="A18" s="18" t="str">
        <x:v>Maker vs taker game</x:v>
      </x:c>
      <x:c r="B18" s="18" t="str">
        <x:v>挂单赚 spread 但有被挑选风险；吃单确定成交但付 spread。</x:v>
      </x:c>
      <x:c r="C18" s="18" t="str">
        <x:v>maker fill quality、queue position proxy、spread/depth</x:v>
      </x:c>
      <x:c r="D18" s="18" t="str">
        <x:v>按 bucket 选择 maker/taker，不能全局固定。</x:v>
      </x:c>
    </x:row>
    <x:row r="19">
      <x:c r="A19" s="18" t="str">
        <x:v>Crowding / herd</x:v>
      </x:c>
      <x:c r="B19" s="18" t="str">
        <x:v>短窗动量可能来自拥挤交易，反转风险高。</x:v>
      </x:c>
      <x:c r="C19" s="18" t="str">
        <x:v>one-sided flow, price acceleration, depth depletion</x:v>
      </x:c>
      <x:c r="D19" s="18" t="str">
        <x:v>拥挤且低深度时提高阈值或减仓。</x:v>
      </x:c>
    </x:row>
    <x:row r="20">
      <x:c r="A20" s="18" t="str">
        <x:v>Complement / arbitrage pressure</x:v>
      </x:c>
      <x:c r="B20" s="18" t="str">
        <x:v>YES/NO 互补关系会约束价格，偏离可能迅速被修复。</x:v>
      </x:c>
      <x:c r="C20" s="18" t="str">
        <x:v>YES ask + NO ask, YES bid + NO bid, merge/split costs</x:v>
      </x:c>
      <x:c r="D20" s="18" t="str">
        <x:v>优先交易可锁定/可退出的合成机会。</x:v>
      </x:c>
    </x:row>
    <x:row r="21">
      <x:c r="A21" s="18" t="str">
        <x:v>Final-seconds game</x:v>
      </x:c>
      <x:c r="B21" s="18" t="str">
        <x:v>临近判定时信息优势和执行风险都变大。</x:v>
      </x:c>
      <x:c r="C21" s="18" t="str">
        <x:v>time-to-resolution, spread jump, latency</x:v>
      </x:c>
      <x:c r="D21" s="18" t="str">
        <x:v>最后 N 秒禁止新开仓或只允许减仓。</x:v>
      </x:c>
    </x:row>
    <x:row r="25" ht="22" customHeight="1">
      <x:c r="A25" s="23" t="str">
        <x:v>把时间序列/博弈论放进多因子模型的方式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</x:row>
    <x:row r="26">
      <x:c r="A26" s="18" t="str">
        <x:v>1</x:v>
      </x:c>
      <x:c r="B26" s="18" t="str">
        <x:v>时间序列因子 → 进入 q 模型</x:v>
      </x:c>
      <x:c r="C26" s="18" t="str">
        <x:v>例如 BTC return、distance_to_threshold、order-flow imbalance。</x:v>
      </x:c>
      <x:c r="D26" t="str"/>
      <x:c r="E26" t="str"/>
      <x:c r="F26" t="str"/>
      <x:c r="G26" t="str"/>
      <x:c r="H26" t="str"/>
      <x:c r="I26" t="str"/>
      <x:c r="J26" t="str"/>
      <x:c r="K26" t="str"/>
    </x:row>
    <x:row r="27">
      <x:c r="A27" s="18" t="str">
        <x:v>2</x:v>
      </x:c>
      <x:c r="B27" s="18" t="str">
        <x:v>状态因子 → 选择模型/阈值</x:v>
      </x:c>
      <x:c r="C27" s="18" t="str">
        <x:v>例如高波动/低深度状态用更高 edge threshold 与更低 Kelly shrink。</x:v>
      </x:c>
      <x:c r="D27" t="str"/>
      <x:c r="E27" t="str"/>
      <x:c r="F27" t="str"/>
      <x:c r="G27" t="str"/>
      <x:c r="H27" t="str"/>
      <x:c r="I27" t="str"/>
      <x:c r="J27" t="str"/>
      <x:c r="K27" t="str"/>
    </x:row>
    <x:row r="28">
      <x:c r="A28" s="18" t="str">
        <x:v>3</x:v>
      </x:c>
      <x:c r="B28" s="18" t="str">
        <x:v>博弈论因子 → 执行过滤</x:v>
      </x:c>
      <x:c r="C28" s="18" t="str">
        <x:v>例如 adverse_selection_score 高时，哪怕 q-p&gt;0，也可能不吃单。</x:v>
      </x:c>
      <x:c r="D28" t="str"/>
      <x:c r="E28" t="str"/>
      <x:c r="F28" t="str"/>
      <x:c r="G28" t="str"/>
      <x:c r="H28" t="str"/>
      <x:c r="I28" t="str"/>
      <x:c r="J28" t="str"/>
      <x:c r="K28" t="str"/>
    </x:row>
    <x:row r="29">
      <x:c r="A29" s="18" t="str">
        <x:v>4</x:v>
      </x:c>
      <x:c r="B29" s="18" t="str">
        <x:v>风险因子 → 仓位约束</x:v>
      </x:c>
      <x:c r="C29" s="18" t="str">
        <x:v>例如 p&gt;=0.90、临近到期、低流动性时强制 cap。</x:v>
      </x:c>
      <x:c r="D29" t="str"/>
      <x:c r="E29" t="str"/>
      <x:c r="F29" t="str"/>
      <x:c r="G29" t="str"/>
      <x:c r="H29" t="str"/>
      <x:c r="I29" t="str"/>
      <x:c r="J29" t="str"/>
      <x:c r="K29" t="str"/>
    </x:row>
    <x:row r="30">
      <x:c r="A30" s="18" t="str">
        <x:v>5</x:v>
      </x:c>
      <x:c r="B30" s="18" t="str">
        <x:v>消融验证</x:v>
      </x:c>
      <x:c r="C30" s="18" t="str">
        <x:v>每类因子必须证明 OOS + paper trading 中有稳定边际收益。</x:v>
      </x:c>
      <x:c r="D30" t="str"/>
      <x:c r="E30" t="str"/>
      <x:c r="F30" t="str"/>
      <x:c r="G30" t="str"/>
      <x:c r="H30" t="str"/>
      <x:c r="I30" t="str"/>
      <x:c r="J30" t="str"/>
      <x:c r="K30" t="str"/>
    </x:row>
  </x:sheetData>
  <x:mergeCells>
    <x:mergeCell ref="A1:K1"/>
    <x:mergeCell ref="A3:K3"/>
    <x:mergeCell ref="A14:K14"/>
    <x:mergeCell ref="A25:K25"/>
  </x:mergeCells>
  <x:pageMargins left="0.7" right="0.7" top="0.75" bottom="0.75" header="0.3" footer="0.3"/>
  <x:tableParts count="2">
    <x:tablePart xmlns:r="http://schemas.openxmlformats.org/officeDocument/2006/relationships" r:id="Re1d6bf436d854308"/>
    <x:tablePart xmlns:r="http://schemas.openxmlformats.org/officeDocument/2006/relationships" r:id="R591abbce037e463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2" hidden="0" customWidth="1"/>
    <x:col min="24" max="24" width="12" hidden="0" customWidth="1"/>
  </x:cols>
  <x:sheetData>
    <x:row r="1" ht="28" customHeight="1">
      <x:c r="A1" s="5" t="str">
        <x:v>Backtest_Template｜二元市场回测模板：EV、Kelly、PnL、回撤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3">
      <x:c r="A3" s="13" t="str">
        <x:v>Metric</x:v>
      </x:c>
      <x:c r="B3" s="13" t="str">
        <x:v>Formula / Value</x:v>
      </x:c>
      <x:c r="C3" s="13" t="str">
        <x:v>Notes</x:v>
      </x:c>
    </x:row>
    <x:row r="4">
      <x:c r="A4" s="18" t="str">
        <x:v>Total net PnL</x:v>
      </x:c>
      <x:c r="B4" s="44" t="n">
        <x:f>SUM(U16:U515)</x:f>
        <x:v>-142.9374238088766</x:v>
      </x:c>
      <x:c r="C4" s="18" t="str">
        <x:v>费用后净收益</x:v>
      </x:c>
    </x:row>
    <x:row r="5">
      <x:c r="A5" s="18" t="str">
        <x:v>Avg EV / trade</x:v>
      </x:c>
      <x:c r="B5" s="45" t="n">
        <x:f>IFERROR(AVERAGEIF(W16:W515,"TRADE",K16:K515),0)</x:f>
        <x:v>0</x:v>
      </x:c>
      <x:c r="C5" s="18" t="str">
        <x:v>仅统计通过交易门槛的候选交易</x:v>
      </x:c>
    </x:row>
    <x:row r="6">
      <x:c r="A6" s="18" t="str">
        <x:v>LogLoss improvement vs baseline</x:v>
      </x:c>
      <x:c r="B6" s="45" t="n">
        <x:v>-0.002</x:v>
      </x:c>
      <x:c r="C6" s="18" t="str">
        <x:v>示例占位；用模型 q vs 市场 p 的 OOS logloss 差</x:v>
      </x:c>
    </x:row>
    <x:row r="7">
      <x:c r="A7" s="18" t="str">
        <x:v>Extreme bucket p&gt;=0.90 EV</x:v>
      </x:c>
      <x:c r="B7" s="45" t="n">
        <x:f>IFERROR(AVERAGEIFS(K16:K515,F16:F515,"&gt;=0.9",W16:W515,"TRADE"),0)</x:f>
        <x:v>0</x:v>
      </x:c>
      <x:c r="C7" s="18" t="str">
        <x:v>边界价格单独看</x:v>
      </x:c>
    </x:row>
    <x:row r="8">
      <x:c r="A8" s="18" t="str">
        <x:v>Max drawdown</x:v>
      </x:c>
      <x:c r="B8" s="46" t="n">
        <x:f>MIN(W16:W515)</x:f>
        <x:v>-0.03849514202369386</x:v>
      </x:c>
      <x:c r="C8" s="18" t="str">
        <x:v>资金曲线回撤</x:v>
      </x:c>
    </x:row>
    <x:row r="15">
      <x:c r="A15" s="13" t="str">
        <x:v>Timestamp</x:v>
      </x:c>
      <x:c r="B15" s="13" t="str">
        <x:v>Market_ID</x:v>
      </x:c>
      <x:c r="C15" s="13" t="str">
        <x:v>Event_End</x:v>
      </x:c>
      <x:c r="D15" s="13" t="str">
        <x:v>Seconds_To_Resolution</x:v>
      </x:c>
      <x:c r="E15" s="13" t="str">
        <x:v>Side</x:v>
      </x:c>
      <x:c r="F15" s="13" t="str">
        <x:v>Entry_Price</x:v>
      </x:c>
      <x:c r="G15" s="13" t="str">
        <x:v>Exit_Price_if_MTM</x:v>
      </x:c>
      <x:c r="H15" s="13" t="str">
        <x:v>q_hat_yes</x:v>
      </x:c>
      <x:c r="I15" s="13" t="str">
        <x:v>q_side</x:v>
      </x:c>
      <x:c r="J15" s="13" t="str">
        <x:v>Cost_per_share</x:v>
      </x:c>
      <x:c r="K15" s="13" t="str">
        <x:v>Edge_per_share</x:v>
      </x:c>
      <x:c r="L15" s="13" t="str">
        <x:v>Kelly_Full</x:v>
      </x:c>
      <x:c r="M15" s="13" t="str">
        <x:v>Kelly_Used</x:v>
      </x:c>
      <x:c r="N15" s="13" t="str">
        <x:v>Bankroll_Before</x:v>
      </x:c>
      <x:c r="O15" s="13" t="str">
        <x:v>Stake_USDC</x:v>
      </x:c>
      <x:c r="P15" s="13" t="str">
        <x:v>Shares</x:v>
      </x:c>
      <x:c r="Q15" s="13" t="str">
        <x:v>Outcome_Yes</x:v>
      </x:c>
      <x:c r="R15" s="13" t="str">
        <x:v>Exit_Mode</x:v>
      </x:c>
      <x:c r="S15" s="13" t="str">
        <x:v>Gross_PnL</x:v>
      </x:c>
      <x:c r="T15" s="13" t="str">
        <x:v>Cost_USDC</x:v>
      </x:c>
      <x:c r="U15" s="13" t="str">
        <x:v>Net_PnL</x:v>
      </x:c>
      <x:c r="V15" s="13" t="str">
        <x:v>Bankroll_After</x:v>
      </x:c>
      <x:c r="W15" s="13" t="str">
        <x:v>Drawdown</x:v>
      </x:c>
      <x:c r="X15" s="13" t="str">
        <x:v>Trade_Flag</x:v>
      </x:c>
    </x:row>
    <x:row r="16">
      <x:c r="A16" s="66" t="n">
        <x:v>46167.5</x:v>
      </x:c>
      <x:c r="B16" s="66" t="str">
        <x:v>MKT_1000</x:v>
      </x:c>
      <x:c r="C16" s="66" t="n">
        <x:v>46167.50347222222</x:v>
      </x:c>
      <x:c r="D16" t="n">
        <x:v>300</x:v>
      </x:c>
      <x:c r="E16" t="str">
        <x:v>NO</x:v>
      </x:c>
      <x:c r="F16" s="74" t="n">
        <x:v>0.52</x:v>
      </x:c>
      <x:c r="G16" s="74" t="n">
        <x:v>0.52</x:v>
      </x:c>
      <x:c r="H16" s="74" t="n">
        <x:v>0.535</x:v>
      </x:c>
      <x:c r="I16" s="74" t="n">
        <x:f>IF(E16="YES",H16,1-H16)</x:f>
        <x:v>0.46499999999999997</x:v>
      </x:c>
      <x:c r="J16" s="76" t="n">
        <x:f>Assumptions!$C$12+Assumptions!$C$11*F16</x:f>
        <x:v>0.003</x:v>
      </x:c>
      <x:c r="K16" s="76" t="n">
        <x:f>I16-F16-J16</x:f>
        <x:v>-0.05800000000000005</x:v>
      </x:c>
      <x:c r="L16" s="74" t="n">
        <x:f>MAX(0,IFERROR(K16/(1-F16),0))</x:f>
        <x:v>0</x:v>
      </x:c>
      <x:c r="M16" s="74" t="n">
        <x:f>MIN(Assumptions!$C$8*L16,Assumptions!$C$5)</x:f>
        <x:v>0</x:v>
      </x:c>
      <x:c r="N16" s="78" t="n">
        <x:f>IF(ROW()=16,Assumptions!$C$4,V15)</x:f>
        <x:v>10000</x:v>
      </x:c>
      <x:c r="O16" s="78" t="n">
        <x:f>IF(AND(K16&gt;IF(F16&gt;=Assumptions!$C$21,Assumptions!$C$10,Assumptions!$C$9),D16&gt;Assumptions!$C$23),N16*M16,0)</x:f>
        <x:v>0</x:v>
      </x:c>
      <x:c r="P16" s="78" t="n">
        <x:f>IFERROR(O16/F16,0)</x:f>
        <x:v>0</x:v>
      </x:c>
      <x:c r="Q16" s="78" t="n">
        <x:v>0</x:v>
      </x:c>
      <x:c r="R16" s="78" t="str">
        <x:v>Resolve</x:v>
      </x:c>
      <x:c r="S16" s="78" t="n">
        <x:f>IF(R16="Resolve",IF(IF(E16="YES",Q16,1-Q16)=1,P16*(1-F16),-O16),P16*(G16-F16))</x:f>
        <x:v>0</x:v>
      </x:c>
      <x:c r="T16" s="78" t="n">
        <x:f>P16*J16</x:f>
        <x:v>0</x:v>
      </x:c>
      <x:c r="U16" s="78" t="n">
        <x:f>S16-T16</x:f>
        <x:v>0</x:v>
      </x:c>
      <x:c r="V16" s="78" t="n">
        <x:f>N16+U16</x:f>
        <x:v>10000</x:v>
      </x:c>
      <x:c r="W16" s="74" t="n">
        <x:f>IFERROR(V16/MAX($V$16:V16)-1,0)</x:f>
        <x:v>0</x:v>
      </x:c>
      <x:c r="X16" t="str">
        <x:f>IF(O16&gt;0,"TRADE","NO_TRADE")</x:f>
        <x:v>NO_TRADE</x:v>
      </x:c>
    </x:row>
    <x:row r="17">
      <x:c r="A17" s="66" t="n">
        <x:v>46167.50005787037</x:v>
      </x:c>
      <x:c r="B17" s="66" t="str">
        <x:v>MKT_1000</x:v>
      </x:c>
      <x:c r="C17" s="66" t="n">
        <x:v>46167.50347222222</x:v>
      </x:c>
      <x:c r="D17" t="n">
        <x:v>295</x:v>
      </x:c>
      <x:c r="E17" t="str">
        <x:v>YES</x:v>
      </x:c>
      <x:c r="F17" s="74" t="n">
        <x:v>0.61</x:v>
      </x:c>
      <x:c r="G17" s="74" t="n">
        <x:v>0.61</x:v>
      </x:c>
      <x:c r="H17" s="74" t="n">
        <x:v>0.63</x:v>
      </x:c>
      <x:c r="I17" s="74" t="n">
        <x:f>IF(E17="YES",H17,1-H17)</x:f>
        <x:v>0.63</x:v>
      </x:c>
      <x:c r="J17" s="76" t="n">
        <x:f>Assumptions!$C$12+Assumptions!$C$11*F17</x:f>
        <x:v>0.003</x:v>
      </x:c>
      <x:c r="K17" s="76" t="n">
        <x:f>I17-F17-J17</x:f>
        <x:v>0.01700000000000002</x:v>
      </x:c>
      <x:c r="L17" s="74" t="n">
        <x:f>MAX(0,IFERROR(K17/(1-F17),0))</x:f>
        <x:v>0.043589743589743636</x:v>
      </x:c>
      <x:c r="M17" s="74" t="n">
        <x:f>MIN(Assumptions!$C$8*L17,Assumptions!$C$5)</x:f>
        <x:v>0.005</x:v>
      </x:c>
      <x:c r="N17" s="78" t="n">
        <x:f>IF(ROW()=16,Assumptions!$C$4,V16)</x:f>
        <x:v>10000</x:v>
      </x:c>
      <x:c r="O17" s="78" t="n">
        <x:f>IF(AND(K17&gt;IF(F17&gt;=Assumptions!$C$21,Assumptions!$C$10,Assumptions!$C$9),D17&gt;Assumptions!$C$23),N17*M17,0)</x:f>
        <x:v>50</x:v>
      </x:c>
      <x:c r="P17" s="78" t="n">
        <x:f>IFERROR(O17/F17,0)</x:f>
        <x:v>81.9672131147541</x:v>
      </x:c>
      <x:c r="Q17" s="78" t="n">
        <x:v>1</x:v>
      </x:c>
      <x:c r="R17" s="78" t="str">
        <x:v>Resolve</x:v>
      </x:c>
      <x:c r="S17" s="78" t="n">
        <x:f>IF(R17="Resolve",IF(IF(E17="YES",Q17,1-Q17)=1,P17*(1-F17),-O17),P17*(G17-F17))</x:f>
        <x:v>31.967213114754102</x:v>
      </x:c>
      <x:c r="T17" s="78" t="n">
        <x:f>P17*J17</x:f>
        <x:v>0.24590163934426232</x:v>
      </x:c>
      <x:c r="U17" s="78" t="n">
        <x:f>S17-T17</x:f>
        <x:v>31.72131147540984</x:v>
      </x:c>
      <x:c r="V17" s="78" t="n">
        <x:f>N17+U17</x:f>
        <x:v>10031.72131147541</x:v>
      </x:c>
      <x:c r="W17" s="74" t="n">
        <x:f>IFERROR(V17/MAX($V$16:V17)-1,0)</x:f>
        <x:v>0</x:v>
      </x:c>
      <x:c r="X17" t="str">
        <x:f>IF(O17&gt;0,"TRADE","NO_TRADE")</x:f>
        <x:v>TRADE</x:v>
      </x:c>
    </x:row>
    <x:row r="18">
      <x:c r="A18" s="66" t="n">
        <x:v>46167.50011574074</x:v>
      </x:c>
      <x:c r="B18" s="66" t="str">
        <x:v>MKT_1000</x:v>
      </x:c>
      <x:c r="C18" s="66" t="n">
        <x:v>46167.50347222222</x:v>
      </x:c>
      <x:c r="D18" t="n">
        <x:v>290</x:v>
      </x:c>
      <x:c r="E18" t="str">
        <x:v>YES</x:v>
      </x:c>
      <x:c r="F18" s="74" t="n">
        <x:v>0.74</x:v>
      </x:c>
      <x:c r="G18" s="74" t="n">
        <x:v>0.74</x:v>
      </x:c>
      <x:c r="H18" s="74" t="n">
        <x:v>0.735</x:v>
      </x:c>
      <x:c r="I18" s="74" t="n">
        <x:f>IF(E18="YES",H18,1-H18)</x:f>
        <x:v>0.735</x:v>
      </x:c>
      <x:c r="J18" s="76" t="n">
        <x:f>Assumptions!$C$12+Assumptions!$C$11*F18</x:f>
        <x:v>0.003</x:v>
      </x:c>
      <x:c r="K18" s="76" t="n">
        <x:f>I18-F18-J18</x:f>
        <x:v>-0.008000000000000004</x:v>
      </x:c>
      <x:c r="L18" s="74" t="n">
        <x:f>MAX(0,IFERROR(K18/(1-F18),0))</x:f>
        <x:v>0</x:v>
      </x:c>
      <x:c r="M18" s="74" t="n">
        <x:f>MIN(Assumptions!$C$8*L18,Assumptions!$C$5)</x:f>
        <x:v>0</x:v>
      </x:c>
      <x:c r="N18" s="78" t="n">
        <x:f>IF(ROW()=16,Assumptions!$C$4,V17)</x:f>
        <x:v>10031.72131147541</x:v>
      </x:c>
      <x:c r="O18" s="78" t="n">
        <x:f>IF(AND(K18&gt;IF(F18&gt;=Assumptions!$C$21,Assumptions!$C$10,Assumptions!$C$9),D18&gt;Assumptions!$C$23),N18*M18,0)</x:f>
        <x:v>0</x:v>
      </x:c>
      <x:c r="P18" s="78" t="n">
        <x:f>IFERROR(O18/F18,0)</x:f>
        <x:v>0</x:v>
      </x:c>
      <x:c r="Q18" s="78" t="n">
        <x:v>1</x:v>
      </x:c>
      <x:c r="R18" s="78" t="str">
        <x:v>Resolve</x:v>
      </x:c>
      <x:c r="S18" s="78" t="n">
        <x:f>IF(R18="Resolve",IF(IF(E18="YES",Q18,1-Q18)=1,P18*(1-F18),-O18),P18*(G18-F18))</x:f>
        <x:v>0</x:v>
      </x:c>
      <x:c r="T18" s="78" t="n">
        <x:f>P18*J18</x:f>
        <x:v>0</x:v>
      </x:c>
      <x:c r="U18" s="78" t="n">
        <x:f>S18-T18</x:f>
        <x:v>0</x:v>
      </x:c>
      <x:c r="V18" s="78" t="n">
        <x:f>N18+U18</x:f>
        <x:v>10031.72131147541</x:v>
      </x:c>
      <x:c r="W18" s="74" t="n">
        <x:f>IFERROR(V18/MAX($V$16:V18)-1,0)</x:f>
        <x:v>0</x:v>
      </x:c>
      <x:c r="X18" t="str">
        <x:f>IF(O18&gt;0,"TRADE","NO_TRADE")</x:f>
        <x:v>NO_TRADE</x:v>
      </x:c>
    </x:row>
    <x:row r="19">
      <x:c r="A19" s="66" t="n">
        <x:v>46167.50017361111</x:v>
      </x:c>
      <x:c r="B19" s="66" t="str">
        <x:v>MKT_1000</x:v>
      </x:c>
      <x:c r="C19" s="66" t="n">
        <x:v>46167.50347222222</x:v>
      </x:c>
      <x:c r="D19" t="n">
        <x:v>285</x:v>
      </x:c>
      <x:c r="E19" t="str">
        <x:v>NO</x:v>
      </x:c>
      <x:c r="F19" s="74" t="n">
        <x:v>0.88</x:v>
      </x:c>
      <x:c r="G19" s="74" t="n">
        <x:v>0.88</x:v>
      </x:c>
      <x:c r="H19" s="74" t="n">
        <x:v>0.91</x:v>
      </x:c>
      <x:c r="I19" s="74" t="n">
        <x:f>IF(E19="YES",H19,1-H19)</x:f>
        <x:v>0.08999999999999997</x:v>
      </x:c>
      <x:c r="J19" s="76" t="n">
        <x:f>Assumptions!$C$12+Assumptions!$C$11*F19</x:f>
        <x:v>0.003</x:v>
      </x:c>
      <x:c r="K19" s="76" t="n">
        <x:f>I19-F19-J19</x:f>
        <x:v>-0.793</x:v>
      </x:c>
      <x:c r="L19" s="74" t="n">
        <x:f>MAX(0,IFERROR(K19/(1-F19),0))</x:f>
        <x:v>0</x:v>
      </x:c>
      <x:c r="M19" s="74" t="n">
        <x:f>MIN(Assumptions!$C$8*L19,Assumptions!$C$5)</x:f>
        <x:v>0</x:v>
      </x:c>
      <x:c r="N19" s="78" t="n">
        <x:f>IF(ROW()=16,Assumptions!$C$4,V18)</x:f>
        <x:v>10031.72131147541</x:v>
      </x:c>
      <x:c r="O19" s="78" t="n">
        <x:f>IF(AND(K19&gt;IF(F19&gt;=Assumptions!$C$21,Assumptions!$C$10,Assumptions!$C$9),D19&gt;Assumptions!$C$23),N19*M19,0)</x:f>
        <x:v>0</x:v>
      </x:c>
      <x:c r="P19" s="78" t="n">
        <x:f>IFERROR(O19/F19,0)</x:f>
        <x:v>0</x:v>
      </x:c>
      <x:c r="Q19" s="78" t="n">
        <x:v>0</x:v>
      </x:c>
      <x:c r="R19" s="78" t="str">
        <x:v>Resolve</x:v>
      </x:c>
      <x:c r="S19" s="78" t="n">
        <x:f>IF(R19="Resolve",IF(IF(E19="YES",Q19,1-Q19)=1,P19*(1-F19),-O19),P19*(G19-F19))</x:f>
        <x:v>0</x:v>
      </x:c>
      <x:c r="T19" s="78" t="n">
        <x:f>P19*J19</x:f>
        <x:v>0</x:v>
      </x:c>
      <x:c r="U19" s="78" t="n">
        <x:f>S19-T19</x:f>
        <x:v>0</x:v>
      </x:c>
      <x:c r="V19" s="78" t="n">
        <x:f>N19+U19</x:f>
        <x:v>10031.72131147541</x:v>
      </x:c>
      <x:c r="W19" s="74" t="n">
        <x:f>IFERROR(V19/MAX($V$16:V19)-1,0)</x:f>
        <x:v>0</x:v>
      </x:c>
      <x:c r="X19" t="str">
        <x:f>IF(O19&gt;0,"TRADE","NO_TRADE")</x:f>
        <x:v>NO_TRADE</x:v>
      </x:c>
    </x:row>
    <x:row r="20">
      <x:c r="A20" s="66" t="n">
        <x:v>46167.500231481485</x:v>
      </x:c>
      <x:c r="B20" s="66" t="str">
        <x:v>MKT_1000</x:v>
      </x:c>
      <x:c r="C20" s="66" t="n">
        <x:v>46167.50347222222</x:v>
      </x:c>
      <x:c r="D20" t="n">
        <x:v>280</x:v>
      </x:c>
      <x:c r="E20" t="str">
        <x:v>YES</x:v>
      </x:c>
      <x:c r="F20" s="74" t="n">
        <x:v>0.94</x:v>
      </x:c>
      <x:c r="G20" s="74" t="n">
        <x:v>0.94</x:v>
      </x:c>
      <x:c r="H20" s="74" t="n">
        <x:v>0.98</x:v>
      </x:c>
      <x:c r="I20" s="74" t="n">
        <x:f>IF(E20="YES",H20,1-H20)</x:f>
        <x:v>0.98</x:v>
      </x:c>
      <x:c r="J20" s="76" t="n">
        <x:f>Assumptions!$C$12+Assumptions!$C$11*F20</x:f>
        <x:v>0.003</x:v>
      </x:c>
      <x:c r="K20" s="76" t="n">
        <x:f>I20-F20-J20</x:f>
        <x:v>0.03700000000000003</x:v>
      </x:c>
      <x:c r="L20" s="74" t="n">
        <x:f>MAX(0,IFERROR(K20/(1-F20),0))</x:f>
        <x:v>0.6166666666666667</x:v>
      </x:c>
      <x:c r="M20" s="74" t="n">
        <x:f>MIN(Assumptions!$C$8*L20,Assumptions!$C$5)</x:f>
        <x:v>0.005</x:v>
      </x:c>
      <x:c r="N20" s="78" t="n">
        <x:f>IF(ROW()=16,Assumptions!$C$4,V19)</x:f>
        <x:v>10031.72131147541</x:v>
      </x:c>
      <x:c r="O20" s="78" t="n">
        <x:f>IF(AND(K20&gt;IF(F20&gt;=Assumptions!$C$21,Assumptions!$C$10,Assumptions!$C$9),D20&gt;Assumptions!$C$23),N20*M20,0)</x:f>
        <x:v>50.158606557377055</x:v>
      </x:c>
      <x:c r="P20" s="78" t="n">
        <x:f>IFERROR(O20/F20,0)</x:f>
        <x:v>53.36021974189049</x:v>
      </x:c>
      <x:c r="Q20" s="78" t="n">
        <x:v>1</x:v>
      </x:c>
      <x:c r="R20" s="78" t="str">
        <x:v>Resolve</x:v>
      </x:c>
      <x:c r="S20" s="78" t="n">
        <x:f>IF(R20="Resolve",IF(IF(E20="YES",Q20,1-Q20)=1,P20*(1-F20),-O20),P20*(G20-F20))</x:f>
        <x:v>3.201613184513432</x:v>
      </x:c>
      <x:c r="T20" s="78" t="n">
        <x:f>P20*J20</x:f>
        <x:v>0.16008065922567147</x:v>
      </x:c>
      <x:c r="U20" s="78" t="n">
        <x:f>S20-T20</x:f>
        <x:v>3.0415325252877605</x:v>
      </x:c>
      <x:c r="V20" s="78" t="n">
        <x:f>N20+U20</x:f>
        <x:v>10034.762844000697</x:v>
      </x:c>
      <x:c r="W20" s="74" t="n">
        <x:f>IFERROR(V20/MAX($V$16:V20)-1,0)</x:f>
        <x:v>0</x:v>
      </x:c>
      <x:c r="X20" t="str">
        <x:f>IF(O20&gt;0,"TRADE","NO_TRADE")</x:f>
        <x:v>TRADE</x:v>
      </x:c>
    </x:row>
    <x:row r="21">
      <x:c r="A21" s="66" t="n">
        <x:v>46167.500289351854</x:v>
      </x:c>
      <x:c r="B21" s="66" t="str">
        <x:v>MKT_1000</x:v>
      </x:c>
      <x:c r="C21" s="66" t="n">
        <x:v>46167.50347222222</x:v>
      </x:c>
      <x:c r="D21" t="n">
        <x:v>275</x:v>
      </x:c>
      <x:c r="E21" t="str">
        <x:v>YES</x:v>
      </x:c>
      <x:c r="F21" s="74" t="n">
        <x:v>0.95</x:v>
      </x:c>
      <x:c r="G21" s="74" t="n">
        <x:v>0.95</x:v>
      </x:c>
      <x:c r="H21" s="74" t="n">
        <x:v>0.968</x:v>
      </x:c>
      <x:c r="I21" s="74" t="n">
        <x:f>IF(E21="YES",H21,1-H21)</x:f>
        <x:v>0.968</x:v>
      </x:c>
      <x:c r="J21" s="76" t="n">
        <x:f>Assumptions!$C$12+Assumptions!$C$11*F21</x:f>
        <x:v>0.003</x:v>
      </x:c>
      <x:c r="K21" s="76" t="n">
        <x:f>I21-F21-J21</x:f>
        <x:v>0.015000000000000017</x:v>
      </x:c>
      <x:c r="L21" s="74" t="n">
        <x:f>MAX(0,IFERROR(K21/(1-F21),0))</x:f>
        <x:v>0.30000000000000004</x:v>
      </x:c>
      <x:c r="M21" s="74" t="n">
        <x:f>MIN(Assumptions!$C$8*L21,Assumptions!$C$5)</x:f>
        <x:v>0.005</x:v>
      </x:c>
      <x:c r="N21" s="78" t="n">
        <x:f>IF(ROW()=16,Assumptions!$C$4,V20)</x:f>
        <x:v>10034.762844000697</x:v>
      </x:c>
      <x:c r="O21" s="78" t="n">
        <x:f>IF(AND(K21&gt;IF(F21&gt;=Assumptions!$C$21,Assumptions!$C$10,Assumptions!$C$9),D21&gt;Assumptions!$C$23),N21*M21,0)</x:f>
        <x:v>50.173814220003486</x:v>
      </x:c>
      <x:c r="P21" s="78" t="n">
        <x:f>IFERROR(O21/F21,0)</x:f>
        <x:v>52.8145412842142</x:v>
      </x:c>
      <x:c r="Q21" s="78" t="n">
        <x:v>1</x:v>
      </x:c>
      <x:c r="R21" s="78" t="str">
        <x:v>Resolve</x:v>
      </x:c>
      <x:c r="S21" s="78" t="n">
        <x:f>IF(R21="Resolve",IF(IF(E21="YES",Q21,1-Q21)=1,P21*(1-F21),-O21),P21*(G21-F21))</x:f>
        <x:v>2.6407270642107123</x:v>
      </x:c>
      <x:c r="T21" s="78" t="n">
        <x:f>P21*J21</x:f>
        <x:v>0.1584436238526426</x:v>
      </x:c>
      <x:c r="U21" s="78" t="n">
        <x:f>S21-T21</x:f>
        <x:v>2.48228344035807</x:v>
      </x:c>
      <x:c r="V21" s="78" t="n">
        <x:f>N21+U21</x:f>
        <x:v>10037.245127441056</x:v>
      </x:c>
      <x:c r="W21" s="74" t="n">
        <x:f>IFERROR(V21/MAX($V$16:V21)-1,0)</x:f>
        <x:v>0</x:v>
      </x:c>
      <x:c r="X21" t="str">
        <x:f>IF(O21&gt;0,"TRADE","NO_TRADE")</x:f>
        <x:v>TRADE</x:v>
      </x:c>
    </x:row>
    <x:row r="22">
      <x:c r="A22" s="66" t="n">
        <x:v>46167.50034722222</x:v>
      </x:c>
      <x:c r="B22" s="66" t="str">
        <x:v>MKT_1000</x:v>
      </x:c>
      <x:c r="C22" s="66" t="n">
        <x:v>46167.50347222222</x:v>
      </x:c>
      <x:c r="D22" t="n">
        <x:v>270</x:v>
      </x:c>
      <x:c r="E22" t="str">
        <x:v>NO</x:v>
      </x:c>
      <x:c r="F22" s="74" t="n">
        <x:v>0.57</x:v>
      </x:c>
      <x:c r="G22" s="74" t="n">
        <x:v>0.57</x:v>
      </x:c>
      <x:c r="H22" s="74" t="n">
        <x:v>0.582</x:v>
      </x:c>
      <x:c r="I22" s="74" t="n">
        <x:f>IF(E22="YES",H22,1-H22)</x:f>
        <x:v>0.41800000000000004</x:v>
      </x:c>
      <x:c r="J22" s="76" t="n">
        <x:f>Assumptions!$C$12+Assumptions!$C$11*F22</x:f>
        <x:v>0.003</x:v>
      </x:c>
      <x:c r="K22" s="76" t="n">
        <x:f>I22-F22-J22</x:f>
        <x:v>-0.15499999999999992</x:v>
      </x:c>
      <x:c r="L22" s="74" t="n">
        <x:f>MAX(0,IFERROR(K22/(1-F22),0))</x:f>
        <x:v>0</x:v>
      </x:c>
      <x:c r="M22" s="74" t="n">
        <x:f>MIN(Assumptions!$C$8*L22,Assumptions!$C$5)</x:f>
        <x:v>0</x:v>
      </x:c>
      <x:c r="N22" s="78" t="n">
        <x:f>IF(ROW()=16,Assumptions!$C$4,V21)</x:f>
        <x:v>10037.245127441056</x:v>
      </x:c>
      <x:c r="O22" s="78" t="n">
        <x:f>IF(AND(K22&gt;IF(F22&gt;=Assumptions!$C$21,Assumptions!$C$10,Assumptions!$C$9),D22&gt;Assumptions!$C$23),N22*M22,0)</x:f>
        <x:v>0</x:v>
      </x:c>
      <x:c r="P22" s="78" t="n">
        <x:f>IFERROR(O22/F22,0)</x:f>
        <x:v>0</x:v>
      </x:c>
      <x:c r="Q22" s="78" t="n">
        <x:v>1</x:v>
      </x:c>
      <x:c r="R22" s="78" t="str">
        <x:v>Resolve</x:v>
      </x:c>
      <x:c r="S22" s="78" t="n">
        <x:f>IF(R22="Resolve",IF(IF(E22="YES",Q22,1-Q22)=1,P22*(1-F22),-O22),P22*(G22-F22))</x:f>
        <x:v>0</x:v>
      </x:c>
      <x:c r="T22" s="78" t="n">
        <x:f>P22*J22</x:f>
        <x:v>0</x:v>
      </x:c>
      <x:c r="U22" s="78" t="n">
        <x:f>S22-T22</x:f>
        <x:v>0</x:v>
      </x:c>
      <x:c r="V22" s="78" t="n">
        <x:f>N22+U22</x:f>
        <x:v>10037.245127441056</x:v>
      </x:c>
      <x:c r="W22" s="74" t="n">
        <x:f>IFERROR(V22/MAX($V$16:V22)-1,0)</x:f>
        <x:v>0</x:v>
      </x:c>
      <x:c r="X22" t="str">
        <x:f>IF(O22&gt;0,"TRADE","NO_TRADE")</x:f>
        <x:v>NO_TRADE</x:v>
      </x:c>
    </x:row>
    <x:row r="23">
      <x:c r="A23" s="66" t="n">
        <x:v>46167.50040509259</x:v>
      </x:c>
      <x:c r="B23" s="66" t="str">
        <x:v>MKT_1000</x:v>
      </x:c>
      <x:c r="C23" s="66" t="n">
        <x:v>46167.50347222222</x:v>
      </x:c>
      <x:c r="D23" t="n">
        <x:v>265</x:v>
      </x:c>
      <x:c r="E23" t="str">
        <x:v>YES</x:v>
      </x:c>
      <x:c r="F23" s="74" t="n">
        <x:v>0.68</x:v>
      </x:c>
      <x:c r="G23" s="74" t="n">
        <x:v>0.68</x:v>
      </x:c>
      <x:c r="H23" s="74" t="n">
        <x:v>0.7050000000000001</x:v>
      </x:c>
      <x:c r="I23" s="74" t="n">
        <x:f>IF(E23="YES",H23,1-H23)</x:f>
        <x:v>0.7050000000000001</x:v>
      </x:c>
      <x:c r="J23" s="76" t="n">
        <x:f>Assumptions!$C$12+Assumptions!$C$11*F23</x:f>
        <x:v>0.003</x:v>
      </x:c>
      <x:c r="K23" s="76" t="n">
        <x:f>I23-F23-J23</x:f>
        <x:v>0.022000000000000023</x:v>
      </x:c>
      <x:c r="L23" s="74" t="n">
        <x:f>MAX(0,IFERROR(K23/(1-F23),0))</x:f>
        <x:v>0.06875000000000009</x:v>
      </x:c>
      <x:c r="M23" s="74" t="n">
        <x:f>MIN(Assumptions!$C$8*L23,Assumptions!$C$5)</x:f>
        <x:v>0.005</x:v>
      </x:c>
      <x:c r="N23" s="78" t="n">
        <x:f>IF(ROW()=16,Assumptions!$C$4,V22)</x:f>
        <x:v>10037.245127441056</x:v>
      </x:c>
      <x:c r="O23" s="78" t="n">
        <x:f>IF(AND(K23&gt;IF(F23&gt;=Assumptions!$C$21,Assumptions!$C$10,Assumptions!$C$9),D23&gt;Assumptions!$C$23),N23*M23,0)</x:f>
        <x:v>50.18622563720528</x:v>
      </x:c>
      <x:c r="P23" s="78" t="n">
        <x:f>IFERROR(O23/F23,0)</x:f>
        <x:v>73.80327299589011</x:v>
      </x:c>
      <x:c r="Q23" s="78" t="n">
        <x:v>0</x:v>
      </x:c>
      <x:c r="R23" s="78" t="str">
        <x:v>Resolve</x:v>
      </x:c>
      <x:c r="S23" s="78" t="n">
        <x:f>IF(R23="Resolve",IF(IF(E23="YES",Q23,1-Q23)=1,P23*(1-F23),-O23),P23*(G23-F23))</x:f>
        <x:v>-50.18622563720528</x:v>
      </x:c>
      <x:c r="T23" s="78" t="n">
        <x:f>P23*J23</x:f>
        <x:v>0.22140981898767034</x:v>
      </x:c>
      <x:c r="U23" s="78" t="n">
        <x:f>S23-T23</x:f>
        <x:v>-50.407635456192956</x:v>
      </x:c>
      <x:c r="V23" s="78" t="n">
        <x:f>N23+U23</x:f>
        <x:v>9986.837491984863</x:v>
      </x:c>
      <x:c r="W23" s="74" t="n">
        <x:f>IFERROR(V23/MAX($V$16:V23)-1,0)</x:f>
        <x:v>-0.005022058823529463</x:v>
      </x:c>
      <x:c r="X23" t="str">
        <x:f>IF(O23&gt;0,"TRADE","NO_TRADE")</x:f>
        <x:v>TRADE</x:v>
      </x:c>
    </x:row>
    <x:row r="24">
      <x:c r="A24" s="66" t="n">
        <x:v>46167.50046296296</x:v>
      </x:c>
      <x:c r="B24" s="66" t="str">
        <x:v>MKT_1000</x:v>
      </x:c>
      <x:c r="C24" s="66" t="n">
        <x:v>46167.50347222222</x:v>
      </x:c>
      <x:c r="D24" t="n">
        <x:v>260</x:v>
      </x:c>
      <x:c r="E24" t="str">
        <x:v>YES</x:v>
      </x:c>
      <x:c r="F24" s="74" t="n">
        <x:v>0.91</x:v>
      </x:c>
      <x:c r="G24" s="74" t="n">
        <x:v>0.91</x:v>
      </x:c>
      <x:c r="H24" s="74" t="n">
        <x:v>0.9450000000000001</x:v>
      </x:c>
      <x:c r="I24" s="74" t="n">
        <x:f>IF(E24="YES",H24,1-H24)</x:f>
        <x:v>0.9450000000000001</x:v>
      </x:c>
      <x:c r="J24" s="76" t="n">
        <x:f>Assumptions!$C$12+Assumptions!$C$11*F24</x:f>
        <x:v>0.003</x:v>
      </x:c>
      <x:c r="K24" s="76" t="n">
        <x:f>I24-F24-J24</x:f>
        <x:v>0.03200000000000003</x:v>
      </x:c>
      <x:c r="L24" s="74" t="n">
        <x:f>MAX(0,IFERROR(K24/(1-F24),0))</x:f>
        <x:v>0.355555555555556</x:v>
      </x:c>
      <x:c r="M24" s="74" t="n">
        <x:f>MIN(Assumptions!$C$8*L24,Assumptions!$C$5)</x:f>
        <x:v>0.005</x:v>
      </x:c>
      <x:c r="N24" s="78" t="n">
        <x:f>IF(ROW()=16,Assumptions!$C$4,V23)</x:f>
        <x:v>9986.837491984863</x:v>
      </x:c>
      <x:c r="O24" s="78" t="n">
        <x:f>IF(AND(K24&gt;IF(F24&gt;=Assumptions!$C$21,Assumptions!$C$10,Assumptions!$C$9),D24&gt;Assumptions!$C$23),N24*M24,0)</x:f>
        <x:v>49.93418745992432</x:v>
      </x:c>
      <x:c r="P24" s="78" t="n">
        <x:f>IFERROR(O24/F24,0)</x:f>
        <x:v>54.8727334724443</x:v>
      </x:c>
      <x:c r="Q24" s="78" t="n">
        <x:v>1</x:v>
      </x:c>
      <x:c r="R24" s="78" t="str">
        <x:v>Resolve</x:v>
      </x:c>
      <x:c r="S24" s="78" t="n">
        <x:f>IF(R24="Resolve",IF(IF(E24="YES",Q24,1-Q24)=1,P24*(1-F24),-O24),P24*(G24-F24))</x:f>
        <x:v>4.938546012519986</x:v>
      </x:c>
      <x:c r="T24" s="78" t="n">
        <x:f>P24*J24</x:f>
        <x:v>0.1646182004173329</x:v>
      </x:c>
      <x:c r="U24" s="78" t="n">
        <x:f>S24-T24</x:f>
        <x:v>4.773927812102652</x:v>
      </x:c>
      <x:c r="V24" s="78" t="n">
        <x:f>N24+U24</x:f>
        <x:v>9991.611419796965</x:v>
      </x:c>
      <x:c r="W24" s="74" t="n">
        <x:f>IFERROR(V24/MAX($V$16:V24)-1,0)</x:f>
        <x:v>-0.004546437500000056</x:v>
      </x:c>
      <x:c r="X24" t="str">
        <x:f>IF(O24&gt;0,"TRADE","NO_TRADE")</x:f>
        <x:v>TRADE</x:v>
      </x:c>
    </x:row>
    <x:row r="25">
      <x:c r="A25" s="66" t="n">
        <x:v>46167.50052083333</x:v>
      </x:c>
      <x:c r="B25" s="66" t="str">
        <x:v>MKT_1000</x:v>
      </x:c>
      <x:c r="C25" s="66" t="n">
        <x:v>46167.50347222222</x:v>
      </x:c>
      <x:c r="D25" t="n">
        <x:v>255</x:v>
      </x:c>
      <x:c r="E25" t="str">
        <x:v>NO</x:v>
      </x:c>
      <x:c r="F25" s="74" t="n">
        <x:v>0.83</x:v>
      </x:c>
      <x:c r="G25" s="74" t="n">
        <x:v>0.83</x:v>
      </x:c>
      <x:c r="H25" s="74" t="n">
        <x:v>0.82</x:v>
      </x:c>
      <x:c r="I25" s="74" t="n">
        <x:f>IF(E25="YES",H25,1-H25)</x:f>
        <x:v>0.18000000000000005</x:v>
      </x:c>
      <x:c r="J25" s="76" t="n">
        <x:f>Assumptions!$C$12+Assumptions!$C$11*F25</x:f>
        <x:v>0.003</x:v>
      </x:c>
      <x:c r="K25" s="76" t="n">
        <x:f>I25-F25-J25</x:f>
        <x:v>-0.6529999999999999</x:v>
      </x:c>
      <x:c r="L25" s="74" t="n">
        <x:f>MAX(0,IFERROR(K25/(1-F25),0))</x:f>
        <x:v>0</x:v>
      </x:c>
      <x:c r="M25" s="74" t="n">
        <x:f>MIN(Assumptions!$C$8*L25,Assumptions!$C$5)</x:f>
        <x:v>0</x:v>
      </x:c>
      <x:c r="N25" s="78" t="n">
        <x:f>IF(ROW()=16,Assumptions!$C$4,V24)</x:f>
        <x:v>9991.611419796965</x:v>
      </x:c>
      <x:c r="O25" s="78" t="n">
        <x:f>IF(AND(K25&gt;IF(F25&gt;=Assumptions!$C$21,Assumptions!$C$10,Assumptions!$C$9),D25&gt;Assumptions!$C$23),N25*M25,0)</x:f>
        <x:v>0</x:v>
      </x:c>
      <x:c r="P25" s="78" t="n">
        <x:f>IFERROR(O25/F25,0)</x:f>
        <x:v>0</x:v>
      </x:c>
      <x:c r="Q25" s="78" t="n">
        <x:v>1</x:v>
      </x:c>
      <x:c r="R25" s="78" t="str">
        <x:v>Resolve</x:v>
      </x:c>
      <x:c r="S25" s="78" t="n">
        <x:f>IF(R25="Resolve",IF(IF(E25="YES",Q25,1-Q25)=1,P25*(1-F25),-O25),P25*(G25-F25))</x:f>
        <x:v>0</x:v>
      </x:c>
      <x:c r="T25" s="78" t="n">
        <x:f>P25*J25</x:f>
        <x:v>0</x:v>
      </x:c>
      <x:c r="U25" s="78" t="n">
        <x:f>S25-T25</x:f>
        <x:v>0</x:v>
      </x:c>
      <x:c r="V25" s="78" t="n">
        <x:f>N25+U25</x:f>
        <x:v>9991.611419796965</x:v>
      </x:c>
      <x:c r="W25" s="74" t="n">
        <x:f>IFERROR(V25/MAX($V$16:V25)-1,0)</x:f>
        <x:v>-0.004546437500000056</x:v>
      </x:c>
      <x:c r="X25" t="str">
        <x:f>IF(O25&gt;0,"TRADE","NO_TRADE")</x:f>
        <x:v>NO_TRADE</x:v>
      </x:c>
    </x:row>
    <x:row r="26">
      <x:c r="A26" s="66" t="n">
        <x:v>46167.5005787037</x:v>
      </x:c>
      <x:c r="B26" s="66" t="str">
        <x:v>MKT_1000</x:v>
      </x:c>
      <x:c r="C26" s="66" t="n">
        <x:v>46167.50347222222</x:v>
      </x:c>
      <x:c r="D26" t="n">
        <x:v>250</x:v>
      </x:c>
      <x:c r="E26" t="str">
        <x:v>YES</x:v>
      </x:c>
      <x:c r="F26" s="74" t="n">
        <x:v>0.52</x:v>
      </x:c>
      <x:c r="G26" s="74" t="n">
        <x:v>0.52</x:v>
      </x:c>
      <x:c r="H26" s="74" t="n">
        <x:v>0.535</x:v>
      </x:c>
      <x:c r="I26" s="74" t="n">
        <x:f>IF(E26="YES",H26,1-H26)</x:f>
        <x:v>0.535</x:v>
      </x:c>
      <x:c r="J26" s="76" t="n">
        <x:f>Assumptions!$C$12+Assumptions!$C$11*F26</x:f>
        <x:v>0.003</x:v>
      </x:c>
      <x:c r="K26" s="76" t="n">
        <x:f>I26-F26-J26</x:f>
        <x:v>0.012000000000000014</x:v>
      </x:c>
      <x:c r="L26" s="74" t="n">
        <x:f>MAX(0,IFERROR(K26/(1-F26),0))</x:f>
        <x:v>0.02500000000000003</x:v>
      </x:c>
      <x:c r="M26" s="74" t="n">
        <x:f>MIN(Assumptions!$C$8*L26,Assumptions!$C$5)</x:f>
        <x:v>0.005</x:v>
      </x:c>
      <x:c r="N26" s="78" t="n">
        <x:f>IF(ROW()=16,Assumptions!$C$4,V25)</x:f>
        <x:v>9991.611419796965</x:v>
      </x:c>
      <x:c r="O26" s="78" t="n">
        <x:f>IF(AND(K26&gt;IF(F26&gt;=Assumptions!$C$21,Assumptions!$C$10,Assumptions!$C$9),D26&gt;Assumptions!$C$23),N26*M26,0)</x:f>
        <x:v>49.95805709898483</x:v>
      </x:c>
      <x:c r="P26" s="78" t="n">
        <x:f>IFERROR(O26/F26,0)</x:f>
        <x:v>96.07318672881698</x:v>
      </x:c>
      <x:c r="Q26" s="78" t="n">
        <x:v>0</x:v>
      </x:c>
      <x:c r="R26" s="78" t="str">
        <x:v>Resolve</x:v>
      </x:c>
      <x:c r="S26" s="78" t="n">
        <x:f>IF(R26="Resolve",IF(IF(E26="YES",Q26,1-Q26)=1,P26*(1-F26),-O26),P26*(G26-F26))</x:f>
        <x:v>-49.95805709898483</x:v>
      </x:c>
      <x:c r="T26" s="78" t="n">
        <x:f>P26*J26</x:f>
        <x:v>0.28821956018645095</x:v>
      </x:c>
      <x:c r="U26" s="78" t="n">
        <x:f>S26-T26</x:f>
        <x:v>-50.24627665917128</x:v>
      </x:c>
      <x:c r="V26" s="78" t="n">
        <x:f>N26+U26</x:f>
        <x:v>9941.365143137795</x:v>
      </x:c>
      <x:c r="W26" s="74" t="n">
        <x:f>IFERROR(V26/MAX($V$16:V26)-1,0)</x:f>
        <x:v>-0.009552420319110522</x:v>
      </x:c>
      <x:c r="X26" t="str">
        <x:f>IF(O26&gt;0,"TRADE","NO_TRADE")</x:f>
        <x:v>TRADE</x:v>
      </x:c>
    </x:row>
    <x:row r="27">
      <x:c r="A27" s="66" t="n">
        <x:v>46167.50063657408</x:v>
      </x:c>
      <x:c r="B27" s="66" t="str">
        <x:v>MKT_1000</x:v>
      </x:c>
      <x:c r="C27" s="66" t="n">
        <x:v>46167.50347222222</x:v>
      </x:c>
      <x:c r="D27" t="n">
        <x:v>245</x:v>
      </x:c>
      <x:c r="E27" t="str">
        <x:v>YES</x:v>
      </x:c>
      <x:c r="F27" s="74" t="n">
        <x:v>0.61</x:v>
      </x:c>
      <x:c r="G27" s="74" t="n">
        <x:v>0.61</x:v>
      </x:c>
      <x:c r="H27" s="74" t="n">
        <x:v>0.63</x:v>
      </x:c>
      <x:c r="I27" s="74" t="n">
        <x:f>IF(E27="YES",H27,1-H27)</x:f>
        <x:v>0.63</x:v>
      </x:c>
      <x:c r="J27" s="76" t="n">
        <x:f>Assumptions!$C$12+Assumptions!$C$11*F27</x:f>
        <x:v>0.003</x:v>
      </x:c>
      <x:c r="K27" s="76" t="n">
        <x:f>I27-F27-J27</x:f>
        <x:v>0.01700000000000002</x:v>
      </x:c>
      <x:c r="L27" s="74" t="n">
        <x:f>MAX(0,IFERROR(K27/(1-F27),0))</x:f>
        <x:v>0.043589743589743636</x:v>
      </x:c>
      <x:c r="M27" s="74" t="n">
        <x:f>MIN(Assumptions!$C$8*L27,Assumptions!$C$5)</x:f>
        <x:v>0.005</x:v>
      </x:c>
      <x:c r="N27" s="78" t="n">
        <x:f>IF(ROW()=16,Assumptions!$C$4,V26)</x:f>
        <x:v>9941.365143137795</x:v>
      </x:c>
      <x:c r="O27" s="78" t="n">
        <x:f>IF(AND(K27&gt;IF(F27&gt;=Assumptions!$C$21,Assumptions!$C$10,Assumptions!$C$9),D27&gt;Assumptions!$C$23),N27*M27,0)</x:f>
        <x:v>49.70682571568898</x:v>
      </x:c>
      <x:c r="P27" s="78" t="n">
        <x:f>IFERROR(O27/F27,0)</x:f>
        <x:v>81.48659953391636</x:v>
      </x:c>
      <x:c r="Q27" s="78" t="n">
        <x:v>1</x:v>
      </x:c>
      <x:c r="R27" s="78" t="str">
        <x:v>Resolve</x:v>
      </x:c>
      <x:c r="S27" s="78" t="n">
        <x:f>IF(R27="Resolve",IF(IF(E27="YES",Q27,1-Q27)=1,P27*(1-F27),-O27),P27*(G27-F27))</x:f>
        <x:v>31.779773818227383</x:v>
      </x:c>
      <x:c r="T27" s="78" t="n">
        <x:f>P27*J27</x:f>
        <x:v>0.2444597986017491</x:v>
      </x:c>
      <x:c r="U27" s="78" t="n">
        <x:f>S27-T27</x:f>
        <x:v>31.535314019625634</x:v>
      </x:c>
      <x:c r="V27" s="78" t="n">
        <x:f>N27+U27</x:f>
        <x:v>9972.90045715742</x:v>
      </x:c>
      <x:c r="W27" s="74" t="n">
        <x:f>IFERROR(V27/MAX($V$16:V27)-1,0)</x:f>
        <x:v>-0.006410590701598218</x:v>
      </x:c>
      <x:c r="X27" t="str">
        <x:f>IF(O27&gt;0,"TRADE","NO_TRADE")</x:f>
        <x:v>TRADE</x:v>
      </x:c>
    </x:row>
    <x:row r="28">
      <x:c r="A28" s="66" t="n">
        <x:v>46167.50069444445</x:v>
      </x:c>
      <x:c r="B28" s="66" t="str">
        <x:v>MKT_1000</x:v>
      </x:c>
      <x:c r="C28" s="66" t="n">
        <x:v>46167.50347222222</x:v>
      </x:c>
      <x:c r="D28" t="n">
        <x:v>240</x:v>
      </x:c>
      <x:c r="E28" t="str">
        <x:v>NO</x:v>
      </x:c>
      <x:c r="F28" s="74" t="n">
        <x:v>0.74</x:v>
      </x:c>
      <x:c r="G28" s="74" t="n">
        <x:v>0.74</x:v>
      </x:c>
      <x:c r="H28" s="74" t="n">
        <x:v>0.735</x:v>
      </x:c>
      <x:c r="I28" s="74" t="n">
        <x:f>IF(E28="YES",H28,1-H28)</x:f>
        <x:v>0.265</x:v>
      </x:c>
      <x:c r="J28" s="76" t="n">
        <x:f>Assumptions!$C$12+Assumptions!$C$11*F28</x:f>
        <x:v>0.003</x:v>
      </x:c>
      <x:c r="K28" s="76" t="n">
        <x:f>I28-F28-J28</x:f>
        <x:v>-0.478</x:v>
      </x:c>
      <x:c r="L28" s="74" t="n">
        <x:f>MAX(0,IFERROR(K28/(1-F28),0))</x:f>
        <x:v>0</x:v>
      </x:c>
      <x:c r="M28" s="74" t="n">
        <x:f>MIN(Assumptions!$C$8*L28,Assumptions!$C$5)</x:f>
        <x:v>0</x:v>
      </x:c>
      <x:c r="N28" s="78" t="n">
        <x:f>IF(ROW()=16,Assumptions!$C$4,V27)</x:f>
        <x:v>9972.90045715742</x:v>
      </x:c>
      <x:c r="O28" s="78" t="n">
        <x:f>IF(AND(K28&gt;IF(F28&gt;=Assumptions!$C$21,Assumptions!$C$10,Assumptions!$C$9),D28&gt;Assumptions!$C$23),N28*M28,0)</x:f>
        <x:v>0</x:v>
      </x:c>
      <x:c r="P28" s="78" t="n">
        <x:f>IFERROR(O28/F28,0)</x:f>
        <x:v>0</x:v>
      </x:c>
      <x:c r="Q28" s="78" t="n">
        <x:v>1</x:v>
      </x:c>
      <x:c r="R28" s="78" t="str">
        <x:v>Resolve</x:v>
      </x:c>
      <x:c r="S28" s="78" t="n">
        <x:f>IF(R28="Resolve",IF(IF(E28="YES",Q28,1-Q28)=1,P28*(1-F28),-O28),P28*(G28-F28))</x:f>
        <x:v>0</x:v>
      </x:c>
      <x:c r="T28" s="78" t="n">
        <x:f>P28*J28</x:f>
        <x:v>0</x:v>
      </x:c>
      <x:c r="U28" s="78" t="n">
        <x:f>S28-T28</x:f>
        <x:v>0</x:v>
      </x:c>
      <x:c r="V28" s="78" t="n">
        <x:f>N28+U28</x:f>
        <x:v>9972.90045715742</x:v>
      </x:c>
      <x:c r="W28" s="74" t="n">
        <x:f>IFERROR(V28/MAX($V$16:V28)-1,0)</x:f>
        <x:v>-0.006410590701598218</x:v>
      </x:c>
      <x:c r="X28" t="str">
        <x:f>IF(O28&gt;0,"TRADE","NO_TRADE")</x:f>
        <x:v>NO_TRADE</x:v>
      </x:c>
    </x:row>
    <x:row r="29">
      <x:c r="A29" s="66" t="n">
        <x:v>46167.500752314816</x:v>
      </x:c>
      <x:c r="B29" s="66" t="str">
        <x:v>MKT_1000</x:v>
      </x:c>
      <x:c r="C29" s="66" t="n">
        <x:v>46167.50347222222</x:v>
      </x:c>
      <x:c r="D29" t="n">
        <x:v>235</x:v>
      </x:c>
      <x:c r="E29" t="str">
        <x:v>YES</x:v>
      </x:c>
      <x:c r="F29" s="74" t="n">
        <x:v>0.88</x:v>
      </x:c>
      <x:c r="G29" s="74" t="n">
        <x:v>0.88</x:v>
      </x:c>
      <x:c r="H29" s="74" t="n">
        <x:v>0.91</x:v>
      </x:c>
      <x:c r="I29" s="74" t="n">
        <x:f>IF(E29="YES",H29,1-H29)</x:f>
        <x:v>0.91</x:v>
      </x:c>
      <x:c r="J29" s="76" t="n">
        <x:f>Assumptions!$C$12+Assumptions!$C$11*F29</x:f>
        <x:v>0.003</x:v>
      </x:c>
      <x:c r="K29" s="76" t="n">
        <x:f>I29-F29-J29</x:f>
        <x:v>0.027000000000000027</x:v>
      </x:c>
      <x:c r="L29" s="74" t="n">
        <x:f>MAX(0,IFERROR(K29/(1-F29),0))</x:f>
        <x:v>0.22500000000000023</x:v>
      </x:c>
      <x:c r="M29" s="74" t="n">
        <x:f>MIN(Assumptions!$C$8*L29,Assumptions!$C$5)</x:f>
        <x:v>0.005</x:v>
      </x:c>
      <x:c r="N29" s="78" t="n">
        <x:f>IF(ROW()=16,Assumptions!$C$4,V28)</x:f>
        <x:v>9972.90045715742</x:v>
      </x:c>
      <x:c r="O29" s="78" t="n">
        <x:f>IF(AND(K29&gt;IF(F29&gt;=Assumptions!$C$21,Assumptions!$C$10,Assumptions!$C$9),D29&gt;Assumptions!$C$23),N29*M29,0)</x:f>
        <x:v>49.864502285787104</x:v>
      </x:c>
      <x:c r="P29" s="78" t="n">
        <x:f>IFERROR(O29/F29,0)</x:f>
        <x:v>56.664207142939894</x:v>
      </x:c>
      <x:c r="Q29" s="78" t="n">
        <x:v>1</x:v>
      </x:c>
      <x:c r="R29" s="78" t="str">
        <x:v>Resolve</x:v>
      </x:c>
      <x:c r="S29" s="78" t="n">
        <x:f>IF(R29="Resolve",IF(IF(E29="YES",Q29,1-Q29)=1,P29*(1-F29),-O29),P29*(G29-F29))</x:f>
        <x:v>6.799704857152787</x:v>
      </x:c>
      <x:c r="T29" s="78" t="n">
        <x:f>P29*J29</x:f>
        <x:v>0.16999262142881968</x:v>
      </x:c>
      <x:c r="U29" s="78" t="n">
        <x:f>S29-T29</x:f>
        <x:v>6.629712235723967</x:v>
      </x:c>
      <x:c r="V29" s="78" t="n">
        <x:f>N29+U29</x:f>
        <x:v>9979.530169393145</x:v>
      </x:c>
      <x:c r="W29" s="74" t="n">
        <x:f>IFERROR(V29/MAX($V$16:V29)-1,0)</x:f>
        <x:v>-0.0057500795601895804</x:v>
      </x:c>
      <x:c r="X29" t="str">
        <x:f>IF(O29&gt;0,"TRADE","NO_TRADE")</x:f>
        <x:v>TRADE</x:v>
      </x:c>
    </x:row>
    <x:row r="30">
      <x:c r="A30" s="66" t="n">
        <x:v>46167.500810185185</x:v>
      </x:c>
      <x:c r="B30" s="66" t="str">
        <x:v>MKT_1000</x:v>
      </x:c>
      <x:c r="C30" s="66" t="n">
        <x:v>46167.50347222222</x:v>
      </x:c>
      <x:c r="D30" t="n">
        <x:v>230</x:v>
      </x:c>
      <x:c r="E30" t="str">
        <x:v>YES</x:v>
      </x:c>
      <x:c r="F30" s="74" t="n">
        <x:v>0.94</x:v>
      </x:c>
      <x:c r="G30" s="74" t="n">
        <x:v>0.94</x:v>
      </x:c>
      <x:c r="H30" s="74" t="n">
        <x:v>0.98</x:v>
      </x:c>
      <x:c r="I30" s="74" t="n">
        <x:f>IF(E30="YES",H30,1-H30)</x:f>
        <x:v>0.98</x:v>
      </x:c>
      <x:c r="J30" s="76" t="n">
        <x:f>Assumptions!$C$12+Assumptions!$C$11*F30</x:f>
        <x:v>0.003</x:v>
      </x:c>
      <x:c r="K30" s="76" t="n">
        <x:f>I30-F30-J30</x:f>
        <x:v>0.03700000000000003</x:v>
      </x:c>
      <x:c r="L30" s="74" t="n">
        <x:f>MAX(0,IFERROR(K30/(1-F30),0))</x:f>
        <x:v>0.6166666666666667</x:v>
      </x:c>
      <x:c r="M30" s="74" t="n">
        <x:f>MIN(Assumptions!$C$8*L30,Assumptions!$C$5)</x:f>
        <x:v>0.005</x:v>
      </x:c>
      <x:c r="N30" s="78" t="n">
        <x:f>IF(ROW()=16,Assumptions!$C$4,V29)</x:f>
        <x:v>9979.530169393145</x:v>
      </x:c>
      <x:c r="O30" s="78" t="n">
        <x:f>IF(AND(K30&gt;IF(F30&gt;=Assumptions!$C$21,Assumptions!$C$10,Assumptions!$C$9),D30&gt;Assumptions!$C$23),N30*M30,0)</x:f>
        <x:v>49.897650846965725</x:v>
      </x:c>
      <x:c r="P30" s="78" t="n">
        <x:f>IFERROR(O30/F30,0)</x:f>
        <x:v>53.082607284006095</x:v>
      </x:c>
      <x:c r="Q30" s="78" t="n">
        <x:v>0</x:v>
      </x:c>
      <x:c r="R30" s="78" t="str">
        <x:v>Resolve</x:v>
      </x:c>
      <x:c r="S30" s="78" t="n">
        <x:f>IF(R30="Resolve",IF(IF(E30="YES",Q30,1-Q30)=1,P30*(1-F30),-O30),P30*(G30-F30))</x:f>
        <x:v>-49.897650846965725</x:v>
      </x:c>
      <x:c r="T30" s="78" t="n">
        <x:f>P30*J30</x:f>
        <x:v>0.15924782185201827</x:v>
      </x:c>
      <x:c r="U30" s="78" t="n">
        <x:f>S30-T30</x:f>
        <x:v>-50.056898668817745</x:v>
      </x:c>
      <x:c r="V30" s="78" t="n">
        <x:f>N30+U30</x:f>
        <x:v>9929.473270724327</x:v>
      </x:c>
      <x:c r="W30" s="74" t="n">
        <x:f>IFERROR(V30/MAX($V$16:V30)-1,0)</x:f>
        <x:v>-0.010737194852608378</x:v>
      </x:c>
      <x:c r="X30" t="str">
        <x:f>IF(O30&gt;0,"TRADE","NO_TRADE")</x:f>
        <x:v>TRADE</x:v>
      </x:c>
    </x:row>
    <x:row r="31">
      <x:c r="A31" s="66" t="n">
        <x:v>46167.500868055555</x:v>
      </x:c>
      <x:c r="B31" s="66" t="str">
        <x:v>MKT_1000</x:v>
      </x:c>
      <x:c r="C31" s="66" t="n">
        <x:v>46167.50347222222</x:v>
      </x:c>
      <x:c r="D31" t="n">
        <x:v>225</x:v>
      </x:c>
      <x:c r="E31" t="str">
        <x:v>NO</x:v>
      </x:c>
      <x:c r="F31" s="74" t="n">
        <x:v>0.95</x:v>
      </x:c>
      <x:c r="G31" s="74" t="n">
        <x:v>0.95</x:v>
      </x:c>
      <x:c r="H31" s="74" t="n">
        <x:v>0.968</x:v>
      </x:c>
      <x:c r="I31" s="74" t="n">
        <x:f>IF(E31="YES",H31,1-H31)</x:f>
        <x:v>0.03200000000000003</x:v>
      </x:c>
      <x:c r="J31" s="76" t="n">
        <x:f>Assumptions!$C$12+Assumptions!$C$11*F31</x:f>
        <x:v>0.003</x:v>
      </x:c>
      <x:c r="K31" s="76" t="n">
        <x:f>I31-F31-J31</x:f>
        <x:v>-0.9209999999999999</x:v>
      </x:c>
      <x:c r="L31" s="74" t="n">
        <x:f>MAX(0,IFERROR(K31/(1-F31),0))</x:f>
        <x:v>0</x:v>
      </x:c>
      <x:c r="M31" s="74" t="n">
        <x:f>MIN(Assumptions!$C$8*L31,Assumptions!$C$5)</x:f>
        <x:v>0</x:v>
      </x:c>
      <x:c r="N31" s="78" t="n">
        <x:f>IF(ROW()=16,Assumptions!$C$4,V30)</x:f>
        <x:v>9929.473270724327</x:v>
      </x:c>
      <x:c r="O31" s="78" t="n">
        <x:f>IF(AND(K31&gt;IF(F31&gt;=Assumptions!$C$21,Assumptions!$C$10,Assumptions!$C$9),D31&gt;Assumptions!$C$23),N31*M31,0)</x:f>
        <x:v>0</x:v>
      </x:c>
      <x:c r="P31" s="78" t="n">
        <x:f>IFERROR(O31/F31,0)</x:f>
        <x:v>0</x:v>
      </x:c>
      <x:c r="Q31" s="78" t="n">
        <x:v>1</x:v>
      </x:c>
      <x:c r="R31" s="78" t="str">
        <x:v>Resolve</x:v>
      </x:c>
      <x:c r="S31" s="78" t="n">
        <x:f>IF(R31="Resolve",IF(IF(E31="YES",Q31,1-Q31)=1,P31*(1-F31),-O31),P31*(G31-F31))</x:f>
        <x:v>0</x:v>
      </x:c>
      <x:c r="T31" s="78" t="n">
        <x:f>P31*J31</x:f>
        <x:v>0</x:v>
      </x:c>
      <x:c r="U31" s="78" t="n">
        <x:f>S31-T31</x:f>
        <x:v>0</x:v>
      </x:c>
      <x:c r="V31" s="78" t="n">
        <x:f>N31+U31</x:f>
        <x:v>9929.473270724327</x:v>
      </x:c>
      <x:c r="W31" s="74" t="n">
        <x:f>IFERROR(V31/MAX($V$16:V31)-1,0)</x:f>
        <x:v>-0.010737194852608378</x:v>
      </x:c>
      <x:c r="X31" t="str">
        <x:f>IF(O31&gt;0,"TRADE","NO_TRADE")</x:f>
        <x:v>NO_TRADE</x:v>
      </x:c>
    </x:row>
    <x:row r="32">
      <x:c r="A32" s="66" t="n">
        <x:v>46167.500925925924</x:v>
      </x:c>
      <x:c r="B32" s="66" t="str">
        <x:v>MKT_1000</x:v>
      </x:c>
      <x:c r="C32" s="66" t="n">
        <x:v>46167.50347222222</x:v>
      </x:c>
      <x:c r="D32" t="n">
        <x:v>220</x:v>
      </x:c>
      <x:c r="E32" t="str">
        <x:v>YES</x:v>
      </x:c>
      <x:c r="F32" s="74" t="n">
        <x:v>0.57</x:v>
      </x:c>
      <x:c r="G32" s="74" t="n">
        <x:v>0.57</x:v>
      </x:c>
      <x:c r="H32" s="74" t="n">
        <x:v>0.582</x:v>
      </x:c>
      <x:c r="I32" s="74" t="n">
        <x:f>IF(E32="YES",H32,1-H32)</x:f>
        <x:v>0.582</x:v>
      </x:c>
      <x:c r="J32" s="76" t="n">
        <x:f>Assumptions!$C$12+Assumptions!$C$11*F32</x:f>
        <x:v>0.003</x:v>
      </x:c>
      <x:c r="K32" s="76" t="n">
        <x:f>I32-F32-J32</x:f>
        <x:v>0.009000000000000011</x:v>
      </x:c>
      <x:c r="L32" s="74" t="n">
        <x:f>MAX(0,IFERROR(K32/(1-F32),0))</x:f>
        <x:v>0.02093023255813956</x:v>
      </x:c>
      <x:c r="M32" s="74" t="n">
        <x:f>MIN(Assumptions!$C$8*L32,Assumptions!$C$5)</x:f>
        <x:v>0.005</x:v>
      </x:c>
      <x:c r="N32" s="78" t="n">
        <x:f>IF(ROW()=16,Assumptions!$C$4,V31)</x:f>
        <x:v>9929.473270724327</x:v>
      </x:c>
      <x:c r="O32" s="78" t="n">
        <x:f>IF(AND(K32&gt;IF(F32&gt;=Assumptions!$C$21,Assumptions!$C$10,Assumptions!$C$9),D32&gt;Assumptions!$C$23),N32*M32,0)</x:f>
        <x:v>49.647366353621635</x:v>
      </x:c>
      <x:c r="P32" s="78" t="n">
        <x:f>IFERROR(O32/F32,0)</x:f>
        <x:v>87.100642725652</x:v>
      </x:c>
      <x:c r="Q32" s="78" t="n">
        <x:v>1</x:v>
      </x:c>
      <x:c r="R32" s="78" t="str">
        <x:v>Resolve</x:v>
      </x:c>
      <x:c r="S32" s="78" t="n">
        <x:f>IF(R32="Resolve",IF(IF(E32="YES",Q32,1-Q32)=1,P32*(1-F32),-O32),P32*(G32-F32))</x:f>
        <x:v>37.45327637203036</x:v>
      </x:c>
      <x:c r="T32" s="78" t="n">
        <x:f>P32*J32</x:f>
        <x:v>0.26130192817695597</x:v>
      </x:c>
      <x:c r="U32" s="78" t="n">
        <x:f>S32-T32</x:f>
        <x:v>37.191974443853404</x:v>
      </x:c>
      <x:c r="V32" s="78" t="n">
        <x:f>N32+U32</x:f>
        <x:v>9966.66524516818</x:v>
      </x:c>
      <x:c r="W32" s="74" t="n">
        <x:f>IFERROR(V32/MAX($V$16:V32)-1,0)</x:f>
        <x:v>-0.007031798205258122</x:v>
      </x:c>
      <x:c r="X32" t="str">
        <x:f>IF(O32&gt;0,"TRADE","NO_TRADE")</x:f>
        <x:v>TRADE</x:v>
      </x:c>
    </x:row>
    <x:row r="33">
      <x:c r="A33" s="66" t="n">
        <x:v>46167.50098379629</x:v>
      </x:c>
      <x:c r="B33" s="66" t="str">
        <x:v>MKT_1000</x:v>
      </x:c>
      <x:c r="C33" s="66" t="n">
        <x:v>46167.50347222222</x:v>
      </x:c>
      <x:c r="D33" t="n">
        <x:v>215</x:v>
      </x:c>
      <x:c r="E33" t="str">
        <x:v>YES</x:v>
      </x:c>
      <x:c r="F33" s="74" t="n">
        <x:v>0.68</x:v>
      </x:c>
      <x:c r="G33" s="74" t="n">
        <x:v>0.68</x:v>
      </x:c>
      <x:c r="H33" s="74" t="n">
        <x:v>0.7050000000000001</x:v>
      </x:c>
      <x:c r="I33" s="74" t="n">
        <x:f>IF(E33="YES",H33,1-H33)</x:f>
        <x:v>0.7050000000000001</x:v>
      </x:c>
      <x:c r="J33" s="76" t="n">
        <x:f>Assumptions!$C$12+Assumptions!$C$11*F33</x:f>
        <x:v>0.003</x:v>
      </x:c>
      <x:c r="K33" s="76" t="n">
        <x:f>I33-F33-J33</x:f>
        <x:v>0.022000000000000023</x:v>
      </x:c>
      <x:c r="L33" s="74" t="n">
        <x:f>MAX(0,IFERROR(K33/(1-F33),0))</x:f>
        <x:v>0.06875000000000009</x:v>
      </x:c>
      <x:c r="M33" s="74" t="n">
        <x:f>MIN(Assumptions!$C$8*L33,Assumptions!$C$5)</x:f>
        <x:v>0.005</x:v>
      </x:c>
      <x:c r="N33" s="78" t="n">
        <x:f>IF(ROW()=16,Assumptions!$C$4,V32)</x:f>
        <x:v>9966.66524516818</x:v>
      </x:c>
      <x:c r="O33" s="78" t="n">
        <x:f>IF(AND(K33&gt;IF(F33&gt;=Assumptions!$C$21,Assumptions!$C$10,Assumptions!$C$9),D33&gt;Assumptions!$C$23),N33*M33,0)</x:f>
        <x:v>49.8333262258409</x:v>
      </x:c>
      <x:c r="P33" s="78" t="n">
        <x:f>IFERROR(O33/F33,0)</x:f>
        <x:v>73.28430327329544</x:v>
      </x:c>
      <x:c r="Q33" s="78" t="n">
        <x:v>0</x:v>
      </x:c>
      <x:c r="R33" s="78" t="str">
        <x:v>Resolve</x:v>
      </x:c>
      <x:c r="S33" s="78" t="n">
        <x:f>IF(R33="Resolve",IF(IF(E33="YES",Q33,1-Q33)=1,P33*(1-F33),-O33),P33*(G33-F33))</x:f>
        <x:v>-49.8333262258409</x:v>
      </x:c>
      <x:c r="T33" s="78" t="n">
        <x:f>P33*J33</x:f>
        <x:v>0.2198529098198863</x:v>
      </x:c>
      <x:c r="U33" s="78" t="n">
        <x:f>S33-T33</x:f>
        <x:v>-50.053179135660784</x:v>
      </x:c>
      <x:c r="V33" s="78" t="n">
        <x:f>N33+U33</x:f>
        <x:v>9916.61206603252</x:v>
      </x:c>
      <x:c r="W33" s="74" t="n">
        <x:f>IFERROR(V33/MAX($V$16:V33)-1,0)</x:f>
        <x:v>-0.0120185429245655</x:v>
      </x:c>
      <x:c r="X33" t="str">
        <x:f>IF(O33&gt;0,"TRADE","NO_TRADE")</x:f>
        <x:v>TRADE</x:v>
      </x:c>
    </x:row>
    <x:row r="34">
      <x:c r="A34" s="66" t="n">
        <x:v>46167.50104166667</x:v>
      </x:c>
      <x:c r="B34" s="66" t="str">
        <x:v>MKT_1000</x:v>
      </x:c>
      <x:c r="C34" s="66" t="n">
        <x:v>46167.50347222222</x:v>
      </x:c>
      <x:c r="D34" t="n">
        <x:v>210</x:v>
      </x:c>
      <x:c r="E34" t="str">
        <x:v>NO</x:v>
      </x:c>
      <x:c r="F34" s="74" t="n">
        <x:v>0.91</x:v>
      </x:c>
      <x:c r="G34" s="74" t="n">
        <x:v>0.91</x:v>
      </x:c>
      <x:c r="H34" s="74" t="n">
        <x:v>0.9450000000000001</x:v>
      </x:c>
      <x:c r="I34" s="74" t="n">
        <x:f>IF(E34="YES",H34,1-H34)</x:f>
        <x:v>0.05499999999999994</x:v>
      </x:c>
      <x:c r="J34" s="76" t="n">
        <x:f>Assumptions!$C$12+Assumptions!$C$11*F34</x:f>
        <x:v>0.003</x:v>
      </x:c>
      <x:c r="K34" s="76" t="n">
        <x:f>I34-F34-J34</x:f>
        <x:v>-0.8580000000000001</x:v>
      </x:c>
      <x:c r="L34" s="74" t="n">
        <x:f>MAX(0,IFERROR(K34/(1-F34),0))</x:f>
        <x:v>0</x:v>
      </x:c>
      <x:c r="M34" s="74" t="n">
        <x:f>MIN(Assumptions!$C$8*L34,Assumptions!$C$5)</x:f>
        <x:v>0</x:v>
      </x:c>
      <x:c r="N34" s="78" t="n">
        <x:f>IF(ROW()=16,Assumptions!$C$4,V33)</x:f>
        <x:v>9916.61206603252</x:v>
      </x:c>
      <x:c r="O34" s="78" t="n">
        <x:f>IF(AND(K34&gt;IF(F34&gt;=Assumptions!$C$21,Assumptions!$C$10,Assumptions!$C$9),D34&gt;Assumptions!$C$23),N34*M34,0)</x:f>
        <x:v>0</x:v>
      </x:c>
      <x:c r="P34" s="78" t="n">
        <x:f>IFERROR(O34/F34,0)</x:f>
        <x:v>0</x:v>
      </x:c>
      <x:c r="Q34" s="78" t="n">
        <x:v>1</x:v>
      </x:c>
      <x:c r="R34" s="78" t="str">
        <x:v>Resolve</x:v>
      </x:c>
      <x:c r="S34" s="78" t="n">
        <x:f>IF(R34="Resolve",IF(IF(E34="YES",Q34,1-Q34)=1,P34*(1-F34),-O34),P34*(G34-F34))</x:f>
        <x:v>0</x:v>
      </x:c>
      <x:c r="T34" s="78" t="n">
        <x:f>P34*J34</x:f>
        <x:v>0</x:v>
      </x:c>
      <x:c r="U34" s="78" t="n">
        <x:f>S34-T34</x:f>
        <x:v>0</x:v>
      </x:c>
      <x:c r="V34" s="78" t="n">
        <x:f>N34+U34</x:f>
        <x:v>9916.61206603252</x:v>
      </x:c>
      <x:c r="W34" s="74" t="n">
        <x:f>IFERROR(V34/MAX($V$16:V34)-1,0)</x:f>
        <x:v>-0.0120185429245655</x:v>
      </x:c>
      <x:c r="X34" t="str">
        <x:f>IF(O34&gt;0,"TRADE","NO_TRADE")</x:f>
        <x:v>NO_TRADE</x:v>
      </x:c>
    </x:row>
    <x:row r="35">
      <x:c r="A35" s="66" t="n">
        <x:v>46167.50109953704</x:v>
      </x:c>
      <x:c r="B35" s="66" t="str">
        <x:v>MKT_1000</x:v>
      </x:c>
      <x:c r="C35" s="66" t="n">
        <x:v>46167.50347222222</x:v>
      </x:c>
      <x:c r="D35" t="n">
        <x:v>205</x:v>
      </x:c>
      <x:c r="E35" t="str">
        <x:v>YES</x:v>
      </x:c>
      <x:c r="F35" s="74" t="n">
        <x:v>0.83</x:v>
      </x:c>
      <x:c r="G35" s="74" t="n">
        <x:v>0.83</x:v>
      </x:c>
      <x:c r="H35" s="74" t="n">
        <x:v>0.82</x:v>
      </x:c>
      <x:c r="I35" s="74" t="n">
        <x:f>IF(E35="YES",H35,1-H35)</x:f>
        <x:v>0.82</x:v>
      </x:c>
      <x:c r="J35" s="76" t="n">
        <x:f>Assumptions!$C$12+Assumptions!$C$11*F35</x:f>
        <x:v>0.003</x:v>
      </x:c>
      <x:c r="K35" s="76" t="n">
        <x:f>I35-F35-J35</x:f>
        <x:v>-0.013000000000000008</x:v>
      </x:c>
      <x:c r="L35" s="74" t="n">
        <x:f>MAX(0,IFERROR(K35/(1-F35),0))</x:f>
        <x:v>0</x:v>
      </x:c>
      <x:c r="M35" s="74" t="n">
        <x:f>MIN(Assumptions!$C$8*L35,Assumptions!$C$5)</x:f>
        <x:v>0</x:v>
      </x:c>
      <x:c r="N35" s="78" t="n">
        <x:f>IF(ROW()=16,Assumptions!$C$4,V34)</x:f>
        <x:v>9916.61206603252</x:v>
      </x:c>
      <x:c r="O35" s="78" t="n">
        <x:f>IF(AND(K35&gt;IF(F35&gt;=Assumptions!$C$21,Assumptions!$C$10,Assumptions!$C$9),D35&gt;Assumptions!$C$23),N35*M35,0)</x:f>
        <x:v>0</x:v>
      </x:c>
      <x:c r="P35" s="78" t="n">
        <x:f>IFERROR(O35/F35,0)</x:f>
        <x:v>0</x:v>
      </x:c>
      <x:c r="Q35" s="78" t="n">
        <x:v>1</x:v>
      </x:c>
      <x:c r="R35" s="78" t="str">
        <x:v>Resolve</x:v>
      </x:c>
      <x:c r="S35" s="78" t="n">
        <x:f>IF(R35="Resolve",IF(IF(E35="YES",Q35,1-Q35)=1,P35*(1-F35),-O35),P35*(G35-F35))</x:f>
        <x:v>0</x:v>
      </x:c>
      <x:c r="T35" s="78" t="n">
        <x:f>P35*J35</x:f>
        <x:v>0</x:v>
      </x:c>
      <x:c r="U35" s="78" t="n">
        <x:f>S35-T35</x:f>
        <x:v>0</x:v>
      </x:c>
      <x:c r="V35" s="78" t="n">
        <x:f>N35+U35</x:f>
        <x:v>9916.61206603252</x:v>
      </x:c>
      <x:c r="W35" s="74" t="n">
        <x:f>IFERROR(V35/MAX($V$16:V35)-1,0)</x:f>
        <x:v>-0.0120185429245655</x:v>
      </x:c>
      <x:c r="X35" t="str">
        <x:f>IF(O35&gt;0,"TRADE","NO_TRADE")</x:f>
        <x:v>NO_TRADE</x:v>
      </x:c>
    </x:row>
    <x:row r="36">
      <x:c r="A36" s="66" t="n">
        <x:v>46167.50115740741</x:v>
      </x:c>
      <x:c r="B36" s="66" t="str">
        <x:v>MKT_1000</x:v>
      </x:c>
      <x:c r="C36" s="66" t="n">
        <x:v>46167.50347222222</x:v>
      </x:c>
      <x:c r="D36" t="n">
        <x:v>200</x:v>
      </x:c>
      <x:c r="E36" t="str">
        <x:v>YES</x:v>
      </x:c>
      <x:c r="F36" s="74" t="n">
        <x:v>0.52</x:v>
      </x:c>
      <x:c r="G36" s="74" t="n">
        <x:v>0.52</x:v>
      </x:c>
      <x:c r="H36" s="74" t="n">
        <x:v>0.535</x:v>
      </x:c>
      <x:c r="I36" s="74" t="n">
        <x:f>IF(E36="YES",H36,1-H36)</x:f>
        <x:v>0.535</x:v>
      </x:c>
      <x:c r="J36" s="76" t="n">
        <x:f>Assumptions!$C$12+Assumptions!$C$11*F36</x:f>
        <x:v>0.003</x:v>
      </x:c>
      <x:c r="K36" s="76" t="n">
        <x:f>I36-F36-J36</x:f>
        <x:v>0.012000000000000014</x:v>
      </x:c>
      <x:c r="L36" s="74" t="n">
        <x:f>MAX(0,IFERROR(K36/(1-F36),0))</x:f>
        <x:v>0.02500000000000003</x:v>
      </x:c>
      <x:c r="M36" s="74" t="n">
        <x:f>MIN(Assumptions!$C$8*L36,Assumptions!$C$5)</x:f>
        <x:v>0.005</x:v>
      </x:c>
      <x:c r="N36" s="78" t="n">
        <x:f>IF(ROW()=16,Assumptions!$C$4,V35)</x:f>
        <x:v>9916.61206603252</x:v>
      </x:c>
      <x:c r="O36" s="78" t="n">
        <x:f>IF(AND(K36&gt;IF(F36&gt;=Assumptions!$C$21,Assumptions!$C$10,Assumptions!$C$9),D36&gt;Assumptions!$C$23),N36*M36,0)</x:f>
        <x:v>49.583060330162596</x:v>
      </x:c>
      <x:c r="P36" s="78" t="n">
        <x:f>IFERROR(O36/F36,0)</x:f>
        <x:v>95.35203909646653</x:v>
      </x:c>
      <x:c r="Q36" s="78" t="n">
        <x:v>1</x:v>
      </x:c>
      <x:c r="R36" s="78" t="str">
        <x:v>Resolve</x:v>
      </x:c>
      <x:c r="S36" s="78" t="n">
        <x:f>IF(R36="Resolve",IF(IF(E36="YES",Q36,1-Q36)=1,P36*(1-F36),-O36),P36*(G36-F36))</x:f>
        <x:v>45.76897876630393</x:v>
      </x:c>
      <x:c r="T36" s="78" t="n">
        <x:f>P36*J36</x:f>
        <x:v>0.28605611728939956</x:v>
      </x:c>
      <x:c r="U36" s="78" t="n">
        <x:f>S36-T36</x:f>
        <x:v>45.48292264901453</x:v>
      </x:c>
      <x:c r="V36" s="78" t="n">
        <x:f>N36+U36</x:f>
        <x:v>9962.094988681534</x:v>
      </x:c>
      <x:c r="W36" s="74" t="n">
        <x:f>IFERROR(V36/MAX($V$16:V36)-1,0)</x:f>
        <x:v>-0.007487127972402252</x:v>
      </x:c>
      <x:c r="X36" t="str">
        <x:f>IF(O36&gt;0,"TRADE","NO_TRADE")</x:f>
        <x:v>TRADE</x:v>
      </x:c>
    </x:row>
    <x:row r="37">
      <x:c r="A37" s="66" t="n">
        <x:v>46167.50121527778</x:v>
      </x:c>
      <x:c r="B37" s="66" t="str">
        <x:v>MKT_1000</x:v>
      </x:c>
      <x:c r="C37" s="66" t="n">
        <x:v>46167.50347222222</x:v>
      </x:c>
      <x:c r="D37" t="n">
        <x:v>195</x:v>
      </x:c>
      <x:c r="E37" t="str">
        <x:v>NO</x:v>
      </x:c>
      <x:c r="F37" s="74" t="n">
        <x:v>0.61</x:v>
      </x:c>
      <x:c r="G37" s="74" t="n">
        <x:v>0.61</x:v>
      </x:c>
      <x:c r="H37" s="74" t="n">
        <x:v>0.63</x:v>
      </x:c>
      <x:c r="I37" s="74" t="n">
        <x:f>IF(E37="YES",H37,1-H37)</x:f>
        <x:v>0.37</x:v>
      </x:c>
      <x:c r="J37" s="76" t="n">
        <x:f>Assumptions!$C$12+Assumptions!$C$11*F37</x:f>
        <x:v>0.003</x:v>
      </x:c>
      <x:c r="K37" s="76" t="n">
        <x:f>I37-F37-J37</x:f>
        <x:v>-0.243</x:v>
      </x:c>
      <x:c r="L37" s="74" t="n">
        <x:f>MAX(0,IFERROR(K37/(1-F37),0))</x:f>
        <x:v>0</x:v>
      </x:c>
      <x:c r="M37" s="74" t="n">
        <x:f>MIN(Assumptions!$C$8*L37,Assumptions!$C$5)</x:f>
        <x:v>0</x:v>
      </x:c>
      <x:c r="N37" s="78" t="n">
        <x:f>IF(ROW()=16,Assumptions!$C$4,V36)</x:f>
        <x:v>9962.094988681534</x:v>
      </x:c>
      <x:c r="O37" s="78" t="n">
        <x:f>IF(AND(K37&gt;IF(F37&gt;=Assumptions!$C$21,Assumptions!$C$10,Assumptions!$C$9),D37&gt;Assumptions!$C$23),N37*M37,0)</x:f>
        <x:v>0</x:v>
      </x:c>
      <x:c r="P37" s="78" t="n">
        <x:f>IFERROR(O37/F37,0)</x:f>
        <x:v>0</x:v>
      </x:c>
      <x:c r="Q37" s="78" t="n">
        <x:v>0</x:v>
      </x:c>
      <x:c r="R37" s="78" t="str">
        <x:v>Resolve</x:v>
      </x:c>
      <x:c r="S37" s="78" t="n">
        <x:f>IF(R37="Resolve",IF(IF(E37="YES",Q37,1-Q37)=1,P37*(1-F37),-O37),P37*(G37-F37))</x:f>
        <x:v>0</x:v>
      </x:c>
      <x:c r="T37" s="78" t="n">
        <x:f>P37*J37</x:f>
        <x:v>0</x:v>
      </x:c>
      <x:c r="U37" s="78" t="n">
        <x:f>S37-T37</x:f>
        <x:v>0</x:v>
      </x:c>
      <x:c r="V37" s="78" t="n">
        <x:f>N37+U37</x:f>
        <x:v>9962.094988681534</x:v>
      </x:c>
      <x:c r="W37" s="74" t="n">
        <x:f>IFERROR(V37/MAX($V$16:V37)-1,0)</x:f>
        <x:v>-0.007487127972402252</x:v>
      </x:c>
      <x:c r="X37" t="str">
        <x:f>IF(O37&gt;0,"TRADE","NO_TRADE")</x:f>
        <x:v>NO_TRADE</x:v>
      </x:c>
    </x:row>
    <x:row r="38">
      <x:c r="A38" s="66" t="n">
        <x:v>46167.50127314815</x:v>
      </x:c>
      <x:c r="B38" s="66" t="str">
        <x:v>MKT_1000</x:v>
      </x:c>
      <x:c r="C38" s="66" t="n">
        <x:v>46167.50347222222</x:v>
      </x:c>
      <x:c r="D38" t="n">
        <x:v>190</x:v>
      </x:c>
      <x:c r="E38" t="str">
        <x:v>YES</x:v>
      </x:c>
      <x:c r="F38" s="74" t="n">
        <x:v>0.74</x:v>
      </x:c>
      <x:c r="G38" s="74" t="n">
        <x:v>0.74</x:v>
      </x:c>
      <x:c r="H38" s="74" t="n">
        <x:v>0.735</x:v>
      </x:c>
      <x:c r="I38" s="74" t="n">
        <x:f>IF(E38="YES",H38,1-H38)</x:f>
        <x:v>0.735</x:v>
      </x:c>
      <x:c r="J38" s="76" t="n">
        <x:f>Assumptions!$C$12+Assumptions!$C$11*F38</x:f>
        <x:v>0.003</x:v>
      </x:c>
      <x:c r="K38" s="76" t="n">
        <x:f>I38-F38-J38</x:f>
        <x:v>-0.008000000000000004</x:v>
      </x:c>
      <x:c r="L38" s="74" t="n">
        <x:f>MAX(0,IFERROR(K38/(1-F38),0))</x:f>
        <x:v>0</x:v>
      </x:c>
      <x:c r="M38" s="74" t="n">
        <x:f>MIN(Assumptions!$C$8*L38,Assumptions!$C$5)</x:f>
        <x:v>0</x:v>
      </x:c>
      <x:c r="N38" s="78" t="n">
        <x:f>IF(ROW()=16,Assumptions!$C$4,V37)</x:f>
        <x:v>9962.094988681534</x:v>
      </x:c>
      <x:c r="O38" s="78" t="n">
        <x:f>IF(AND(K38&gt;IF(F38&gt;=Assumptions!$C$21,Assumptions!$C$10,Assumptions!$C$9),D38&gt;Assumptions!$C$23),N38*M38,0)</x:f>
        <x:v>0</x:v>
      </x:c>
      <x:c r="P38" s="78" t="n">
        <x:f>IFERROR(O38/F38,0)</x:f>
        <x:v>0</x:v>
      </x:c>
      <x:c r="Q38" s="78" t="n">
        <x:v>1</x:v>
      </x:c>
      <x:c r="R38" s="78" t="str">
        <x:v>Resolve</x:v>
      </x:c>
      <x:c r="S38" s="78" t="n">
        <x:f>IF(R38="Resolve",IF(IF(E38="YES",Q38,1-Q38)=1,P38*(1-F38),-O38),P38*(G38-F38))</x:f>
        <x:v>0</x:v>
      </x:c>
      <x:c r="T38" s="78" t="n">
        <x:f>P38*J38</x:f>
        <x:v>0</x:v>
      </x:c>
      <x:c r="U38" s="78" t="n">
        <x:f>S38-T38</x:f>
        <x:v>0</x:v>
      </x:c>
      <x:c r="V38" s="78" t="n">
        <x:f>N38+U38</x:f>
        <x:v>9962.094988681534</x:v>
      </x:c>
      <x:c r="W38" s="74" t="n">
        <x:f>IFERROR(V38/MAX($V$16:V38)-1,0)</x:f>
        <x:v>-0.007487127972402252</x:v>
      </x:c>
      <x:c r="X38" t="str">
        <x:f>IF(O38&gt;0,"TRADE","NO_TRADE")</x:f>
        <x:v>NO_TRADE</x:v>
      </x:c>
    </x:row>
    <x:row r="39">
      <x:c r="A39" s="66" t="n">
        <x:v>46167.50133101852</x:v>
      </x:c>
      <x:c r="B39" s="66" t="str">
        <x:v>MKT_1000</x:v>
      </x:c>
      <x:c r="C39" s="66" t="n">
        <x:v>46167.50347222222</x:v>
      </x:c>
      <x:c r="D39" t="n">
        <x:v>185</x:v>
      </x:c>
      <x:c r="E39" t="str">
        <x:v>YES</x:v>
      </x:c>
      <x:c r="F39" s="74" t="n">
        <x:v>0.88</x:v>
      </x:c>
      <x:c r="G39" s="74" t="n">
        <x:v>0.88</x:v>
      </x:c>
      <x:c r="H39" s="74" t="n">
        <x:v>0.91</x:v>
      </x:c>
      <x:c r="I39" s="74" t="n">
        <x:f>IF(E39="YES",H39,1-H39)</x:f>
        <x:v>0.91</x:v>
      </x:c>
      <x:c r="J39" s="76" t="n">
        <x:f>Assumptions!$C$12+Assumptions!$C$11*F39</x:f>
        <x:v>0.003</x:v>
      </x:c>
      <x:c r="K39" s="76" t="n">
        <x:f>I39-F39-J39</x:f>
        <x:v>0.027000000000000027</x:v>
      </x:c>
      <x:c r="L39" s="74" t="n">
        <x:f>MAX(0,IFERROR(K39/(1-F39),0))</x:f>
        <x:v>0.22500000000000023</x:v>
      </x:c>
      <x:c r="M39" s="74" t="n">
        <x:f>MIN(Assumptions!$C$8*L39,Assumptions!$C$5)</x:f>
        <x:v>0.005</x:v>
      </x:c>
      <x:c r="N39" s="78" t="n">
        <x:f>IF(ROW()=16,Assumptions!$C$4,V38)</x:f>
        <x:v>9962.094988681534</x:v>
      </x:c>
      <x:c r="O39" s="78" t="n">
        <x:f>IF(AND(K39&gt;IF(F39&gt;=Assumptions!$C$21,Assumptions!$C$10,Assumptions!$C$9),D39&gt;Assumptions!$C$23),N39*M39,0)</x:f>
        <x:v>49.81047494340767</x:v>
      </x:c>
      <x:c r="P39" s="78" t="n">
        <x:f>IFERROR(O39/F39,0)</x:f>
        <x:v>56.60281243569053</x:v>
      </x:c>
      <x:c r="Q39" s="78" t="n">
        <x:v>1</x:v>
      </x:c>
      <x:c r="R39" s="78" t="str">
        <x:v>Resolve</x:v>
      </x:c>
      <x:c r="S39" s="78" t="n">
        <x:f>IF(R39="Resolve",IF(IF(E39="YES",Q39,1-Q39)=1,P39*(1-F39),-O39),P39*(G39-F39))</x:f>
        <x:v>6.792337492282863</x:v>
      </x:c>
      <x:c r="T39" s="78" t="n">
        <x:f>P39*J39</x:f>
        <x:v>0.1698084373070716</x:v>
      </x:c>
      <x:c r="U39" s="78" t="n">
        <x:f>S39-T39</x:f>
        <x:v>6.622529054975792</x:v>
      </x:c>
      <x:c r="V39" s="78" t="n">
        <x:f>N39+U39</x:f>
        <x:v>9968.71751773651</x:v>
      </x:c>
      <x:c r="W39" s="74" t="n">
        <x:f>IFERROR(V39/MAX($V$16:V39)-1,0)</x:f>
        <x:v>-0.006827332483611115</x:v>
      </x:c>
      <x:c r="X39" t="str">
        <x:f>IF(O39&gt;0,"TRADE","NO_TRADE")</x:f>
        <x:v>TRADE</x:v>
      </x:c>
    </x:row>
    <x:row r="40">
      <x:c r="A40" s="66" t="n">
        <x:v>46167.501388888886</x:v>
      </x:c>
      <x:c r="B40" s="66" t="str">
        <x:v>MKT_1000</x:v>
      </x:c>
      <x:c r="C40" s="66" t="n">
        <x:v>46167.50347222222</x:v>
      </x:c>
      <x:c r="D40" t="n">
        <x:v>180</x:v>
      </x:c>
      <x:c r="E40" t="str">
        <x:v>NO</x:v>
      </x:c>
      <x:c r="F40" s="74" t="n">
        <x:v>0.94</x:v>
      </x:c>
      <x:c r="G40" s="74" t="n">
        <x:v>0.94</x:v>
      </x:c>
      <x:c r="H40" s="74" t="n">
        <x:v>0.98</x:v>
      </x:c>
      <x:c r="I40" s="74" t="n">
        <x:f>IF(E40="YES",H40,1-H40)</x:f>
        <x:v>0.020000000000000018</x:v>
      </x:c>
      <x:c r="J40" s="76" t="n">
        <x:f>Assumptions!$C$12+Assumptions!$C$11*F40</x:f>
        <x:v>0.003</x:v>
      </x:c>
      <x:c r="K40" s="76" t="n">
        <x:f>I40-F40-J40</x:f>
        <x:v>-0.9229999999999999</x:v>
      </x:c>
      <x:c r="L40" s="74" t="n">
        <x:f>MAX(0,IFERROR(K40/(1-F40),0))</x:f>
        <x:v>0</x:v>
      </x:c>
      <x:c r="M40" s="74" t="n">
        <x:f>MIN(Assumptions!$C$8*L40,Assumptions!$C$5)</x:f>
        <x:v>0</x:v>
      </x:c>
      <x:c r="N40" s="78" t="n">
        <x:f>IF(ROW()=16,Assumptions!$C$4,V39)</x:f>
        <x:v>9968.71751773651</x:v>
      </x:c>
      <x:c r="O40" s="78" t="n">
        <x:f>IF(AND(K40&gt;IF(F40&gt;=Assumptions!$C$21,Assumptions!$C$10,Assumptions!$C$9),D40&gt;Assumptions!$C$23),N40*M40,0)</x:f>
        <x:v>0</x:v>
      </x:c>
      <x:c r="P40" s="78" t="n">
        <x:f>IFERROR(O40/F40,0)</x:f>
        <x:v>0</x:v>
      </x:c>
      <x:c r="Q40" s="78" t="n">
        <x:v>0</x:v>
      </x:c>
      <x:c r="R40" s="78" t="str">
        <x:v>Resolve</x:v>
      </x:c>
      <x:c r="S40" s="78" t="n">
        <x:f>IF(R40="Resolve",IF(IF(E40="YES",Q40,1-Q40)=1,P40*(1-F40),-O40),P40*(G40-F40))</x:f>
        <x:v>0</x:v>
      </x:c>
      <x:c r="T40" s="78" t="n">
        <x:f>P40*J40</x:f>
        <x:v>0</x:v>
      </x:c>
      <x:c r="U40" s="78" t="n">
        <x:f>S40-T40</x:f>
        <x:v>0</x:v>
      </x:c>
      <x:c r="V40" s="78" t="n">
        <x:f>N40+U40</x:f>
        <x:v>9968.71751773651</x:v>
      </x:c>
      <x:c r="W40" s="74" t="n">
        <x:f>IFERROR(V40/MAX($V$16:V40)-1,0)</x:f>
        <x:v>-0.006827332483611115</x:v>
      </x:c>
      <x:c r="X40" t="str">
        <x:f>IF(O40&gt;0,"TRADE","NO_TRADE")</x:f>
        <x:v>NO_TRADE</x:v>
      </x:c>
    </x:row>
    <x:row r="41">
      <x:c r="A41" s="66" t="n">
        <x:v>46167.50144675926</x:v>
      </x:c>
      <x:c r="B41" s="66" t="str">
        <x:v>MKT_1000</x:v>
      </x:c>
      <x:c r="C41" s="66" t="n">
        <x:v>46167.50347222222</x:v>
      </x:c>
      <x:c r="D41" t="n">
        <x:v>175</x:v>
      </x:c>
      <x:c r="E41" t="str">
        <x:v>YES</x:v>
      </x:c>
      <x:c r="F41" s="74" t="n">
        <x:v>0.95</x:v>
      </x:c>
      <x:c r="G41" s="74" t="n">
        <x:v>0.95</x:v>
      </x:c>
      <x:c r="H41" s="74" t="n">
        <x:v>0.968</x:v>
      </x:c>
      <x:c r="I41" s="74" t="n">
        <x:f>IF(E41="YES",H41,1-H41)</x:f>
        <x:v>0.968</x:v>
      </x:c>
      <x:c r="J41" s="76" t="n">
        <x:f>Assumptions!$C$12+Assumptions!$C$11*F41</x:f>
        <x:v>0.003</x:v>
      </x:c>
      <x:c r="K41" s="76" t="n">
        <x:f>I41-F41-J41</x:f>
        <x:v>0.015000000000000017</x:v>
      </x:c>
      <x:c r="L41" s="74" t="n">
        <x:f>MAX(0,IFERROR(K41/(1-F41),0))</x:f>
        <x:v>0.30000000000000004</x:v>
      </x:c>
      <x:c r="M41" s="74" t="n">
        <x:f>MIN(Assumptions!$C$8*L41,Assumptions!$C$5)</x:f>
        <x:v>0.005</x:v>
      </x:c>
      <x:c r="N41" s="78" t="n">
        <x:f>IF(ROW()=16,Assumptions!$C$4,V40)</x:f>
        <x:v>9968.71751773651</x:v>
      </x:c>
      <x:c r="O41" s="78" t="n">
        <x:f>IF(AND(K41&gt;IF(F41&gt;=Assumptions!$C$21,Assumptions!$C$10,Assumptions!$C$9),D41&gt;Assumptions!$C$23),N41*M41,0)</x:f>
        <x:v>49.84358758868255</x:v>
      </x:c>
      <x:c r="P41" s="78" t="n">
        <x:f>IFERROR(O41/F41,0)</x:f>
        <x:v>52.46693430387637</x:v>
      </x:c>
      <x:c r="Q41" s="78" t="n">
        <x:v>1</x:v>
      </x:c>
      <x:c r="R41" s="78" t="str">
        <x:v>Resolve</x:v>
      </x:c>
      <x:c r="S41" s="78" t="n">
        <x:f>IF(R41="Resolve",IF(IF(E41="YES",Q41,1-Q41)=1,P41*(1-F41),-O41),P41*(G41-F41))</x:f>
        <x:v>2.623346715193821</x:v>
      </x:c>
      <x:c r="T41" s="78" t="n">
        <x:f>P41*J41</x:f>
        <x:v>0.1574008029116291</x:v>
      </x:c>
      <x:c r="U41" s="78" t="n">
        <x:f>S41-T41</x:f>
        <x:v>2.4659459122821916</x:v>
      </x:c>
      <x:c r="V41" s="78" t="n">
        <x:f>N41+U41</x:f>
        <x:v>9971.183463648791</x:v>
      </x:c>
      <x:c r="W41" s="74" t="n">
        <x:f>IFERROR(V41/MAX($V$16:V41)-1,0)</x:f>
        <x:v>-0.006581652929015136</x:v>
      </x:c>
      <x:c r="X41" t="str">
        <x:f>IF(O41&gt;0,"TRADE","NO_TRADE")</x:f>
        <x:v>TRADE</x:v>
      </x:c>
    </x:row>
    <x:row r="42">
      <x:c r="A42" s="66" t="n">
        <x:v>46167.50150462963</x:v>
      </x:c>
      <x:c r="B42" s="66" t="str">
        <x:v>MKT_1000</x:v>
      </x:c>
      <x:c r="C42" s="66" t="n">
        <x:v>46167.50347222222</x:v>
      </x:c>
      <x:c r="D42" t="n">
        <x:v>170</x:v>
      </x:c>
      <x:c r="E42" t="str">
        <x:v>YES</x:v>
      </x:c>
      <x:c r="F42" s="74" t="n">
        <x:v>0.57</x:v>
      </x:c>
      <x:c r="G42" s="74" t="n">
        <x:v>0.57</x:v>
      </x:c>
      <x:c r="H42" s="74" t="n">
        <x:v>0.582</x:v>
      </x:c>
      <x:c r="I42" s="74" t="n">
        <x:f>IF(E42="YES",H42,1-H42)</x:f>
        <x:v>0.582</x:v>
      </x:c>
      <x:c r="J42" s="76" t="n">
        <x:f>Assumptions!$C$12+Assumptions!$C$11*F42</x:f>
        <x:v>0.003</x:v>
      </x:c>
      <x:c r="K42" s="76" t="n">
        <x:f>I42-F42-J42</x:f>
        <x:v>0.009000000000000011</x:v>
      </x:c>
      <x:c r="L42" s="74" t="n">
        <x:f>MAX(0,IFERROR(K42/(1-F42),0))</x:f>
        <x:v>0.02093023255813956</x:v>
      </x:c>
      <x:c r="M42" s="74" t="n">
        <x:f>MIN(Assumptions!$C$8*L42,Assumptions!$C$5)</x:f>
        <x:v>0.005</x:v>
      </x:c>
      <x:c r="N42" s="78" t="n">
        <x:f>IF(ROW()=16,Assumptions!$C$4,V41)</x:f>
        <x:v>9971.183463648791</x:v>
      </x:c>
      <x:c r="O42" s="78" t="n">
        <x:f>IF(AND(K42&gt;IF(F42&gt;=Assumptions!$C$21,Assumptions!$C$10,Assumptions!$C$9),D42&gt;Assumptions!$C$23),N42*M42,0)</x:f>
        <x:v>49.855917318243954</x:v>
      </x:c>
      <x:c r="P42" s="78" t="n">
        <x:f>IFERROR(O42/F42,0)</x:f>
        <x:v>87.46652161095432</x:v>
      </x:c>
      <x:c r="Q42" s="78" t="n">
        <x:v>1</x:v>
      </x:c>
      <x:c r="R42" s="78" t="str">
        <x:v>Resolve</x:v>
      </x:c>
      <x:c r="S42" s="78" t="n">
        <x:f>IF(R42="Resolve",IF(IF(E42="YES",Q42,1-Q42)=1,P42*(1-F42),-O42),P42*(G42-F42))</x:f>
        <x:v>37.61060429271036</x:v>
      </x:c>
      <x:c r="T42" s="78" t="n">
        <x:f>P42*J42</x:f>
        <x:v>0.262399564832863</x:v>
      </x:c>
      <x:c r="U42" s="78" t="n">
        <x:f>S42-T42</x:f>
        <x:v>37.3482047278775</x:v>
      </x:c>
      <x:c r="V42" s="78" t="n">
        <x:f>N42+U42</x:f>
        <x:v>10008.531668376669</x:v>
      </x:c>
      <x:c r="W42" s="74" t="n">
        <x:f>IFERROR(V42/MAX($V$16:V42)-1,0)</x:f>
        <x:v>-0.0028606912255123573</x:v>
      </x:c>
      <x:c r="X42" t="str">
        <x:f>IF(O42&gt;0,"TRADE","NO_TRADE")</x:f>
        <x:v>TRADE</x:v>
      </x:c>
    </x:row>
    <x:row r="43">
      <x:c r="A43" s="66" t="n">
        <x:v>46167.5015625</x:v>
      </x:c>
      <x:c r="B43" s="66" t="str">
        <x:v>MKT_1000</x:v>
      </x:c>
      <x:c r="C43" s="66" t="n">
        <x:v>46167.50347222222</x:v>
      </x:c>
      <x:c r="D43" t="n">
        <x:v>165</x:v>
      </x:c>
      <x:c r="E43" t="str">
        <x:v>NO</x:v>
      </x:c>
      <x:c r="F43" s="74" t="n">
        <x:v>0.68</x:v>
      </x:c>
      <x:c r="G43" s="74" t="n">
        <x:v>0.68</x:v>
      </x:c>
      <x:c r="H43" s="74" t="n">
        <x:v>0.7050000000000001</x:v>
      </x:c>
      <x:c r="I43" s="74" t="n">
        <x:f>IF(E43="YES",H43,1-H43)</x:f>
        <x:v>0.29499999999999993</x:v>
      </x:c>
      <x:c r="J43" s="76" t="n">
        <x:f>Assumptions!$C$12+Assumptions!$C$11*F43</x:f>
        <x:v>0.003</x:v>
      </x:c>
      <x:c r="K43" s="76" t="n">
        <x:f>I43-F43-J43</x:f>
        <x:v>-0.3880000000000001</x:v>
      </x:c>
      <x:c r="L43" s="74" t="n">
        <x:f>MAX(0,IFERROR(K43/(1-F43),0))</x:f>
        <x:v>0</x:v>
      </x:c>
      <x:c r="M43" s="74" t="n">
        <x:f>MIN(Assumptions!$C$8*L43,Assumptions!$C$5)</x:f>
        <x:v>0</x:v>
      </x:c>
      <x:c r="N43" s="78" t="n">
        <x:f>IF(ROW()=16,Assumptions!$C$4,V42)</x:f>
        <x:v>10008.531668376669</x:v>
      </x:c>
      <x:c r="O43" s="78" t="n">
        <x:f>IF(AND(K43&gt;IF(F43&gt;=Assumptions!$C$21,Assumptions!$C$10,Assumptions!$C$9),D43&gt;Assumptions!$C$23),N43*M43,0)</x:f>
        <x:v>0</x:v>
      </x:c>
      <x:c r="P43" s="78" t="n">
        <x:f>IFERROR(O43/F43,0)</x:f>
        <x:v>0</x:v>
      </x:c>
      <x:c r="Q43" s="78" t="n">
        <x:v>1</x:v>
      </x:c>
      <x:c r="R43" s="78" t="str">
        <x:v>Resolve</x:v>
      </x:c>
      <x:c r="S43" s="78" t="n">
        <x:f>IF(R43="Resolve",IF(IF(E43="YES",Q43,1-Q43)=1,P43*(1-F43),-O43),P43*(G43-F43))</x:f>
        <x:v>0</x:v>
      </x:c>
      <x:c r="T43" s="78" t="n">
        <x:f>P43*J43</x:f>
        <x:v>0</x:v>
      </x:c>
      <x:c r="U43" s="78" t="n">
        <x:f>S43-T43</x:f>
        <x:v>0</x:v>
      </x:c>
      <x:c r="V43" s="78" t="n">
        <x:f>N43+U43</x:f>
        <x:v>10008.531668376669</x:v>
      </x:c>
      <x:c r="W43" s="74" t="n">
        <x:f>IFERROR(V43/MAX($V$16:V43)-1,0)</x:f>
        <x:v>-0.0028606912255123573</x:v>
      </x:c>
      <x:c r="X43" t="str">
        <x:f>IF(O43&gt;0,"TRADE","NO_TRADE")</x:f>
        <x:v>NO_TRADE</x:v>
      </x:c>
    </x:row>
    <x:row r="44">
      <x:c r="A44" s="66" t="n">
        <x:v>46167.50162037037</x:v>
      </x:c>
      <x:c r="B44" s="66" t="str">
        <x:v>MKT_1000</x:v>
      </x:c>
      <x:c r="C44" s="66" t="n">
        <x:v>46167.50347222222</x:v>
      </x:c>
      <x:c r="D44" t="n">
        <x:v>160</x:v>
      </x:c>
      <x:c r="E44" t="str">
        <x:v>YES</x:v>
      </x:c>
      <x:c r="F44" s="74" t="n">
        <x:v>0.91</x:v>
      </x:c>
      <x:c r="G44" s="74" t="n">
        <x:v>0.91</x:v>
      </x:c>
      <x:c r="H44" s="74" t="n">
        <x:v>0.9450000000000001</x:v>
      </x:c>
      <x:c r="I44" s="74" t="n">
        <x:f>IF(E44="YES",H44,1-H44)</x:f>
        <x:v>0.9450000000000001</x:v>
      </x:c>
      <x:c r="J44" s="76" t="n">
        <x:f>Assumptions!$C$12+Assumptions!$C$11*F44</x:f>
        <x:v>0.003</x:v>
      </x:c>
      <x:c r="K44" s="76" t="n">
        <x:f>I44-F44-J44</x:f>
        <x:v>0.03200000000000003</x:v>
      </x:c>
      <x:c r="L44" s="74" t="n">
        <x:f>MAX(0,IFERROR(K44/(1-F44),0))</x:f>
        <x:v>0.355555555555556</x:v>
      </x:c>
      <x:c r="M44" s="74" t="n">
        <x:f>MIN(Assumptions!$C$8*L44,Assumptions!$C$5)</x:f>
        <x:v>0.005</x:v>
      </x:c>
      <x:c r="N44" s="78" t="n">
        <x:f>IF(ROW()=16,Assumptions!$C$4,V43)</x:f>
        <x:v>10008.531668376669</x:v>
      </x:c>
      <x:c r="O44" s="78" t="n">
        <x:f>IF(AND(K44&gt;IF(F44&gt;=Assumptions!$C$21,Assumptions!$C$10,Assumptions!$C$9),D44&gt;Assumptions!$C$23),N44*M44,0)</x:f>
        <x:v>50.042658341883346</x:v>
      </x:c>
      <x:c r="P44" s="78" t="n">
        <x:f>IFERROR(O44/F44,0)</x:f>
        <x:v>54.991932243827854</x:v>
      </x:c>
      <x:c r="Q44" s="78" t="n">
        <x:v>0</x:v>
      </x:c>
      <x:c r="R44" s="78" t="str">
        <x:v>Resolve</x:v>
      </x:c>
      <x:c r="S44" s="78" t="n">
        <x:f>IF(R44="Resolve",IF(IF(E44="YES",Q44,1-Q44)=1,P44*(1-F44),-O44),P44*(G44-F44))</x:f>
        <x:v>-50.042658341883346</x:v>
      </x:c>
      <x:c r="T44" s="78" t="n">
        <x:f>P44*J44</x:f>
        <x:v>0.16497579673148358</x:v>
      </x:c>
      <x:c r="U44" s="78" t="n">
        <x:f>S44-T44</x:f>
        <x:v>-50.20763413861483</x:v>
      </x:c>
      <x:c r="V44" s="78" t="n">
        <x:f>N44+U44</x:f>
        <x:v>9958.324034238054</x:v>
      </x:c>
      <x:c r="W44" s="74" t="n">
        <x:f>IFERROR(V44/MAX($V$16:V44)-1,0)</x:f>
        <x:v>-0.007862824131617319</x:v>
      </x:c>
      <x:c r="X44" t="str">
        <x:f>IF(O44&gt;0,"TRADE","NO_TRADE")</x:f>
        <x:v>TRADE</x:v>
      </x:c>
    </x:row>
    <x:row r="45">
      <x:c r="A45" s="66" t="n">
        <x:v>46167.50167824074</x:v>
      </x:c>
      <x:c r="B45" s="66" t="str">
        <x:v>MKT_1000</x:v>
      </x:c>
      <x:c r="C45" s="66" t="n">
        <x:v>46167.50347222222</x:v>
      </x:c>
      <x:c r="D45" t="n">
        <x:v>155</x:v>
      </x:c>
      <x:c r="E45" t="str">
        <x:v>YES</x:v>
      </x:c>
      <x:c r="F45" s="74" t="n">
        <x:v>0.83</x:v>
      </x:c>
      <x:c r="G45" s="74" t="n">
        <x:v>0.83</x:v>
      </x:c>
      <x:c r="H45" s="74" t="n">
        <x:v>0.82</x:v>
      </x:c>
      <x:c r="I45" s="74" t="n">
        <x:f>IF(E45="YES",H45,1-H45)</x:f>
        <x:v>0.82</x:v>
      </x:c>
      <x:c r="J45" s="76" t="n">
        <x:f>Assumptions!$C$12+Assumptions!$C$11*F45</x:f>
        <x:v>0.003</x:v>
      </x:c>
      <x:c r="K45" s="76" t="n">
        <x:f>I45-F45-J45</x:f>
        <x:v>-0.013000000000000008</x:v>
      </x:c>
      <x:c r="L45" s="74" t="n">
        <x:f>MAX(0,IFERROR(K45/(1-F45),0))</x:f>
        <x:v>0</x:v>
      </x:c>
      <x:c r="M45" s="74" t="n">
        <x:f>MIN(Assumptions!$C$8*L45,Assumptions!$C$5)</x:f>
        <x:v>0</x:v>
      </x:c>
      <x:c r="N45" s="78" t="n">
        <x:f>IF(ROW()=16,Assumptions!$C$4,V44)</x:f>
        <x:v>9958.324034238054</x:v>
      </x:c>
      <x:c r="O45" s="78" t="n">
        <x:f>IF(AND(K45&gt;IF(F45&gt;=Assumptions!$C$21,Assumptions!$C$10,Assumptions!$C$9),D45&gt;Assumptions!$C$23),N45*M45,0)</x:f>
        <x:v>0</x:v>
      </x:c>
      <x:c r="P45" s="78" t="n">
        <x:f>IFERROR(O45/F45,0)</x:f>
        <x:v>0</x:v>
      </x:c>
      <x:c r="Q45" s="78" t="n">
        <x:v>1</x:v>
      </x:c>
      <x:c r="R45" s="78" t="str">
        <x:v>Resolve</x:v>
      </x:c>
      <x:c r="S45" s="78" t="n">
        <x:f>IF(R45="Resolve",IF(IF(E45="YES",Q45,1-Q45)=1,P45*(1-F45),-O45),P45*(G45-F45))</x:f>
        <x:v>0</x:v>
      </x:c>
      <x:c r="T45" s="78" t="n">
        <x:f>P45*J45</x:f>
        <x:v>0</x:v>
      </x:c>
      <x:c r="U45" s="78" t="n">
        <x:f>S45-T45</x:f>
        <x:v>0</x:v>
      </x:c>
      <x:c r="V45" s="78" t="n">
        <x:f>N45+U45</x:f>
        <x:v>9958.324034238054</x:v>
      </x:c>
      <x:c r="W45" s="74" t="n">
        <x:f>IFERROR(V45/MAX($V$16:V45)-1,0)</x:f>
        <x:v>-0.007862824131617319</x:v>
      </x:c>
      <x:c r="X45" t="str">
        <x:f>IF(O45&gt;0,"TRADE","NO_TRADE")</x:f>
        <x:v>NO_TRADE</x:v>
      </x:c>
    </x:row>
    <x:row r="46">
      <x:c r="A46" s="66" t="n">
        <x:v>46167.50173611111</x:v>
      </x:c>
      <x:c r="B46" s="66" t="str">
        <x:v>MKT_1000</x:v>
      </x:c>
      <x:c r="C46" s="66" t="n">
        <x:v>46167.50347222222</x:v>
      </x:c>
      <x:c r="D46" t="n">
        <x:v>150</x:v>
      </x:c>
      <x:c r="E46" t="str">
        <x:v>NO</x:v>
      </x:c>
      <x:c r="F46" s="74" t="n">
        <x:v>0.52</x:v>
      </x:c>
      <x:c r="G46" s="74" t="n">
        <x:v>0.52</x:v>
      </x:c>
      <x:c r="H46" s="74" t="n">
        <x:v>0.535</x:v>
      </x:c>
      <x:c r="I46" s="74" t="n">
        <x:f>IF(E46="YES",H46,1-H46)</x:f>
        <x:v>0.46499999999999997</x:v>
      </x:c>
      <x:c r="J46" s="76" t="n">
        <x:f>Assumptions!$C$12+Assumptions!$C$11*F46</x:f>
        <x:v>0.003</x:v>
      </x:c>
      <x:c r="K46" s="76" t="n">
        <x:f>I46-F46-J46</x:f>
        <x:v>-0.05800000000000005</x:v>
      </x:c>
      <x:c r="L46" s="74" t="n">
        <x:f>MAX(0,IFERROR(K46/(1-F46),0))</x:f>
        <x:v>0</x:v>
      </x:c>
      <x:c r="M46" s="74" t="n">
        <x:f>MIN(Assumptions!$C$8*L46,Assumptions!$C$5)</x:f>
        <x:v>0</x:v>
      </x:c>
      <x:c r="N46" s="78" t="n">
        <x:f>IF(ROW()=16,Assumptions!$C$4,V45)</x:f>
        <x:v>9958.324034238054</x:v>
      </x:c>
      <x:c r="O46" s="78" t="n">
        <x:f>IF(AND(K46&gt;IF(F46&gt;=Assumptions!$C$21,Assumptions!$C$10,Assumptions!$C$9),D46&gt;Assumptions!$C$23),N46*M46,0)</x:f>
        <x:v>0</x:v>
      </x:c>
      <x:c r="P46" s="78" t="n">
        <x:f>IFERROR(O46/F46,0)</x:f>
        <x:v>0</x:v>
      </x:c>
      <x:c r="Q46" s="78" t="n">
        <x:v>1</x:v>
      </x:c>
      <x:c r="R46" s="78" t="str">
        <x:v>Resolve</x:v>
      </x:c>
      <x:c r="S46" s="78" t="n">
        <x:f>IF(R46="Resolve",IF(IF(E46="YES",Q46,1-Q46)=1,P46*(1-F46),-O46),P46*(G46-F46))</x:f>
        <x:v>0</x:v>
      </x:c>
      <x:c r="T46" s="78" t="n">
        <x:f>P46*J46</x:f>
        <x:v>0</x:v>
      </x:c>
      <x:c r="U46" s="78" t="n">
        <x:f>S46-T46</x:f>
        <x:v>0</x:v>
      </x:c>
      <x:c r="V46" s="78" t="n">
        <x:f>N46+U46</x:f>
        <x:v>9958.324034238054</x:v>
      </x:c>
      <x:c r="W46" s="74" t="n">
        <x:f>IFERROR(V46/MAX($V$16:V46)-1,0)</x:f>
        <x:v>-0.007862824131617319</x:v>
      </x:c>
      <x:c r="X46" t="str">
        <x:f>IF(O46&gt;0,"TRADE","NO_TRADE")</x:f>
        <x:v>NO_TRADE</x:v>
      </x:c>
    </x:row>
    <x:row r="47">
      <x:c r="A47" s="66" t="n">
        <x:v>46167.50179398148</x:v>
      </x:c>
      <x:c r="B47" s="66" t="str">
        <x:v>MKT_1000</x:v>
      </x:c>
      <x:c r="C47" s="66" t="n">
        <x:v>46167.50347222222</x:v>
      </x:c>
      <x:c r="D47" t="n">
        <x:v>145</x:v>
      </x:c>
      <x:c r="E47" t="str">
        <x:v>YES</x:v>
      </x:c>
      <x:c r="F47" s="74" t="n">
        <x:v>0.61</x:v>
      </x:c>
      <x:c r="G47" s="74" t="n">
        <x:v>0.61</x:v>
      </x:c>
      <x:c r="H47" s="74" t="n">
        <x:v>0.63</x:v>
      </x:c>
      <x:c r="I47" s="74" t="n">
        <x:f>IF(E47="YES",H47,1-H47)</x:f>
        <x:v>0.63</x:v>
      </x:c>
      <x:c r="J47" s="76" t="n">
        <x:f>Assumptions!$C$12+Assumptions!$C$11*F47</x:f>
        <x:v>0.003</x:v>
      </x:c>
      <x:c r="K47" s="76" t="n">
        <x:f>I47-F47-J47</x:f>
        <x:v>0.01700000000000002</x:v>
      </x:c>
      <x:c r="L47" s="74" t="n">
        <x:f>MAX(0,IFERROR(K47/(1-F47),0))</x:f>
        <x:v>0.043589743589743636</x:v>
      </x:c>
      <x:c r="M47" s="74" t="n">
        <x:f>MIN(Assumptions!$C$8*L47,Assumptions!$C$5)</x:f>
        <x:v>0.005</x:v>
      </x:c>
      <x:c r="N47" s="78" t="n">
        <x:f>IF(ROW()=16,Assumptions!$C$4,V46)</x:f>
        <x:v>9958.324034238054</x:v>
      </x:c>
      <x:c r="O47" s="78" t="n">
        <x:f>IF(AND(K47&gt;IF(F47&gt;=Assumptions!$C$21,Assumptions!$C$10,Assumptions!$C$9),D47&gt;Assumptions!$C$23),N47*M47,0)</x:f>
        <x:v>49.791620171190274</x:v>
      </x:c>
      <x:c r="P47" s="78" t="n">
        <x:f>IFERROR(O47/F47,0)</x:f>
        <x:v>81.62560683801685</x:v>
      </x:c>
      <x:c r="Q47" s="78" t="n">
        <x:v>0</x:v>
      </x:c>
      <x:c r="R47" s="78" t="str">
        <x:v>Resolve</x:v>
      </x:c>
      <x:c r="S47" s="78" t="n">
        <x:f>IF(R47="Resolve",IF(IF(E47="YES",Q47,1-Q47)=1,P47*(1-F47),-O47),P47*(G47-F47))</x:f>
        <x:v>-49.791620171190274</x:v>
      </x:c>
      <x:c r="T47" s="78" t="n">
        <x:f>P47*J47</x:f>
        <x:v>0.24487682051405055</x:v>
      </x:c>
      <x:c r="U47" s="78" t="n">
        <x:f>S47-T47</x:f>
        <x:v>-50.036496991704325</x:v>
      </x:c>
      <x:c r="V47" s="78" t="n">
        <x:f>N47+U47</x:f>
        <x:v>9908.28753724635</x:v>
      </x:c>
      <x:c r="W47" s="74" t="n">
        <x:f>IFERROR(V47/MAX($V$16:V47)-1,0)</x:f>
        <x:v>-0.012847906826759292</x:v>
      </x:c>
      <x:c r="X47" t="str">
        <x:f>IF(O47&gt;0,"TRADE","NO_TRADE")</x:f>
        <x:v>TRADE</x:v>
      </x:c>
    </x:row>
    <x:row r="48">
      <x:c r="A48" s="66" t="n">
        <x:v>46167.501851851855</x:v>
      </x:c>
      <x:c r="B48" s="66" t="str">
        <x:v>MKT_1000</x:v>
      </x:c>
      <x:c r="C48" s="66" t="n">
        <x:v>46167.50347222222</x:v>
      </x:c>
      <x:c r="D48" t="n">
        <x:v>140</x:v>
      </x:c>
      <x:c r="E48" t="str">
        <x:v>YES</x:v>
      </x:c>
      <x:c r="F48" s="74" t="n">
        <x:v>0.74</x:v>
      </x:c>
      <x:c r="G48" s="74" t="n">
        <x:v>0.74</x:v>
      </x:c>
      <x:c r="H48" s="74" t="n">
        <x:v>0.735</x:v>
      </x:c>
      <x:c r="I48" s="74" t="n">
        <x:f>IF(E48="YES",H48,1-H48)</x:f>
        <x:v>0.735</x:v>
      </x:c>
      <x:c r="J48" s="76" t="n">
        <x:f>Assumptions!$C$12+Assumptions!$C$11*F48</x:f>
        <x:v>0.003</x:v>
      </x:c>
      <x:c r="K48" s="76" t="n">
        <x:f>I48-F48-J48</x:f>
        <x:v>-0.008000000000000004</x:v>
      </x:c>
      <x:c r="L48" s="74" t="n">
        <x:f>MAX(0,IFERROR(K48/(1-F48),0))</x:f>
        <x:v>0</x:v>
      </x:c>
      <x:c r="M48" s="74" t="n">
        <x:f>MIN(Assumptions!$C$8*L48,Assumptions!$C$5)</x:f>
        <x:v>0</x:v>
      </x:c>
      <x:c r="N48" s="78" t="n">
        <x:f>IF(ROW()=16,Assumptions!$C$4,V47)</x:f>
        <x:v>9908.28753724635</x:v>
      </x:c>
      <x:c r="O48" s="78" t="n">
        <x:f>IF(AND(K48&gt;IF(F48&gt;=Assumptions!$C$21,Assumptions!$C$10,Assumptions!$C$9),D48&gt;Assumptions!$C$23),N48*M48,0)</x:f>
        <x:v>0</x:v>
      </x:c>
      <x:c r="P48" s="78" t="n">
        <x:f>IFERROR(O48/F48,0)</x:f>
        <x:v>0</x:v>
      </x:c>
      <x:c r="Q48" s="78" t="n">
        <x:v>1</x:v>
      </x:c>
      <x:c r="R48" s="78" t="str">
        <x:v>Resolve</x:v>
      </x:c>
      <x:c r="S48" s="78" t="n">
        <x:f>IF(R48="Resolve",IF(IF(E48="YES",Q48,1-Q48)=1,P48*(1-F48),-O48),P48*(G48-F48))</x:f>
        <x:v>0</x:v>
      </x:c>
      <x:c r="T48" s="78" t="n">
        <x:f>P48*J48</x:f>
        <x:v>0</x:v>
      </x:c>
      <x:c r="U48" s="78" t="n">
        <x:f>S48-T48</x:f>
        <x:v>0</x:v>
      </x:c>
      <x:c r="V48" s="78" t="n">
        <x:f>N48+U48</x:f>
        <x:v>9908.28753724635</x:v>
      </x:c>
      <x:c r="W48" s="74" t="n">
        <x:f>IFERROR(V48/MAX($V$16:V48)-1,0)</x:f>
        <x:v>-0.012847906826759292</x:v>
      </x:c>
      <x:c r="X48" t="str">
        <x:f>IF(O48&gt;0,"TRADE","NO_TRADE")</x:f>
        <x:v>NO_TRADE</x:v>
      </x:c>
    </x:row>
    <x:row r="49">
      <x:c r="A49" s="66" t="n">
        <x:v>46167.501909722225</x:v>
      </x:c>
      <x:c r="B49" s="66" t="str">
        <x:v>MKT_1000</x:v>
      </x:c>
      <x:c r="C49" s="66" t="n">
        <x:v>46167.50347222222</x:v>
      </x:c>
      <x:c r="D49" t="n">
        <x:v>135</x:v>
      </x:c>
      <x:c r="E49" t="str">
        <x:v>NO</x:v>
      </x:c>
      <x:c r="F49" s="74" t="n">
        <x:v>0.88</x:v>
      </x:c>
      <x:c r="G49" s="74" t="n">
        <x:v>0.88</x:v>
      </x:c>
      <x:c r="H49" s="74" t="n">
        <x:v>0.91</x:v>
      </x:c>
      <x:c r="I49" s="74" t="n">
        <x:f>IF(E49="YES",H49,1-H49)</x:f>
        <x:v>0.08999999999999997</x:v>
      </x:c>
      <x:c r="J49" s="76" t="n">
        <x:f>Assumptions!$C$12+Assumptions!$C$11*F49</x:f>
        <x:v>0.003</x:v>
      </x:c>
      <x:c r="K49" s="76" t="n">
        <x:f>I49-F49-J49</x:f>
        <x:v>-0.793</x:v>
      </x:c>
      <x:c r="L49" s="74" t="n">
        <x:f>MAX(0,IFERROR(K49/(1-F49),0))</x:f>
        <x:v>0</x:v>
      </x:c>
      <x:c r="M49" s="74" t="n">
        <x:f>MIN(Assumptions!$C$8*L49,Assumptions!$C$5)</x:f>
        <x:v>0</x:v>
      </x:c>
      <x:c r="N49" s="78" t="n">
        <x:f>IF(ROW()=16,Assumptions!$C$4,V48)</x:f>
        <x:v>9908.28753724635</x:v>
      </x:c>
      <x:c r="O49" s="78" t="n">
        <x:f>IF(AND(K49&gt;IF(F49&gt;=Assumptions!$C$21,Assumptions!$C$10,Assumptions!$C$9),D49&gt;Assumptions!$C$23),N49*M49,0)</x:f>
        <x:v>0</x:v>
      </x:c>
      <x:c r="P49" s="78" t="n">
        <x:f>IFERROR(O49/F49,0)</x:f>
        <x:v>0</x:v>
      </x:c>
      <x:c r="Q49" s="78" t="n">
        <x:v>1</x:v>
      </x:c>
      <x:c r="R49" s="78" t="str">
        <x:v>Resolve</x:v>
      </x:c>
      <x:c r="S49" s="78" t="n">
        <x:f>IF(R49="Resolve",IF(IF(E49="YES",Q49,1-Q49)=1,P49*(1-F49),-O49),P49*(G49-F49))</x:f>
        <x:v>0</x:v>
      </x:c>
      <x:c r="T49" s="78" t="n">
        <x:f>P49*J49</x:f>
        <x:v>0</x:v>
      </x:c>
      <x:c r="U49" s="78" t="n">
        <x:f>S49-T49</x:f>
        <x:v>0</x:v>
      </x:c>
      <x:c r="V49" s="78" t="n">
        <x:f>N49+U49</x:f>
        <x:v>9908.28753724635</x:v>
      </x:c>
      <x:c r="W49" s="74" t="n">
        <x:f>IFERROR(V49/MAX($V$16:V49)-1,0)</x:f>
        <x:v>-0.012847906826759292</x:v>
      </x:c>
      <x:c r="X49" t="str">
        <x:f>IF(O49&gt;0,"TRADE","NO_TRADE")</x:f>
        <x:v>NO_TRADE</x:v>
      </x:c>
    </x:row>
    <x:row r="50">
      <x:c r="A50" s="66" t="n">
        <x:v>46167.501967592594</x:v>
      </x:c>
      <x:c r="B50" s="66" t="str">
        <x:v>MKT_1000</x:v>
      </x:c>
      <x:c r="C50" s="66" t="n">
        <x:v>46167.50347222222</x:v>
      </x:c>
      <x:c r="D50" t="n">
        <x:v>130</x:v>
      </x:c>
      <x:c r="E50" t="str">
        <x:v>YES</x:v>
      </x:c>
      <x:c r="F50" s="74" t="n">
        <x:v>0.94</x:v>
      </x:c>
      <x:c r="G50" s="74" t="n">
        <x:v>0.94</x:v>
      </x:c>
      <x:c r="H50" s="74" t="n">
        <x:v>0.98</x:v>
      </x:c>
      <x:c r="I50" s="74" t="n">
        <x:f>IF(E50="YES",H50,1-H50)</x:f>
        <x:v>0.98</x:v>
      </x:c>
      <x:c r="J50" s="76" t="n">
        <x:f>Assumptions!$C$12+Assumptions!$C$11*F50</x:f>
        <x:v>0.003</x:v>
      </x:c>
      <x:c r="K50" s="76" t="n">
        <x:f>I50-F50-J50</x:f>
        <x:v>0.03700000000000003</x:v>
      </x:c>
      <x:c r="L50" s="74" t="n">
        <x:f>MAX(0,IFERROR(K50/(1-F50),0))</x:f>
        <x:v>0.6166666666666667</x:v>
      </x:c>
      <x:c r="M50" s="74" t="n">
        <x:f>MIN(Assumptions!$C$8*L50,Assumptions!$C$5)</x:f>
        <x:v>0.005</x:v>
      </x:c>
      <x:c r="N50" s="78" t="n">
        <x:f>IF(ROW()=16,Assumptions!$C$4,V49)</x:f>
        <x:v>9908.28753724635</x:v>
      </x:c>
      <x:c r="O50" s="78" t="n">
        <x:f>IF(AND(K50&gt;IF(F50&gt;=Assumptions!$C$21,Assumptions!$C$10,Assumptions!$C$9),D50&gt;Assumptions!$C$23),N50*M50,0)</x:f>
        <x:v>49.541437686231745</x:v>
      </x:c>
      <x:c r="P50" s="78" t="n">
        <x:f>IFERROR(O50/F50,0)</x:f>
        <x:v>52.7036571130125</x:v>
      </x:c>
      <x:c r="Q50" s="78" t="n">
        <x:v>1</x:v>
      </x:c>
      <x:c r="R50" s="78" t="str">
        <x:v>Resolve</x:v>
      </x:c>
      <x:c r="S50" s="78" t="n">
        <x:f>IF(R50="Resolve",IF(IF(E50="YES",Q50,1-Q50)=1,P50*(1-F50),-O50),P50*(G50-F50))</x:f>
        <x:v>3.1622194267807524</x:v>
      </x:c>
      <x:c r="T50" s="78" t="n">
        <x:f>P50*J50</x:f>
        <x:v>0.15811097133903748</x:v>
      </x:c>
      <x:c r="U50" s="78" t="n">
        <x:f>S50-T50</x:f>
        <x:v>3.004108455441715</x:v>
      </x:c>
      <x:c r="V50" s="78" t="n">
        <x:f>N50+U50</x:f>
        <x:v>9911.291645701791</x:v>
      </x:c>
      <x:c r="W50" s="74" t="n">
        <x:f>IFERROR(V50/MAX($V$16:V50)-1,0)</x:f>
        <x:v>-0.01254861071340363</x:v>
      </x:c>
      <x:c r="X50" t="str">
        <x:f>IF(O50&gt;0,"TRADE","NO_TRADE")</x:f>
        <x:v>TRADE</x:v>
      </x:c>
    </x:row>
    <x:row r="51">
      <x:c r="A51" s="66" t="n">
        <x:v>46167.50202546296</x:v>
      </x:c>
      <x:c r="B51" s="66" t="str">
        <x:v>MKT_1000</x:v>
      </x:c>
      <x:c r="C51" s="66" t="n">
        <x:v>46167.50347222222</x:v>
      </x:c>
      <x:c r="D51" t="n">
        <x:v>125</x:v>
      </x:c>
      <x:c r="E51" t="str">
        <x:v>YES</x:v>
      </x:c>
      <x:c r="F51" s="74" t="n">
        <x:v>0.95</x:v>
      </x:c>
      <x:c r="G51" s="74" t="n">
        <x:v>0.95</x:v>
      </x:c>
      <x:c r="H51" s="74" t="n">
        <x:v>0.968</x:v>
      </x:c>
      <x:c r="I51" s="74" t="n">
        <x:f>IF(E51="YES",H51,1-H51)</x:f>
        <x:v>0.968</x:v>
      </x:c>
      <x:c r="J51" s="76" t="n">
        <x:f>Assumptions!$C$12+Assumptions!$C$11*F51</x:f>
        <x:v>0.003</x:v>
      </x:c>
      <x:c r="K51" s="76" t="n">
        <x:f>I51-F51-J51</x:f>
        <x:v>0.015000000000000017</x:v>
      </x:c>
      <x:c r="L51" s="74" t="n">
        <x:f>MAX(0,IFERROR(K51/(1-F51),0))</x:f>
        <x:v>0.30000000000000004</x:v>
      </x:c>
      <x:c r="M51" s="74" t="n">
        <x:f>MIN(Assumptions!$C$8*L51,Assumptions!$C$5)</x:f>
        <x:v>0.005</x:v>
      </x:c>
      <x:c r="N51" s="78" t="n">
        <x:f>IF(ROW()=16,Assumptions!$C$4,V50)</x:f>
        <x:v>9911.291645701791</x:v>
      </x:c>
      <x:c r="O51" s="78" t="n">
        <x:f>IF(AND(K51&gt;IF(F51&gt;=Assumptions!$C$21,Assumptions!$C$10,Assumptions!$C$9),D51&gt;Assumptions!$C$23),N51*M51,0)</x:f>
        <x:v>49.55645822850896</x:v>
      </x:c>
      <x:c r="P51" s="78" t="n">
        <x:f>IFERROR(O51/F51,0)</x:f>
        <x:v>52.1646928721147</x:v>
      </x:c>
      <x:c r="Q51" s="78" t="n">
        <x:v>0</x:v>
      </x:c>
      <x:c r="R51" s="78" t="str">
        <x:v>Resolve</x:v>
      </x:c>
      <x:c r="S51" s="78" t="n">
        <x:f>IF(R51="Resolve",IF(IF(E51="YES",Q51,1-Q51)=1,P51*(1-F51),-O51),P51*(G51-F51))</x:f>
        <x:v>-49.55645822850896</x:v>
      </x:c>
      <x:c r="T51" s="78" t="n">
        <x:f>P51*J51</x:f>
        <x:v>0.1564940786163441</x:v>
      </x:c>
      <x:c r="U51" s="78" t="n">
        <x:f>S51-T51</x:f>
        <x:v>-49.712952307125306</x:v>
      </x:c>
      <x:c r="V51" s="78" t="n">
        <x:f>N51+U51</x:f>
        <x:v>9861.578693394666</x:v>
      </x:c>
      <x:c r="W51" s="74" t="n">
        <x:f>IFERROR(V51/MAX($V$16:V51)-1,0)</x:f>
        <x:v>-0.01750145899756217</x:v>
      </x:c>
      <x:c r="X51" t="str">
        <x:f>IF(O51&gt;0,"TRADE","NO_TRADE")</x:f>
        <x:v>TRADE</x:v>
      </x:c>
    </x:row>
    <x:row r="52">
      <x:c r="A52" s="66" t="n">
        <x:v>46167.50208333333</x:v>
      </x:c>
      <x:c r="B52" s="66" t="str">
        <x:v>MKT_1000</x:v>
      </x:c>
      <x:c r="C52" s="66" t="n">
        <x:v>46167.50347222222</x:v>
      </x:c>
      <x:c r="D52" t="n">
        <x:v>120</x:v>
      </x:c>
      <x:c r="E52" t="str">
        <x:v>NO</x:v>
      </x:c>
      <x:c r="F52" s="74" t="n">
        <x:v>0.57</x:v>
      </x:c>
      <x:c r="G52" s="74" t="n">
        <x:v>0.57</x:v>
      </x:c>
      <x:c r="H52" s="74" t="n">
        <x:v>0.582</x:v>
      </x:c>
      <x:c r="I52" s="74" t="n">
        <x:f>IF(E52="YES",H52,1-H52)</x:f>
        <x:v>0.41800000000000004</x:v>
      </x:c>
      <x:c r="J52" s="76" t="n">
        <x:f>Assumptions!$C$12+Assumptions!$C$11*F52</x:f>
        <x:v>0.003</x:v>
      </x:c>
      <x:c r="K52" s="76" t="n">
        <x:f>I52-F52-J52</x:f>
        <x:v>-0.15499999999999992</x:v>
      </x:c>
      <x:c r="L52" s="74" t="n">
        <x:f>MAX(0,IFERROR(K52/(1-F52),0))</x:f>
        <x:v>0</x:v>
      </x:c>
      <x:c r="M52" s="74" t="n">
        <x:f>MIN(Assumptions!$C$8*L52,Assumptions!$C$5)</x:f>
        <x:v>0</x:v>
      </x:c>
      <x:c r="N52" s="78" t="n">
        <x:f>IF(ROW()=16,Assumptions!$C$4,V51)</x:f>
        <x:v>9861.578693394666</x:v>
      </x:c>
      <x:c r="O52" s="78" t="n">
        <x:f>IF(AND(K52&gt;IF(F52&gt;=Assumptions!$C$21,Assumptions!$C$10,Assumptions!$C$9),D52&gt;Assumptions!$C$23),N52*M52,0)</x:f>
        <x:v>0</x:v>
      </x:c>
      <x:c r="P52" s="78" t="n">
        <x:f>IFERROR(O52/F52,0)</x:f>
        <x:v>0</x:v>
      </x:c>
      <x:c r="Q52" s="78" t="n">
        <x:v>1</x:v>
      </x:c>
      <x:c r="R52" s="78" t="str">
        <x:v>Resolve</x:v>
      </x:c>
      <x:c r="S52" s="78" t="n">
        <x:f>IF(R52="Resolve",IF(IF(E52="YES",Q52,1-Q52)=1,P52*(1-F52),-O52),P52*(G52-F52))</x:f>
        <x:v>0</x:v>
      </x:c>
      <x:c r="T52" s="78" t="n">
        <x:f>P52*J52</x:f>
        <x:v>0</x:v>
      </x:c>
      <x:c r="U52" s="78" t="n">
        <x:f>S52-T52</x:f>
        <x:v>0</x:v>
      </x:c>
      <x:c r="V52" s="78" t="n">
        <x:f>N52+U52</x:f>
        <x:v>9861.578693394666</x:v>
      </x:c>
      <x:c r="W52" s="74" t="n">
        <x:f>IFERROR(V52/MAX($V$16:V52)-1,0)</x:f>
        <x:v>-0.01750145899756217</x:v>
      </x:c>
      <x:c r="X52" t="str">
        <x:f>IF(O52&gt;0,"TRADE","NO_TRADE")</x:f>
        <x:v>NO_TRADE</x:v>
      </x:c>
    </x:row>
    <x:row r="53">
      <x:c r="A53" s="66" t="n">
        <x:v>46167.5021412037</x:v>
      </x:c>
      <x:c r="B53" s="66" t="str">
        <x:v>MKT_1000</x:v>
      </x:c>
      <x:c r="C53" s="66" t="n">
        <x:v>46167.50347222222</x:v>
      </x:c>
      <x:c r="D53" t="n">
        <x:v>115</x:v>
      </x:c>
      <x:c r="E53" t="str">
        <x:v>YES</x:v>
      </x:c>
      <x:c r="F53" s="74" t="n">
        <x:v>0.68</x:v>
      </x:c>
      <x:c r="G53" s="74" t="n">
        <x:v>0.68</x:v>
      </x:c>
      <x:c r="H53" s="74" t="n">
        <x:v>0.7050000000000001</x:v>
      </x:c>
      <x:c r="I53" s="74" t="n">
        <x:f>IF(E53="YES",H53,1-H53)</x:f>
        <x:v>0.7050000000000001</x:v>
      </x:c>
      <x:c r="J53" s="76" t="n">
        <x:f>Assumptions!$C$12+Assumptions!$C$11*F53</x:f>
        <x:v>0.003</x:v>
      </x:c>
      <x:c r="K53" s="76" t="n">
        <x:f>I53-F53-J53</x:f>
        <x:v>0.022000000000000023</x:v>
      </x:c>
      <x:c r="L53" s="74" t="n">
        <x:f>MAX(0,IFERROR(K53/(1-F53),0))</x:f>
        <x:v>0.06875000000000009</x:v>
      </x:c>
      <x:c r="M53" s="74" t="n">
        <x:f>MIN(Assumptions!$C$8*L53,Assumptions!$C$5)</x:f>
        <x:v>0.005</x:v>
      </x:c>
      <x:c r="N53" s="78" t="n">
        <x:f>IF(ROW()=16,Assumptions!$C$4,V52)</x:f>
        <x:v>9861.578693394666</x:v>
      </x:c>
      <x:c r="O53" s="78" t="n">
        <x:f>IF(AND(K53&gt;IF(F53&gt;=Assumptions!$C$21,Assumptions!$C$10,Assumptions!$C$9),D53&gt;Assumptions!$C$23),N53*M53,0)</x:f>
        <x:v>49.307893466973326</x:v>
      </x:c>
      <x:c r="P53" s="78" t="n">
        <x:f>IFERROR(O53/F53,0)</x:f>
        <x:v>72.51160803966665</x:v>
      </x:c>
      <x:c r="Q53" s="78" t="n">
        <x:v>1</x:v>
      </x:c>
      <x:c r="R53" s="78" t="str">
        <x:v>Resolve</x:v>
      </x:c>
      <x:c r="S53" s="78" t="n">
        <x:f>IF(R53="Resolve",IF(IF(E53="YES",Q53,1-Q53)=1,P53*(1-F53),-O53),P53*(G53-F53))</x:f>
        <x:v>23.203714572693325</x:v>
      </x:c>
      <x:c r="T53" s="78" t="n">
        <x:f>P53*J53</x:f>
        <x:v>0.21753482411899996</x:v>
      </x:c>
      <x:c r="U53" s="78" t="n">
        <x:f>S53-T53</x:f>
        <x:v>22.986179748574326</x:v>
      </x:c>
      <x:c r="V53" s="78" t="n">
        <x:f>N53+U53</x:f>
        <x:v>9884.56487314324</x:v>
      </x:c>
      <x:c r="W53" s="74" t="n">
        <x:f>IFERROR(V53/MAX($V$16:V53)-1,0)</x:f>
        <x:v>-0.015211370486549192</x:v>
      </x:c>
      <x:c r="X53" t="str">
        <x:f>IF(O53&gt;0,"TRADE","NO_TRADE")</x:f>
        <x:v>TRADE</x:v>
      </x:c>
    </x:row>
    <x:row r="54">
      <x:c r="A54" s="66" t="n">
        <x:v>46167.50219907407</x:v>
      </x:c>
      <x:c r="B54" s="66" t="str">
        <x:v>MKT_1000</x:v>
      </x:c>
      <x:c r="C54" s="66" t="n">
        <x:v>46167.50347222222</x:v>
      </x:c>
      <x:c r="D54" t="n">
        <x:v>110</x:v>
      </x:c>
      <x:c r="E54" t="str">
        <x:v>YES</x:v>
      </x:c>
      <x:c r="F54" s="74" t="n">
        <x:v>0.91</x:v>
      </x:c>
      <x:c r="G54" s="74" t="n">
        <x:v>0.91</x:v>
      </x:c>
      <x:c r="H54" s="74" t="n">
        <x:v>0.9450000000000001</x:v>
      </x:c>
      <x:c r="I54" s="74" t="n">
        <x:f>IF(E54="YES",H54,1-H54)</x:f>
        <x:v>0.9450000000000001</x:v>
      </x:c>
      <x:c r="J54" s="76" t="n">
        <x:f>Assumptions!$C$12+Assumptions!$C$11*F54</x:f>
        <x:v>0.003</x:v>
      </x:c>
      <x:c r="K54" s="76" t="n">
        <x:f>I54-F54-J54</x:f>
        <x:v>0.03200000000000003</x:v>
      </x:c>
      <x:c r="L54" s="74" t="n">
        <x:f>MAX(0,IFERROR(K54/(1-F54),0))</x:f>
        <x:v>0.355555555555556</x:v>
      </x:c>
      <x:c r="M54" s="74" t="n">
        <x:f>MIN(Assumptions!$C$8*L54,Assumptions!$C$5)</x:f>
        <x:v>0.005</x:v>
      </x:c>
      <x:c r="N54" s="78" t="n">
        <x:f>IF(ROW()=16,Assumptions!$C$4,V53)</x:f>
        <x:v>9884.56487314324</x:v>
      </x:c>
      <x:c r="O54" s="78" t="n">
        <x:f>IF(AND(K54&gt;IF(F54&gt;=Assumptions!$C$21,Assumptions!$C$10,Assumptions!$C$9),D54&gt;Assumptions!$C$23),N54*M54,0)</x:f>
        <x:v>49.422824365716195</x:v>
      </x:c>
      <x:c r="P54" s="78" t="n">
        <x:f>IFERROR(O54/F54,0)</x:f>
        <x:v>54.31079600628153</x:v>
      </x:c>
      <x:c r="Q54" s="78" t="n">
        <x:v>0</x:v>
      </x:c>
      <x:c r="R54" s="78" t="str">
        <x:v>Resolve</x:v>
      </x:c>
      <x:c r="S54" s="78" t="n">
        <x:f>IF(R54="Resolve",IF(IF(E54="YES",Q54,1-Q54)=1,P54*(1-F54),-O54),P54*(G54-F54))</x:f>
        <x:v>-49.422824365716195</x:v>
      </x:c>
      <x:c r="T54" s="78" t="n">
        <x:f>P54*J54</x:f>
        <x:v>0.16293238801884458</x:v>
      </x:c>
      <x:c r="U54" s="78" t="n">
        <x:f>S54-T54</x:f>
        <x:v>-49.58575675373504</x:v>
      </x:c>
      <x:c r="V54" s="78" t="n">
        <x:f>N54+U54</x:f>
        <x:v>9834.979116389504</x:v>
      </x:c>
      <x:c r="W54" s="74" t="n">
        <x:f>IFERROR(V54/MAX($V$16:V54)-1,0)</x:f>
        <x:v>-0.020151546413723853</x:v>
      </x:c>
      <x:c r="X54" t="str">
        <x:f>IF(O54&gt;0,"TRADE","NO_TRADE")</x:f>
        <x:v>TRADE</x:v>
      </x:c>
    </x:row>
    <x:row r="55">
      <x:c r="A55" s="66" t="n">
        <x:v>46167.50225694444</x:v>
      </x:c>
      <x:c r="B55" s="66" t="str">
        <x:v>MKT_1000</x:v>
      </x:c>
      <x:c r="C55" s="66" t="n">
        <x:v>46167.50347222222</x:v>
      </x:c>
      <x:c r="D55" t="n">
        <x:v>105</x:v>
      </x:c>
      <x:c r="E55" t="str">
        <x:v>NO</x:v>
      </x:c>
      <x:c r="F55" s="74" t="n">
        <x:v>0.83</x:v>
      </x:c>
      <x:c r="G55" s="74" t="n">
        <x:v>0.83</x:v>
      </x:c>
      <x:c r="H55" s="74" t="n">
        <x:v>0.82</x:v>
      </x:c>
      <x:c r="I55" s="74" t="n">
        <x:f>IF(E55="YES",H55,1-H55)</x:f>
        <x:v>0.18000000000000005</x:v>
      </x:c>
      <x:c r="J55" s="76" t="n">
        <x:f>Assumptions!$C$12+Assumptions!$C$11*F55</x:f>
        <x:v>0.003</x:v>
      </x:c>
      <x:c r="K55" s="76" t="n">
        <x:f>I55-F55-J55</x:f>
        <x:v>-0.6529999999999999</x:v>
      </x:c>
      <x:c r="L55" s="74" t="n">
        <x:f>MAX(0,IFERROR(K55/(1-F55),0))</x:f>
        <x:v>0</x:v>
      </x:c>
      <x:c r="M55" s="74" t="n">
        <x:f>MIN(Assumptions!$C$8*L55,Assumptions!$C$5)</x:f>
        <x:v>0</x:v>
      </x:c>
      <x:c r="N55" s="78" t="n">
        <x:f>IF(ROW()=16,Assumptions!$C$4,V54)</x:f>
        <x:v>9834.979116389504</x:v>
      </x:c>
      <x:c r="O55" s="78" t="n">
        <x:f>IF(AND(K55&gt;IF(F55&gt;=Assumptions!$C$21,Assumptions!$C$10,Assumptions!$C$9),D55&gt;Assumptions!$C$23),N55*M55,0)</x:f>
        <x:v>0</x:v>
      </x:c>
      <x:c r="P55" s="78" t="n">
        <x:f>IFERROR(O55/F55,0)</x:f>
        <x:v>0</x:v>
      </x:c>
      <x:c r="Q55" s="78" t="n">
        <x:v>1</x:v>
      </x:c>
      <x:c r="R55" s="78" t="str">
        <x:v>Resolve</x:v>
      </x:c>
      <x:c r="S55" s="78" t="n">
        <x:f>IF(R55="Resolve",IF(IF(E55="YES",Q55,1-Q55)=1,P55*(1-F55),-O55),P55*(G55-F55))</x:f>
        <x:v>0</x:v>
      </x:c>
      <x:c r="T55" s="78" t="n">
        <x:f>P55*J55</x:f>
        <x:v>0</x:v>
      </x:c>
      <x:c r="U55" s="78" t="n">
        <x:f>S55-T55</x:f>
        <x:v>0</x:v>
      </x:c>
      <x:c r="V55" s="78" t="n">
        <x:f>N55+U55</x:f>
        <x:v>9834.979116389504</x:v>
      </x:c>
      <x:c r="W55" s="74" t="n">
        <x:f>IFERROR(V55/MAX($V$16:V55)-1,0)</x:f>
        <x:v>-0.020151546413723853</x:v>
      </x:c>
      <x:c r="X55" t="str">
        <x:f>IF(O55&gt;0,"TRADE","NO_TRADE")</x:f>
        <x:v>NO_TRADE</x:v>
      </x:c>
    </x:row>
    <x:row r="56">
      <x:c r="A56" s="66" t="n">
        <x:v>46167.50231481482</x:v>
      </x:c>
      <x:c r="B56" s="66" t="str">
        <x:v>MKT_1000</x:v>
      </x:c>
      <x:c r="C56" s="66" t="n">
        <x:v>46167.50347222222</x:v>
      </x:c>
      <x:c r="D56" t="n">
        <x:v>100</x:v>
      </x:c>
      <x:c r="E56" t="str">
        <x:v>YES</x:v>
      </x:c>
      <x:c r="F56" s="74" t="n">
        <x:v>0.52</x:v>
      </x:c>
      <x:c r="G56" s="74" t="n">
        <x:v>0.52</x:v>
      </x:c>
      <x:c r="H56" s="74" t="n">
        <x:v>0.535</x:v>
      </x:c>
      <x:c r="I56" s="74" t="n">
        <x:f>IF(E56="YES",H56,1-H56)</x:f>
        <x:v>0.535</x:v>
      </x:c>
      <x:c r="J56" s="76" t="n">
        <x:f>Assumptions!$C$12+Assumptions!$C$11*F56</x:f>
        <x:v>0.003</x:v>
      </x:c>
      <x:c r="K56" s="76" t="n">
        <x:f>I56-F56-J56</x:f>
        <x:v>0.012000000000000014</x:v>
      </x:c>
      <x:c r="L56" s="74" t="n">
        <x:f>MAX(0,IFERROR(K56/(1-F56),0))</x:f>
        <x:v>0.02500000000000003</x:v>
      </x:c>
      <x:c r="M56" s="74" t="n">
        <x:f>MIN(Assumptions!$C$8*L56,Assumptions!$C$5)</x:f>
        <x:v>0.005</x:v>
      </x:c>
      <x:c r="N56" s="78" t="n">
        <x:f>IF(ROW()=16,Assumptions!$C$4,V55)</x:f>
        <x:v>9834.979116389504</x:v>
      </x:c>
      <x:c r="O56" s="78" t="n">
        <x:f>IF(AND(K56&gt;IF(F56&gt;=Assumptions!$C$21,Assumptions!$C$10,Assumptions!$C$9),D56&gt;Assumptions!$C$23),N56*M56,0)</x:f>
        <x:v>49.174895581947524</x:v>
      </x:c>
      <x:c r="P56" s="78" t="n">
        <x:f>IFERROR(O56/F56,0)</x:f>
        <x:v>94.56710688836063</x:v>
      </x:c>
      <x:c r="Q56" s="78" t="n">
        <x:v>1</x:v>
      </x:c>
      <x:c r="R56" s="78" t="str">
        <x:v>Resolve</x:v>
      </x:c>
      <x:c r="S56" s="78" t="n">
        <x:f>IF(R56="Resolve",IF(IF(E56="YES",Q56,1-Q56)=1,P56*(1-F56),-O56),P56*(G56-F56))</x:f>
        <x:v>45.3922113064131</x:v>
      </x:c>
      <x:c r="T56" s="78" t="n">
        <x:f>P56*J56</x:f>
        <x:v>0.2837013206650819</x:v>
      </x:c>
      <x:c r="U56" s="78" t="n">
        <x:f>S56-T56</x:f>
        <x:v>45.10850998574802</x:v>
      </x:c>
      <x:c r="V56" s="78" t="n">
        <x:f>N56+U56</x:f>
        <x:v>9880.087626375253</x:v>
      </x:c>
      <x:c r="W56" s="74" t="n">
        <x:f>IFERROR(V56/MAX($V$16:V56)-1,0)</x:f>
        <x:v>-0.01565743379487139</x:v>
      </x:c>
      <x:c r="X56" t="str">
        <x:f>IF(O56&gt;0,"TRADE","NO_TRADE")</x:f>
        <x:v>TRADE</x:v>
      </x:c>
    </x:row>
    <x:row r="57">
      <x:c r="A57" s="66" t="n">
        <x:v>46167.50237268519</x:v>
      </x:c>
      <x:c r="B57" s="66" t="str">
        <x:v>MKT_1000</x:v>
      </x:c>
      <x:c r="C57" s="66" t="n">
        <x:v>46167.50347222222</x:v>
      </x:c>
      <x:c r="D57" t="n">
        <x:v>95</x:v>
      </x:c>
      <x:c r="E57" t="str">
        <x:v>YES</x:v>
      </x:c>
      <x:c r="F57" s="74" t="n">
        <x:v>0.61</x:v>
      </x:c>
      <x:c r="G57" s="74" t="n">
        <x:v>0.61</x:v>
      </x:c>
      <x:c r="H57" s="74" t="n">
        <x:v>0.63</x:v>
      </x:c>
      <x:c r="I57" s="74" t="n">
        <x:f>IF(E57="YES",H57,1-H57)</x:f>
        <x:v>0.63</x:v>
      </x:c>
      <x:c r="J57" s="76" t="n">
        <x:f>Assumptions!$C$12+Assumptions!$C$11*F57</x:f>
        <x:v>0.003</x:v>
      </x:c>
      <x:c r="K57" s="76" t="n">
        <x:f>I57-F57-J57</x:f>
        <x:v>0.01700000000000002</x:v>
      </x:c>
      <x:c r="L57" s="74" t="n">
        <x:f>MAX(0,IFERROR(K57/(1-F57),0))</x:f>
        <x:v>0.043589743589743636</x:v>
      </x:c>
      <x:c r="M57" s="74" t="n">
        <x:f>MIN(Assumptions!$C$8*L57,Assumptions!$C$5)</x:f>
        <x:v>0.005</x:v>
      </x:c>
      <x:c r="N57" s="78" t="n">
        <x:f>IF(ROW()=16,Assumptions!$C$4,V56)</x:f>
        <x:v>9880.087626375253</x:v>
      </x:c>
      <x:c r="O57" s="78" t="n">
        <x:f>IF(AND(K57&gt;IF(F57&gt;=Assumptions!$C$21,Assumptions!$C$10,Assumptions!$C$9),D57&gt;Assumptions!$C$23),N57*M57,0)</x:f>
        <x:v>49.400438131876264</x:v>
      </x:c>
      <x:c r="P57" s="78" t="n">
        <x:f>IFERROR(O57/F57,0)</x:f>
        <x:v>80.98432480635454</x:v>
      </x:c>
      <x:c r="Q57" s="78" t="n">
        <x:v>1</x:v>
      </x:c>
      <x:c r="R57" s="78" t="str">
        <x:v>Resolve</x:v>
      </x:c>
      <x:c r="S57" s="78" t="n">
        <x:f>IF(R57="Resolve",IF(IF(E57="YES",Q57,1-Q57)=1,P57*(1-F57),-O57),P57*(G57-F57))</x:f>
        <x:v>31.58388667447827</x:v>
      </x:c>
      <x:c r="T57" s="78" t="n">
        <x:f>P57*J57</x:f>
        <x:v>0.2429529744190636</x:v>
      </x:c>
      <x:c r="U57" s="78" t="n">
        <x:f>S57-T57</x:f>
        <x:v>31.340933700059203</x:v>
      </x:c>
      <x:c r="V57" s="78" t="n">
        <x:f>N57+U57</x:f>
        <x:v>9911.428560075312</x:v>
      </x:c>
      <x:c r="W57" s="74" t="n">
        <x:f>IFERROR(V57/MAX($V$16:V57)-1,0)</x:f>
        <x:v>-0.012534970080761654</x:v>
      </x:c>
      <x:c r="X57" t="str">
        <x:f>IF(O57&gt;0,"TRADE","NO_TRADE")</x:f>
        <x:v>TRADE</x:v>
      </x:c>
    </x:row>
    <x:row r="58">
      <x:c r="A58" s="66" t="n">
        <x:v>46167.502430555556</x:v>
      </x:c>
      <x:c r="B58" s="66" t="str">
        <x:v>MKT_1000</x:v>
      </x:c>
      <x:c r="C58" s="66" t="n">
        <x:v>46167.50347222222</x:v>
      </x:c>
      <x:c r="D58" t="n">
        <x:v>90</x:v>
      </x:c>
      <x:c r="E58" t="str">
        <x:v>NO</x:v>
      </x:c>
      <x:c r="F58" s="74" t="n">
        <x:v>0.74</x:v>
      </x:c>
      <x:c r="G58" s="74" t="n">
        <x:v>0.74</x:v>
      </x:c>
      <x:c r="H58" s="74" t="n">
        <x:v>0.735</x:v>
      </x:c>
      <x:c r="I58" s="74" t="n">
        <x:f>IF(E58="YES",H58,1-H58)</x:f>
        <x:v>0.265</x:v>
      </x:c>
      <x:c r="J58" s="76" t="n">
        <x:f>Assumptions!$C$12+Assumptions!$C$11*F58</x:f>
        <x:v>0.003</x:v>
      </x:c>
      <x:c r="K58" s="76" t="n">
        <x:f>I58-F58-J58</x:f>
        <x:v>-0.478</x:v>
      </x:c>
      <x:c r="L58" s="74" t="n">
        <x:f>MAX(0,IFERROR(K58/(1-F58),0))</x:f>
        <x:v>0</x:v>
      </x:c>
      <x:c r="M58" s="74" t="n">
        <x:f>MIN(Assumptions!$C$8*L58,Assumptions!$C$5)</x:f>
        <x:v>0</x:v>
      </x:c>
      <x:c r="N58" s="78" t="n">
        <x:f>IF(ROW()=16,Assumptions!$C$4,V57)</x:f>
        <x:v>9911.428560075312</x:v>
      </x:c>
      <x:c r="O58" s="78" t="n">
        <x:f>IF(AND(K58&gt;IF(F58&gt;=Assumptions!$C$21,Assumptions!$C$10,Assumptions!$C$9),D58&gt;Assumptions!$C$23),N58*M58,0)</x:f>
        <x:v>0</x:v>
      </x:c>
      <x:c r="P58" s="78" t="n">
        <x:f>IFERROR(O58/F58,0)</x:f>
        <x:v>0</x:v>
      </x:c>
      <x:c r="Q58" s="78" t="n">
        <x:v>0</x:v>
      </x:c>
      <x:c r="R58" s="78" t="str">
        <x:v>Resolve</x:v>
      </x:c>
      <x:c r="S58" s="78" t="n">
        <x:f>IF(R58="Resolve",IF(IF(E58="YES",Q58,1-Q58)=1,P58*(1-F58),-O58),P58*(G58-F58))</x:f>
        <x:v>0</x:v>
      </x:c>
      <x:c r="T58" s="78" t="n">
        <x:f>P58*J58</x:f>
        <x:v>0</x:v>
      </x:c>
      <x:c r="U58" s="78" t="n">
        <x:f>S58-T58</x:f>
        <x:v>0</x:v>
      </x:c>
      <x:c r="V58" s="78" t="n">
        <x:f>N58+U58</x:f>
        <x:v>9911.428560075312</x:v>
      </x:c>
      <x:c r="W58" s="74" t="n">
        <x:f>IFERROR(V58/MAX($V$16:V58)-1,0)</x:f>
        <x:v>-0.012534970080761654</x:v>
      </x:c>
      <x:c r="X58" t="str">
        <x:f>IF(O58&gt;0,"TRADE","NO_TRADE")</x:f>
        <x:v>NO_TRADE</x:v>
      </x:c>
    </x:row>
    <x:row r="59">
      <x:c r="A59" s="66" t="n">
        <x:v>46167.502488425926</x:v>
      </x:c>
      <x:c r="B59" s="66" t="str">
        <x:v>MKT_1000</x:v>
      </x:c>
      <x:c r="C59" s="66" t="n">
        <x:v>46167.50347222222</x:v>
      </x:c>
      <x:c r="D59" t="n">
        <x:v>85</x:v>
      </x:c>
      <x:c r="E59" t="str">
        <x:v>YES</x:v>
      </x:c>
      <x:c r="F59" s="74" t="n">
        <x:v>0.88</x:v>
      </x:c>
      <x:c r="G59" s="74" t="n">
        <x:v>0.88</x:v>
      </x:c>
      <x:c r="H59" s="74" t="n">
        <x:v>0.91</x:v>
      </x:c>
      <x:c r="I59" s="74" t="n">
        <x:f>IF(E59="YES",H59,1-H59)</x:f>
        <x:v>0.91</x:v>
      </x:c>
      <x:c r="J59" s="76" t="n">
        <x:f>Assumptions!$C$12+Assumptions!$C$11*F59</x:f>
        <x:v>0.003</x:v>
      </x:c>
      <x:c r="K59" s="76" t="n">
        <x:f>I59-F59-J59</x:f>
        <x:v>0.027000000000000027</x:v>
      </x:c>
      <x:c r="L59" s="74" t="n">
        <x:f>MAX(0,IFERROR(K59/(1-F59),0))</x:f>
        <x:v>0.22500000000000023</x:v>
      </x:c>
      <x:c r="M59" s="74" t="n">
        <x:f>MIN(Assumptions!$C$8*L59,Assumptions!$C$5)</x:f>
        <x:v>0.005</x:v>
      </x:c>
      <x:c r="N59" s="78" t="n">
        <x:f>IF(ROW()=16,Assumptions!$C$4,V58)</x:f>
        <x:v>9911.428560075312</x:v>
      </x:c>
      <x:c r="O59" s="78" t="n">
        <x:f>IF(AND(K59&gt;IF(F59&gt;=Assumptions!$C$21,Assumptions!$C$10,Assumptions!$C$9),D59&gt;Assumptions!$C$23),N59*M59,0)</x:f>
        <x:v>49.55714280037656</x:v>
      </x:c>
      <x:c r="P59" s="78" t="n">
        <x:f>IFERROR(O59/F59,0)</x:f>
        <x:v>56.31493500042791</x:v>
      </x:c>
      <x:c r="Q59" s="78" t="n">
        <x:v>1</x:v>
      </x:c>
      <x:c r="R59" s="78" t="str">
        <x:v>Resolve</x:v>
      </x:c>
      <x:c r="S59" s="78" t="n">
        <x:f>IF(R59="Resolve",IF(IF(E59="YES",Q59,1-Q59)=1,P59*(1-F59),-O59),P59*(G59-F59))</x:f>
        <x:v>6.757792200051349</x:v>
      </x:c>
      <x:c r="T59" s="78" t="n">
        <x:f>P59*J59</x:f>
        <x:v>0.16894480500128373</x:v>
      </x:c>
      <x:c r="U59" s="78" t="n">
        <x:f>S59-T59</x:f>
        <x:v>6.588847395050065</x:v>
      </x:c>
      <x:c r="V59" s="78" t="n">
        <x:f>N59+U59</x:f>
        <x:v>9918.017407470363</x:v>
      </x:c>
      <x:c r="W59" s="74" t="n">
        <x:f>IFERROR(V59/MAX($V$16:V59)-1,0)</x:f>
        <x:v>-0.011878530259735731</x:v>
      </x:c>
      <x:c r="X59" t="str">
        <x:f>IF(O59&gt;0,"TRADE","NO_TRADE")</x:f>
        <x:v>TRADE</x:v>
      </x:c>
    </x:row>
    <x:row r="60">
      <x:c r="A60" s="66" t="n">
        <x:v>46167.502546296295</x:v>
      </x:c>
      <x:c r="B60" s="66" t="str">
        <x:v>MKT_1000</x:v>
      </x:c>
      <x:c r="C60" s="66" t="n">
        <x:v>46167.50347222222</x:v>
      </x:c>
      <x:c r="D60" t="n">
        <x:v>80</x:v>
      </x:c>
      <x:c r="E60" t="str">
        <x:v>YES</x:v>
      </x:c>
      <x:c r="F60" s="74" t="n">
        <x:v>0.94</x:v>
      </x:c>
      <x:c r="G60" s="74" t="n">
        <x:v>0.94</x:v>
      </x:c>
      <x:c r="H60" s="74" t="n">
        <x:v>0.98</x:v>
      </x:c>
      <x:c r="I60" s="74" t="n">
        <x:f>IF(E60="YES",H60,1-H60)</x:f>
        <x:v>0.98</x:v>
      </x:c>
      <x:c r="J60" s="76" t="n">
        <x:f>Assumptions!$C$12+Assumptions!$C$11*F60</x:f>
        <x:v>0.003</x:v>
      </x:c>
      <x:c r="K60" s="76" t="n">
        <x:f>I60-F60-J60</x:f>
        <x:v>0.03700000000000003</x:v>
      </x:c>
      <x:c r="L60" s="74" t="n">
        <x:f>MAX(0,IFERROR(K60/(1-F60),0))</x:f>
        <x:v>0.6166666666666667</x:v>
      </x:c>
      <x:c r="M60" s="74" t="n">
        <x:f>MIN(Assumptions!$C$8*L60,Assumptions!$C$5)</x:f>
        <x:v>0.005</x:v>
      </x:c>
      <x:c r="N60" s="78" t="n">
        <x:f>IF(ROW()=16,Assumptions!$C$4,V59)</x:f>
        <x:v>9918.017407470363</x:v>
      </x:c>
      <x:c r="O60" s="78" t="n">
        <x:f>IF(AND(K60&gt;IF(F60&gt;=Assumptions!$C$21,Assumptions!$C$10,Assumptions!$C$9),D60&gt;Assumptions!$C$23),N60*M60,0)</x:f>
        <x:v>49.590087037351815</x:v>
      </x:c>
      <x:c r="P60" s="78" t="n">
        <x:f>IFERROR(O60/F60,0)</x:f>
        <x:v>52.75541174186363</x:v>
      </x:c>
      <x:c r="Q60" s="78" t="n">
        <x:v>1</x:v>
      </x:c>
      <x:c r="R60" s="78" t="str">
        <x:v>Resolve</x:v>
      </x:c>
      <x:c r="S60" s="78" t="n">
        <x:f>IF(R60="Resolve",IF(IF(E60="YES",Q60,1-Q60)=1,P60*(1-F60),-O60),P60*(G60-F60))</x:f>
        <x:v>3.165324704511821</x:v>
      </x:c>
      <x:c r="T60" s="78" t="n">
        <x:f>P60*J60</x:f>
        <x:v>0.1582662352255909</x:v>
      </x:c>
      <x:c r="U60" s="78" t="n">
        <x:f>S60-T60</x:f>
        <x:v>3.00705846928623</x:v>
      </x:c>
      <x:c r="V60" s="78" t="n">
        <x:f>N60+U60</x:f>
        <x:v>9921.024465939649</x:v>
      </x:c>
      <x:c r="W60" s="74" t="n">
        <x:f>IFERROR(V60/MAX($V$16:V60)-1,0)</x:f>
        <x:v>-0.011578940239654889</x:v>
      </x:c>
      <x:c r="X60" t="str">
        <x:f>IF(O60&gt;0,"TRADE","NO_TRADE")</x:f>
        <x:v>TRADE</x:v>
      </x:c>
    </x:row>
    <x:row r="61">
      <x:c r="A61" s="66" t="n">
        <x:v>46167.502604166664</x:v>
      </x:c>
      <x:c r="B61" s="66" t="str">
        <x:v>MKT_1000</x:v>
      </x:c>
      <x:c r="C61" s="66" t="n">
        <x:v>46167.50347222222</x:v>
      </x:c>
      <x:c r="D61" t="n">
        <x:v>75</x:v>
      </x:c>
      <x:c r="E61" t="str">
        <x:v>NO</x:v>
      </x:c>
      <x:c r="F61" s="74" t="n">
        <x:v>0.95</x:v>
      </x:c>
      <x:c r="G61" s="74" t="n">
        <x:v>0.95</x:v>
      </x:c>
      <x:c r="H61" s="74" t="n">
        <x:v>0.968</x:v>
      </x:c>
      <x:c r="I61" s="74" t="n">
        <x:f>IF(E61="YES",H61,1-H61)</x:f>
        <x:v>0.03200000000000003</x:v>
      </x:c>
      <x:c r="J61" s="76" t="n">
        <x:f>Assumptions!$C$12+Assumptions!$C$11*F61</x:f>
        <x:v>0.003</x:v>
      </x:c>
      <x:c r="K61" s="76" t="n">
        <x:f>I61-F61-J61</x:f>
        <x:v>-0.9209999999999999</x:v>
      </x:c>
      <x:c r="L61" s="74" t="n">
        <x:f>MAX(0,IFERROR(K61/(1-F61),0))</x:f>
        <x:v>0</x:v>
      </x:c>
      <x:c r="M61" s="74" t="n">
        <x:f>MIN(Assumptions!$C$8*L61,Assumptions!$C$5)</x:f>
        <x:v>0</x:v>
      </x:c>
      <x:c r="N61" s="78" t="n">
        <x:f>IF(ROW()=16,Assumptions!$C$4,V60)</x:f>
        <x:v>9921.024465939649</x:v>
      </x:c>
      <x:c r="O61" s="78" t="n">
        <x:f>IF(AND(K61&gt;IF(F61&gt;=Assumptions!$C$21,Assumptions!$C$10,Assumptions!$C$9),D61&gt;Assumptions!$C$23),N61*M61,0)</x:f>
        <x:v>0</x:v>
      </x:c>
      <x:c r="P61" s="78" t="n">
        <x:f>IFERROR(O61/F61,0)</x:f>
        <x:v>0</x:v>
      </x:c>
      <x:c r="Q61" s="78" t="n">
        <x:v>0</x:v>
      </x:c>
      <x:c r="R61" s="78" t="str">
        <x:v>Resolve</x:v>
      </x:c>
      <x:c r="S61" s="78" t="n">
        <x:f>IF(R61="Resolve",IF(IF(E61="YES",Q61,1-Q61)=1,P61*(1-F61),-O61),P61*(G61-F61))</x:f>
        <x:v>0</x:v>
      </x:c>
      <x:c r="T61" s="78" t="n">
        <x:f>P61*J61</x:f>
        <x:v>0</x:v>
      </x:c>
      <x:c r="U61" s="78" t="n">
        <x:f>S61-T61</x:f>
        <x:v>0</x:v>
      </x:c>
      <x:c r="V61" s="78" t="n">
        <x:f>N61+U61</x:f>
        <x:v>9921.024465939649</x:v>
      </x:c>
      <x:c r="W61" s="74" t="n">
        <x:f>IFERROR(V61/MAX($V$16:V61)-1,0)</x:f>
        <x:v>-0.011578940239654889</x:v>
      </x:c>
      <x:c r="X61" t="str">
        <x:f>IF(O61&gt;0,"TRADE","NO_TRADE")</x:f>
        <x:v>NO_TRADE</x:v>
      </x:c>
    </x:row>
    <x:row r="62">
      <x:c r="A62" s="66" t="n">
        <x:v>46167.50266203703</x:v>
      </x:c>
      <x:c r="B62" s="66" t="str">
        <x:v>MKT_1000</x:v>
      </x:c>
      <x:c r="C62" s="66" t="n">
        <x:v>46167.50347222222</x:v>
      </x:c>
      <x:c r="D62" t="n">
        <x:v>70</x:v>
      </x:c>
      <x:c r="E62" t="str">
        <x:v>YES</x:v>
      </x:c>
      <x:c r="F62" s="74" t="n">
        <x:v>0.57</x:v>
      </x:c>
      <x:c r="G62" s="74" t="n">
        <x:v>0.57</x:v>
      </x:c>
      <x:c r="H62" s="74" t="n">
        <x:v>0.582</x:v>
      </x:c>
      <x:c r="I62" s="74" t="n">
        <x:f>IF(E62="YES",H62,1-H62)</x:f>
        <x:v>0.582</x:v>
      </x:c>
      <x:c r="J62" s="76" t="n">
        <x:f>Assumptions!$C$12+Assumptions!$C$11*F62</x:f>
        <x:v>0.003</x:v>
      </x:c>
      <x:c r="K62" s="76" t="n">
        <x:f>I62-F62-J62</x:f>
        <x:v>0.009000000000000011</x:v>
      </x:c>
      <x:c r="L62" s="74" t="n">
        <x:f>MAX(0,IFERROR(K62/(1-F62),0))</x:f>
        <x:v>0.02093023255813956</x:v>
      </x:c>
      <x:c r="M62" s="74" t="n">
        <x:f>MIN(Assumptions!$C$8*L62,Assumptions!$C$5)</x:f>
        <x:v>0.005</x:v>
      </x:c>
      <x:c r="N62" s="78" t="n">
        <x:f>IF(ROW()=16,Assumptions!$C$4,V61)</x:f>
        <x:v>9921.024465939649</x:v>
      </x:c>
      <x:c r="O62" s="78" t="n">
        <x:f>IF(AND(K62&gt;IF(F62&gt;=Assumptions!$C$21,Assumptions!$C$10,Assumptions!$C$9),D62&gt;Assumptions!$C$23),N62*M62,0)</x:f>
        <x:v>49.60512232969825</x:v>
      </x:c>
      <x:c r="P62" s="78" t="n">
        <x:f>IFERROR(O62/F62,0)</x:f>
        <x:v>87.02653040297939</x:v>
      </x:c>
      <x:c r="Q62" s="78" t="n">
        <x:v>1</x:v>
      </x:c>
      <x:c r="R62" s="78" t="str">
        <x:v>Resolve</x:v>
      </x:c>
      <x:c r="S62" s="78" t="n">
        <x:f>IF(R62="Resolve",IF(IF(E62="YES",Q62,1-Q62)=1,P62*(1-F62),-O62),P62*(G62-F62))</x:f>
        <x:v>37.42140807328114</x:v>
      </x:c>
      <x:c r="T62" s="78" t="n">
        <x:f>P62*J62</x:f>
        <x:v>0.2610795912089382</x:v>
      </x:c>
      <x:c r="U62" s="78" t="n">
        <x:f>S62-T62</x:f>
        <x:v>37.1603284820722</x:v>
      </x:c>
      <x:c r="V62" s="78" t="n">
        <x:f>N62+U62</x:f>
        <x:v>9958.18479442172</x:v>
      </x:c>
      <x:c r="W62" s="74" t="n">
        <x:f>IFERROR(V62/MAX($V$16:V62)-1,0)</x:f>
        <x:v>-0.007876696445640263</x:v>
      </x:c>
      <x:c r="X62" t="str">
        <x:f>IF(O62&gt;0,"TRADE","NO_TRADE")</x:f>
        <x:v>TRADE</x:v>
      </x:c>
    </x:row>
    <x:row r="63">
      <x:c r="A63" s="66" t="n">
        <x:v>46167.50271990741</x:v>
      </x:c>
      <x:c r="B63" s="66" t="str">
        <x:v>MKT_1000</x:v>
      </x:c>
      <x:c r="C63" s="66" t="n">
        <x:v>46167.50347222222</x:v>
      </x:c>
      <x:c r="D63" t="n">
        <x:v>65</x:v>
      </x:c>
      <x:c r="E63" t="str">
        <x:v>YES</x:v>
      </x:c>
      <x:c r="F63" s="74" t="n">
        <x:v>0.68</x:v>
      </x:c>
      <x:c r="G63" s="74" t="n">
        <x:v>0.68</x:v>
      </x:c>
      <x:c r="H63" s="74" t="n">
        <x:v>0.7050000000000001</x:v>
      </x:c>
      <x:c r="I63" s="74" t="n">
        <x:f>IF(E63="YES",H63,1-H63)</x:f>
        <x:v>0.7050000000000001</x:v>
      </x:c>
      <x:c r="J63" s="76" t="n">
        <x:f>Assumptions!$C$12+Assumptions!$C$11*F63</x:f>
        <x:v>0.003</x:v>
      </x:c>
      <x:c r="K63" s="76" t="n">
        <x:f>I63-F63-J63</x:f>
        <x:v>0.022000000000000023</x:v>
      </x:c>
      <x:c r="L63" s="74" t="n">
        <x:f>MAX(0,IFERROR(K63/(1-F63),0))</x:f>
        <x:v>0.06875000000000009</x:v>
      </x:c>
      <x:c r="M63" s="74" t="n">
        <x:f>MIN(Assumptions!$C$8*L63,Assumptions!$C$5)</x:f>
        <x:v>0.005</x:v>
      </x:c>
      <x:c r="N63" s="78" t="n">
        <x:f>IF(ROW()=16,Assumptions!$C$4,V62)</x:f>
        <x:v>9958.18479442172</x:v>
      </x:c>
      <x:c r="O63" s="78" t="n">
        <x:f>IF(AND(K63&gt;IF(F63&gt;=Assumptions!$C$21,Assumptions!$C$10,Assumptions!$C$9),D63&gt;Assumptions!$C$23),N63*M63,0)</x:f>
        <x:v>49.7909239721086</x:v>
      </x:c>
      <x:c r="P63" s="78" t="n">
        <x:f>IFERROR(O63/F63,0)</x:f>
        <x:v>73.22194701780676</x:v>
      </x:c>
      <x:c r="Q63" s="78" t="n">
        <x:v>1</x:v>
      </x:c>
      <x:c r="R63" s="78" t="str">
        <x:v>Resolve</x:v>
      </x:c>
      <x:c r="S63" s="78" t="n">
        <x:f>IF(R63="Resolve",IF(IF(E63="YES",Q63,1-Q63)=1,P63*(1-F63),-O63),P63*(G63-F63))</x:f>
        <x:v>23.431023045698158</x:v>
      </x:c>
      <x:c r="T63" s="78" t="n">
        <x:f>P63*J63</x:f>
        <x:v>0.21966584105342027</x:v>
      </x:c>
      <x:c r="U63" s="78" t="n">
        <x:f>S63-T63</x:f>
        <x:v>23.211357204644738</x:v>
      </x:c>
      <x:c r="V63" s="78" t="n">
        <x:f>N63+U63</x:f>
        <x:v>9981.396151626366</x:v>
      </x:c>
      <x:c r="W63" s="74" t="n">
        <x:f>IFERROR(V63/MAX($V$16:V63)-1,0)</x:f>
        <x:v>-0.005564173745443601</x:v>
      </x:c>
      <x:c r="X63" t="str">
        <x:f>IF(O63&gt;0,"TRADE","NO_TRADE")</x:f>
        <x:v>TRADE</x:v>
      </x:c>
    </x:row>
    <x:row r="64">
      <x:c r="A64" s="66" t="n">
        <x:v>46167.50277777778</x:v>
      </x:c>
      <x:c r="B64" s="66" t="str">
        <x:v>MKT_1000</x:v>
      </x:c>
      <x:c r="C64" s="66" t="n">
        <x:v>46167.50347222222</x:v>
      </x:c>
      <x:c r="D64" t="n">
        <x:v>60</x:v>
      </x:c>
      <x:c r="E64" t="str">
        <x:v>NO</x:v>
      </x:c>
      <x:c r="F64" s="74" t="n">
        <x:v>0.91</x:v>
      </x:c>
      <x:c r="G64" s="74" t="n">
        <x:v>0.91</x:v>
      </x:c>
      <x:c r="H64" s="74" t="n">
        <x:v>0.9450000000000001</x:v>
      </x:c>
      <x:c r="I64" s="74" t="n">
        <x:f>IF(E64="YES",H64,1-H64)</x:f>
        <x:v>0.05499999999999994</x:v>
      </x:c>
      <x:c r="J64" s="76" t="n">
        <x:f>Assumptions!$C$12+Assumptions!$C$11*F64</x:f>
        <x:v>0.003</x:v>
      </x:c>
      <x:c r="K64" s="76" t="n">
        <x:f>I64-F64-J64</x:f>
        <x:v>-0.8580000000000001</x:v>
      </x:c>
      <x:c r="L64" s="74" t="n">
        <x:f>MAX(0,IFERROR(K64/(1-F64),0))</x:f>
        <x:v>0</x:v>
      </x:c>
      <x:c r="M64" s="74" t="n">
        <x:f>MIN(Assumptions!$C$8*L64,Assumptions!$C$5)</x:f>
        <x:v>0</x:v>
      </x:c>
      <x:c r="N64" s="78" t="n">
        <x:f>IF(ROW()=16,Assumptions!$C$4,V63)</x:f>
        <x:v>9981.396151626366</x:v>
      </x:c>
      <x:c r="O64" s="78" t="n">
        <x:f>IF(AND(K64&gt;IF(F64&gt;=Assumptions!$C$21,Assumptions!$C$10,Assumptions!$C$9),D64&gt;Assumptions!$C$23),N64*M64,0)</x:f>
        <x:v>0</x:v>
      </x:c>
      <x:c r="P64" s="78" t="n">
        <x:f>IFERROR(O64/F64,0)</x:f>
        <x:v>0</x:v>
      </x:c>
      <x:c r="Q64" s="78" t="n">
        <x:v>1</x:v>
      </x:c>
      <x:c r="R64" s="78" t="str">
        <x:v>Resolve</x:v>
      </x:c>
      <x:c r="S64" s="78" t="n">
        <x:f>IF(R64="Resolve",IF(IF(E64="YES",Q64,1-Q64)=1,P64*(1-F64),-O64),P64*(G64-F64))</x:f>
        <x:v>0</x:v>
      </x:c>
      <x:c r="T64" s="78" t="n">
        <x:f>P64*J64</x:f>
        <x:v>0</x:v>
      </x:c>
      <x:c r="U64" s="78" t="n">
        <x:f>S64-T64</x:f>
        <x:v>0</x:v>
      </x:c>
      <x:c r="V64" s="78" t="n">
        <x:f>N64+U64</x:f>
        <x:v>9981.396151626366</x:v>
      </x:c>
      <x:c r="W64" s="74" t="n">
        <x:f>IFERROR(V64/MAX($V$16:V64)-1,0)</x:f>
        <x:v>-0.005564173745443601</x:v>
      </x:c>
      <x:c r="X64" t="str">
        <x:f>IF(O64&gt;0,"TRADE","NO_TRADE")</x:f>
        <x:v>NO_TRADE</x:v>
      </x:c>
    </x:row>
    <x:row r="65">
      <x:c r="A65" s="66" t="n">
        <x:v>46167.50283564815</x:v>
      </x:c>
      <x:c r="B65" s="66" t="str">
        <x:v>MKT_1000</x:v>
      </x:c>
      <x:c r="C65" s="66" t="n">
        <x:v>46167.50347222222</x:v>
      </x:c>
      <x:c r="D65" t="n">
        <x:v>55</x:v>
      </x:c>
      <x:c r="E65" t="str">
        <x:v>YES</x:v>
      </x:c>
      <x:c r="F65" s="74" t="n">
        <x:v>0.83</x:v>
      </x:c>
      <x:c r="G65" s="74" t="n">
        <x:v>0.83</x:v>
      </x:c>
      <x:c r="H65" s="74" t="n">
        <x:v>0.82</x:v>
      </x:c>
      <x:c r="I65" s="74" t="n">
        <x:f>IF(E65="YES",H65,1-H65)</x:f>
        <x:v>0.82</x:v>
      </x:c>
      <x:c r="J65" s="76" t="n">
        <x:f>Assumptions!$C$12+Assumptions!$C$11*F65</x:f>
        <x:v>0.003</x:v>
      </x:c>
      <x:c r="K65" s="76" t="n">
        <x:f>I65-F65-J65</x:f>
        <x:v>-0.013000000000000008</x:v>
      </x:c>
      <x:c r="L65" s="74" t="n">
        <x:f>MAX(0,IFERROR(K65/(1-F65),0))</x:f>
        <x:v>0</x:v>
      </x:c>
      <x:c r="M65" s="74" t="n">
        <x:f>MIN(Assumptions!$C$8*L65,Assumptions!$C$5)</x:f>
        <x:v>0</x:v>
      </x:c>
      <x:c r="N65" s="78" t="n">
        <x:f>IF(ROW()=16,Assumptions!$C$4,V64)</x:f>
        <x:v>9981.396151626366</x:v>
      </x:c>
      <x:c r="O65" s="78" t="n">
        <x:f>IF(AND(K65&gt;IF(F65&gt;=Assumptions!$C$21,Assumptions!$C$10,Assumptions!$C$9),D65&gt;Assumptions!$C$23),N65*M65,0)</x:f>
        <x:v>0</x:v>
      </x:c>
      <x:c r="P65" s="78" t="n">
        <x:f>IFERROR(O65/F65,0)</x:f>
        <x:v>0</x:v>
      </x:c>
      <x:c r="Q65" s="78" t="n">
        <x:v>0</x:v>
      </x:c>
      <x:c r="R65" s="78" t="str">
        <x:v>Resolve</x:v>
      </x:c>
      <x:c r="S65" s="78" t="n">
        <x:f>IF(R65="Resolve",IF(IF(E65="YES",Q65,1-Q65)=1,P65*(1-F65),-O65),P65*(G65-F65))</x:f>
        <x:v>0</x:v>
      </x:c>
      <x:c r="T65" s="78" t="n">
        <x:f>P65*J65</x:f>
        <x:v>0</x:v>
      </x:c>
      <x:c r="U65" s="78" t="n">
        <x:f>S65-T65</x:f>
        <x:v>0</x:v>
      </x:c>
      <x:c r="V65" s="78" t="n">
        <x:f>N65+U65</x:f>
        <x:v>9981.396151626366</x:v>
      </x:c>
      <x:c r="W65" s="74" t="n">
        <x:f>IFERROR(V65/MAX($V$16:V65)-1,0)</x:f>
        <x:v>-0.005564173745443601</x:v>
      </x:c>
      <x:c r="X65" t="str">
        <x:f>IF(O65&gt;0,"TRADE","NO_TRADE")</x:f>
        <x:v>NO_TRADE</x:v>
      </x:c>
    </x:row>
    <x:row r="66">
      <x:c r="A66" s="66" t="n">
        <x:v>46167.50289351852</x:v>
      </x:c>
      <x:c r="B66" s="66" t="str">
        <x:v>MKT_1000</x:v>
      </x:c>
      <x:c r="C66" s="66" t="n">
        <x:v>46167.50347222222</x:v>
      </x:c>
      <x:c r="D66" t="n">
        <x:v>50</x:v>
      </x:c>
      <x:c r="E66" t="str">
        <x:v>YES</x:v>
      </x:c>
      <x:c r="F66" s="74" t="n">
        <x:v>0.52</x:v>
      </x:c>
      <x:c r="G66" s="74" t="n">
        <x:v>0.52</x:v>
      </x:c>
      <x:c r="H66" s="74" t="n">
        <x:v>0.535</x:v>
      </x:c>
      <x:c r="I66" s="74" t="n">
        <x:f>IF(E66="YES",H66,1-H66)</x:f>
        <x:v>0.535</x:v>
      </x:c>
      <x:c r="J66" s="76" t="n">
        <x:f>Assumptions!$C$12+Assumptions!$C$11*F66</x:f>
        <x:v>0.003</x:v>
      </x:c>
      <x:c r="K66" s="76" t="n">
        <x:f>I66-F66-J66</x:f>
        <x:v>0.012000000000000014</x:v>
      </x:c>
      <x:c r="L66" s="74" t="n">
        <x:f>MAX(0,IFERROR(K66/(1-F66),0))</x:f>
        <x:v>0.02500000000000003</x:v>
      </x:c>
      <x:c r="M66" s="74" t="n">
        <x:f>MIN(Assumptions!$C$8*L66,Assumptions!$C$5)</x:f>
        <x:v>0.005</x:v>
      </x:c>
      <x:c r="N66" s="78" t="n">
        <x:f>IF(ROW()=16,Assumptions!$C$4,V65)</x:f>
        <x:v>9981.396151626366</x:v>
      </x:c>
      <x:c r="O66" s="78" t="n">
        <x:f>IF(AND(K66&gt;IF(F66&gt;=Assumptions!$C$21,Assumptions!$C$10,Assumptions!$C$9),D66&gt;Assumptions!$C$23),N66*M66,0)</x:f>
        <x:v>49.90698075813183</x:v>
      </x:c>
      <x:c r="P66" s="78" t="n">
        <x:f>IFERROR(O66/F66,0)</x:f>
        <x:v>95.97496299640736</x:v>
      </x:c>
      <x:c r="Q66" s="78" t="n">
        <x:v>1</x:v>
      </x:c>
      <x:c r="R66" s="78" t="str">
        <x:v>Resolve</x:v>
      </x:c>
      <x:c r="S66" s="78" t="n">
        <x:f>IF(R66="Resolve",IF(IF(E66="YES",Q66,1-Q66)=1,P66*(1-F66),-O66),P66*(G66-F66))</x:f>
        <x:v>46.067982238275526</x:v>
      </x:c>
      <x:c r="T66" s="78" t="n">
        <x:f>P66*J66</x:f>
        <x:v>0.2879248889892221</x:v>
      </x:c>
      <x:c r="U66" s="78" t="n">
        <x:f>S66-T66</x:f>
        <x:v>45.7800573492863</x:v>
      </x:c>
      <x:c r="V66" s="78" t="n">
        <x:f>N66+U66</x:f>
        <x:v>10027.176208975652</x:v>
      </x:c>
      <x:c r="W66" s="74" t="n">
        <x:f>IFERROR(V66/MAX($V$16:V66)-1,0)</x:f>
        <x:v>-0.001003155580795445</x:v>
      </x:c>
      <x:c r="X66" t="str">
        <x:f>IF(O66&gt;0,"TRADE","NO_TRADE")</x:f>
        <x:v>TRADE</x:v>
      </x:c>
    </x:row>
    <x:row r="67">
      <x:c r="A67" s="66" t="n">
        <x:v>46167.50295138889</x:v>
      </x:c>
      <x:c r="B67" s="66" t="str">
        <x:v>MKT_1000</x:v>
      </x:c>
      <x:c r="C67" s="66" t="n">
        <x:v>46167.50347222222</x:v>
      </x:c>
      <x:c r="D67" t="n">
        <x:v>45</x:v>
      </x:c>
      <x:c r="E67" t="str">
        <x:v>NO</x:v>
      </x:c>
      <x:c r="F67" s="74" t="n">
        <x:v>0.61</x:v>
      </x:c>
      <x:c r="G67" s="74" t="n">
        <x:v>0.61</x:v>
      </x:c>
      <x:c r="H67" s="74" t="n">
        <x:v>0.63</x:v>
      </x:c>
      <x:c r="I67" s="74" t="n">
        <x:f>IF(E67="YES",H67,1-H67)</x:f>
        <x:v>0.37</x:v>
      </x:c>
      <x:c r="J67" s="76" t="n">
        <x:f>Assumptions!$C$12+Assumptions!$C$11*F67</x:f>
        <x:v>0.003</x:v>
      </x:c>
      <x:c r="K67" s="76" t="n">
        <x:f>I67-F67-J67</x:f>
        <x:v>-0.243</x:v>
      </x:c>
      <x:c r="L67" s="74" t="n">
        <x:f>MAX(0,IFERROR(K67/(1-F67),0))</x:f>
        <x:v>0</x:v>
      </x:c>
      <x:c r="M67" s="74" t="n">
        <x:f>MIN(Assumptions!$C$8*L67,Assumptions!$C$5)</x:f>
        <x:v>0</x:v>
      </x:c>
      <x:c r="N67" s="78" t="n">
        <x:f>IF(ROW()=16,Assumptions!$C$4,V66)</x:f>
        <x:v>10027.176208975652</x:v>
      </x:c>
      <x:c r="O67" s="78" t="n">
        <x:f>IF(AND(K67&gt;IF(F67&gt;=Assumptions!$C$21,Assumptions!$C$10,Assumptions!$C$9),D67&gt;Assumptions!$C$23),N67*M67,0)</x:f>
        <x:v>0</x:v>
      </x:c>
      <x:c r="P67" s="78" t="n">
        <x:f>IFERROR(O67/F67,0)</x:f>
        <x:v>0</x:v>
      </x:c>
      <x:c r="Q67" s="78" t="n">
        <x:v>1</x:v>
      </x:c>
      <x:c r="R67" s="78" t="str">
        <x:v>Resolve</x:v>
      </x:c>
      <x:c r="S67" s="78" t="n">
        <x:f>IF(R67="Resolve",IF(IF(E67="YES",Q67,1-Q67)=1,P67*(1-F67),-O67),P67*(G67-F67))</x:f>
        <x:v>0</x:v>
      </x:c>
      <x:c r="T67" s="78" t="n">
        <x:f>P67*J67</x:f>
        <x:v>0</x:v>
      </x:c>
      <x:c r="U67" s="78" t="n">
        <x:f>S67-T67</x:f>
        <x:v>0</x:v>
      </x:c>
      <x:c r="V67" s="78" t="n">
        <x:f>N67+U67</x:f>
        <x:v>10027.176208975652</x:v>
      </x:c>
      <x:c r="W67" s="74" t="n">
        <x:f>IFERROR(V67/MAX($V$16:V67)-1,0)</x:f>
        <x:v>-0.001003155580795445</x:v>
      </x:c>
      <x:c r="X67" t="str">
        <x:f>IF(O67&gt;0,"TRADE","NO_TRADE")</x:f>
        <x:v>NO_TRADE</x:v>
      </x:c>
    </x:row>
    <x:row r="68">
      <x:c r="A68" s="66" t="n">
        <x:v>46167.50300925926</x:v>
      </x:c>
      <x:c r="B68" s="66" t="str">
        <x:v>MKT_1000</x:v>
      </x:c>
      <x:c r="C68" s="66" t="n">
        <x:v>46167.50347222222</x:v>
      </x:c>
      <x:c r="D68" t="n">
        <x:v>40</x:v>
      </x:c>
      <x:c r="E68" t="str">
        <x:v>YES</x:v>
      </x:c>
      <x:c r="F68" s="74" t="n">
        <x:v>0.74</x:v>
      </x:c>
      <x:c r="G68" s="74" t="n">
        <x:v>0.74</x:v>
      </x:c>
      <x:c r="H68" s="74" t="n">
        <x:v>0.735</x:v>
      </x:c>
      <x:c r="I68" s="74" t="n">
        <x:f>IF(E68="YES",H68,1-H68)</x:f>
        <x:v>0.735</x:v>
      </x:c>
      <x:c r="J68" s="76" t="n">
        <x:f>Assumptions!$C$12+Assumptions!$C$11*F68</x:f>
        <x:v>0.003</x:v>
      </x:c>
      <x:c r="K68" s="76" t="n">
        <x:f>I68-F68-J68</x:f>
        <x:v>-0.008000000000000004</x:v>
      </x:c>
      <x:c r="L68" s="74" t="n">
        <x:f>MAX(0,IFERROR(K68/(1-F68),0))</x:f>
        <x:v>0</x:v>
      </x:c>
      <x:c r="M68" s="74" t="n">
        <x:f>MIN(Assumptions!$C$8*L68,Assumptions!$C$5)</x:f>
        <x:v>0</x:v>
      </x:c>
      <x:c r="N68" s="78" t="n">
        <x:f>IF(ROW()=16,Assumptions!$C$4,V67)</x:f>
        <x:v>10027.176208975652</x:v>
      </x:c>
      <x:c r="O68" s="78" t="n">
        <x:f>IF(AND(K68&gt;IF(F68&gt;=Assumptions!$C$21,Assumptions!$C$10,Assumptions!$C$9),D68&gt;Assumptions!$C$23),N68*M68,0)</x:f>
        <x:v>0</x:v>
      </x:c>
      <x:c r="P68" s="78" t="n">
        <x:f>IFERROR(O68/F68,0)</x:f>
        <x:v>0</x:v>
      </x:c>
      <x:c r="Q68" s="78" t="n">
        <x:v>0</x:v>
      </x:c>
      <x:c r="R68" s="78" t="str">
        <x:v>Resolve</x:v>
      </x:c>
      <x:c r="S68" s="78" t="n">
        <x:f>IF(R68="Resolve",IF(IF(E68="YES",Q68,1-Q68)=1,P68*(1-F68),-O68),P68*(G68-F68))</x:f>
        <x:v>0</x:v>
      </x:c>
      <x:c r="T68" s="78" t="n">
        <x:f>P68*J68</x:f>
        <x:v>0</x:v>
      </x:c>
      <x:c r="U68" s="78" t="n">
        <x:f>S68-T68</x:f>
        <x:v>0</x:v>
      </x:c>
      <x:c r="V68" s="78" t="n">
        <x:f>N68+U68</x:f>
        <x:v>10027.176208975652</x:v>
      </x:c>
      <x:c r="W68" s="74" t="n">
        <x:f>IFERROR(V68/MAX($V$16:V68)-1,0)</x:f>
        <x:v>-0.001003155580795445</x:v>
      </x:c>
      <x:c r="X68" t="str">
        <x:f>IF(O68&gt;0,"TRADE","NO_TRADE")</x:f>
        <x:v>NO_TRADE</x:v>
      </x:c>
    </x:row>
    <x:row r="69">
      <x:c r="A69" s="66" t="n">
        <x:v>46167.503067129626</x:v>
      </x:c>
      <x:c r="B69" s="66" t="str">
        <x:v>MKT_1000</x:v>
      </x:c>
      <x:c r="C69" s="66" t="n">
        <x:v>46167.50347222222</x:v>
      </x:c>
      <x:c r="D69" t="n">
        <x:v>35</x:v>
      </x:c>
      <x:c r="E69" t="str">
        <x:v>YES</x:v>
      </x:c>
      <x:c r="F69" s="74" t="n">
        <x:v>0.88</x:v>
      </x:c>
      <x:c r="G69" s="74" t="n">
        <x:v>0.88</x:v>
      </x:c>
      <x:c r="H69" s="74" t="n">
        <x:v>0.91</x:v>
      </x:c>
      <x:c r="I69" s="74" t="n">
        <x:f>IF(E69="YES",H69,1-H69)</x:f>
        <x:v>0.91</x:v>
      </x:c>
      <x:c r="J69" s="76" t="n">
        <x:f>Assumptions!$C$12+Assumptions!$C$11*F69</x:f>
        <x:v>0.003</x:v>
      </x:c>
      <x:c r="K69" s="76" t="n">
        <x:f>I69-F69-J69</x:f>
        <x:v>0.027000000000000027</x:v>
      </x:c>
      <x:c r="L69" s="74" t="n">
        <x:f>MAX(0,IFERROR(K69/(1-F69),0))</x:f>
        <x:v>0.22500000000000023</x:v>
      </x:c>
      <x:c r="M69" s="74" t="n">
        <x:f>MIN(Assumptions!$C$8*L69,Assumptions!$C$5)</x:f>
        <x:v>0.005</x:v>
      </x:c>
      <x:c r="N69" s="78" t="n">
        <x:f>IF(ROW()=16,Assumptions!$C$4,V68)</x:f>
        <x:v>10027.176208975652</x:v>
      </x:c>
      <x:c r="O69" s="78" t="n">
        <x:f>IF(AND(K69&gt;IF(F69&gt;=Assumptions!$C$21,Assumptions!$C$10,Assumptions!$C$9),D69&gt;Assumptions!$C$23),N69*M69,0)</x:f>
        <x:v>50.13588104487826</x:v>
      </x:c>
      <x:c r="P69" s="78" t="n">
        <x:f>IFERROR(O69/F69,0)</x:f>
        <x:v>56.972592096452566</x:v>
      </x:c>
      <x:c r="Q69" s="78" t="n">
        <x:v>1</x:v>
      </x:c>
      <x:c r="R69" s="78" t="str">
        <x:v>Resolve</x:v>
      </x:c>
      <x:c r="S69" s="78" t="n">
        <x:f>IF(R69="Resolve",IF(IF(E69="YES",Q69,1-Q69)=1,P69*(1-F69),-O69),P69*(G69-F69))</x:f>
        <x:v>6.836711051574308</x:v>
      </x:c>
      <x:c r="T69" s="78" t="n">
        <x:f>P69*J69</x:f>
        <x:v>0.1709177762893577</x:v>
      </x:c>
      <x:c r="U69" s="78" t="n">
        <x:f>S69-T69</x:f>
        <x:v>6.66579327528495</x:v>
      </x:c>
      <x:c r="V69" s="78" t="n">
        <x:f>N69+U69</x:f>
        <x:v>10033.842002250936</x:v>
      </x:c>
      <x:c r="W69" s="74" t="n">
        <x:f>IFERROR(V69/MAX($V$16:V69)-1,0)</x:f>
        <x:v>-0.00033904972399401156</x:v>
      </x:c>
      <x:c r="X69" t="str">
        <x:f>IF(O69&gt;0,"TRADE","NO_TRADE")</x:f>
        <x:v>TRADE</x:v>
      </x:c>
    </x:row>
    <x:row r="70">
      <x:c r="A70" s="66" t="n">
        <x:v>46167.503125</x:v>
      </x:c>
      <x:c r="B70" s="66" t="str">
        <x:v>MKT_1000</x:v>
      </x:c>
      <x:c r="C70" s="66" t="n">
        <x:v>46167.50347222222</x:v>
      </x:c>
      <x:c r="D70" t="n">
        <x:v>30</x:v>
      </x:c>
      <x:c r="E70" t="str">
        <x:v>NO</x:v>
      </x:c>
      <x:c r="F70" s="74" t="n">
        <x:v>0.94</x:v>
      </x:c>
      <x:c r="G70" s="74" t="n">
        <x:v>0.94</x:v>
      </x:c>
      <x:c r="H70" s="74" t="n">
        <x:v>0.98</x:v>
      </x:c>
      <x:c r="I70" s="74" t="n">
        <x:f>IF(E70="YES",H70,1-H70)</x:f>
        <x:v>0.020000000000000018</x:v>
      </x:c>
      <x:c r="J70" s="76" t="n">
        <x:f>Assumptions!$C$12+Assumptions!$C$11*F70</x:f>
        <x:v>0.003</x:v>
      </x:c>
      <x:c r="K70" s="76" t="n">
        <x:f>I70-F70-J70</x:f>
        <x:v>-0.9229999999999999</x:v>
      </x:c>
      <x:c r="L70" s="74" t="n">
        <x:f>MAX(0,IFERROR(K70/(1-F70),0))</x:f>
        <x:v>0</x:v>
      </x:c>
      <x:c r="M70" s="74" t="n">
        <x:f>MIN(Assumptions!$C$8*L70,Assumptions!$C$5)</x:f>
        <x:v>0</x:v>
      </x:c>
      <x:c r="N70" s="78" t="n">
        <x:f>IF(ROW()=16,Assumptions!$C$4,V69)</x:f>
        <x:v>10033.842002250936</x:v>
      </x:c>
      <x:c r="O70" s="78" t="n">
        <x:f>IF(AND(K70&gt;IF(F70&gt;=Assumptions!$C$21,Assumptions!$C$10,Assumptions!$C$9),D70&gt;Assumptions!$C$23),N70*M70,0)</x:f>
        <x:v>0</x:v>
      </x:c>
      <x:c r="P70" s="78" t="n">
        <x:f>IFERROR(O70/F70,0)</x:f>
        <x:v>0</x:v>
      </x:c>
      <x:c r="Q70" s="78" t="n">
        <x:v>1</x:v>
      </x:c>
      <x:c r="R70" s="78" t="str">
        <x:v>Resolve</x:v>
      </x:c>
      <x:c r="S70" s="78" t="n">
        <x:f>IF(R70="Resolve",IF(IF(E70="YES",Q70,1-Q70)=1,P70*(1-F70),-O70),P70*(G70-F70))</x:f>
        <x:v>0</x:v>
      </x:c>
      <x:c r="T70" s="78" t="n">
        <x:f>P70*J70</x:f>
        <x:v>0</x:v>
      </x:c>
      <x:c r="U70" s="78" t="n">
        <x:f>S70-T70</x:f>
        <x:v>0</x:v>
      </x:c>
      <x:c r="V70" s="78" t="n">
        <x:f>N70+U70</x:f>
        <x:v>10033.842002250936</x:v>
      </x:c>
      <x:c r="W70" s="74" t="n">
        <x:f>IFERROR(V70/MAX($V$16:V70)-1,0)</x:f>
        <x:v>-0.00033904972399401156</x:v>
      </x:c>
      <x:c r="X70" t="str">
        <x:f>IF(O70&gt;0,"TRADE","NO_TRADE")</x:f>
        <x:v>NO_TRADE</x:v>
      </x:c>
    </x:row>
    <x:row r="71">
      <x:c r="A71" s="66" t="n">
        <x:v>46167.50318287037</x:v>
      </x:c>
      <x:c r="B71" s="66" t="str">
        <x:v>MKT_1000</x:v>
      </x:c>
      <x:c r="C71" s="66" t="n">
        <x:v>46167.50347222222</x:v>
      </x:c>
      <x:c r="D71" t="n">
        <x:v>25</x:v>
      </x:c>
      <x:c r="E71" t="str">
        <x:v>YES</x:v>
      </x:c>
      <x:c r="F71" s="74" t="n">
        <x:v>0.95</x:v>
      </x:c>
      <x:c r="G71" s="74" t="n">
        <x:v>0.95</x:v>
      </x:c>
      <x:c r="H71" s="74" t="n">
        <x:v>0.968</x:v>
      </x:c>
      <x:c r="I71" s="74" t="n">
        <x:f>IF(E71="YES",H71,1-H71)</x:f>
        <x:v>0.968</x:v>
      </x:c>
      <x:c r="J71" s="76" t="n">
        <x:f>Assumptions!$C$12+Assumptions!$C$11*F71</x:f>
        <x:v>0.003</x:v>
      </x:c>
      <x:c r="K71" s="76" t="n">
        <x:f>I71-F71-J71</x:f>
        <x:v>0.015000000000000017</x:v>
      </x:c>
      <x:c r="L71" s="74" t="n">
        <x:f>MAX(0,IFERROR(K71/(1-F71),0))</x:f>
        <x:v>0.30000000000000004</x:v>
      </x:c>
      <x:c r="M71" s="74" t="n">
        <x:f>MIN(Assumptions!$C$8*L71,Assumptions!$C$5)</x:f>
        <x:v>0.005</x:v>
      </x:c>
      <x:c r="N71" s="78" t="n">
        <x:f>IF(ROW()=16,Assumptions!$C$4,V70)</x:f>
        <x:v>10033.842002250936</x:v>
      </x:c>
      <x:c r="O71" s="78" t="n">
        <x:f>IF(AND(K71&gt;IF(F71&gt;=Assumptions!$C$21,Assumptions!$C$10,Assumptions!$C$9),D71&gt;Assumptions!$C$23),N71*M71,0)</x:f>
        <x:v>50.169210011254684</x:v>
      </x:c>
      <x:c r="P71" s="78" t="n">
        <x:f>IFERROR(O71/F71,0)</x:f>
        <x:v>52.80969474868915</x:v>
      </x:c>
      <x:c r="Q71" s="78" t="n">
        <x:v>1</x:v>
      </x:c>
      <x:c r="R71" s="78" t="str">
        <x:v>Resolve</x:v>
      </x:c>
      <x:c r="S71" s="78" t="n">
        <x:f>IF(R71="Resolve",IF(IF(E71="YES",Q71,1-Q71)=1,P71*(1-F71),-O71),P71*(G71-F71))</x:f>
        <x:v>2.6404847374344596</x:v>
      </x:c>
      <x:c r="T71" s="78" t="n">
        <x:f>P71*J71</x:f>
        <x:v>0.15842908424606744</x:v>
      </x:c>
      <x:c r="U71" s="78" t="n">
        <x:f>S71-T71</x:f>
        <x:v>2.482055653188392</x:v>
      </x:c>
      <x:c r="V71" s="78" t="n">
        <x:f>N71+U71</x:f>
        <x:v>10036.324057904125</x:v>
      </x:c>
      <x:c r="W71" s="74" t="n">
        <x:f>IFERROR(V71/MAX($V$16:V71)-1,0)</x:f>
        <x:v>-0.00009176517313624899</x:v>
      </x:c>
      <x:c r="X71" t="str">
        <x:f>IF(O71&gt;0,"TRADE","NO_TRADE")</x:f>
        <x:v>TRADE</x:v>
      </x:c>
    </x:row>
    <x:row r="72">
      <x:c r="A72" s="66" t="n">
        <x:v>46167.50324074074</x:v>
      </x:c>
      <x:c r="B72" s="66" t="str">
        <x:v>MKT_1000</x:v>
      </x:c>
      <x:c r="C72" s="66" t="n">
        <x:v>46167.50347222222</x:v>
      </x:c>
      <x:c r="D72" t="n">
        <x:v>20</x:v>
      </x:c>
      <x:c r="E72" t="str">
        <x:v>YES</x:v>
      </x:c>
      <x:c r="F72" s="74" t="n">
        <x:v>0.57</x:v>
      </x:c>
      <x:c r="G72" s="74" t="n">
        <x:v>0.57</x:v>
      </x:c>
      <x:c r="H72" s="74" t="n">
        <x:v>0.582</x:v>
      </x:c>
      <x:c r="I72" s="74" t="n">
        <x:f>IF(E72="YES",H72,1-H72)</x:f>
        <x:v>0.582</x:v>
      </x:c>
      <x:c r="J72" s="76" t="n">
        <x:f>Assumptions!$C$12+Assumptions!$C$11*F72</x:f>
        <x:v>0.003</x:v>
      </x:c>
      <x:c r="K72" s="76" t="n">
        <x:f>I72-F72-J72</x:f>
        <x:v>0.009000000000000011</x:v>
      </x:c>
      <x:c r="L72" s="74" t="n">
        <x:f>MAX(0,IFERROR(K72/(1-F72),0))</x:f>
        <x:v>0.02093023255813956</x:v>
      </x:c>
      <x:c r="M72" s="74" t="n">
        <x:f>MIN(Assumptions!$C$8*L72,Assumptions!$C$5)</x:f>
        <x:v>0.005</x:v>
      </x:c>
      <x:c r="N72" s="78" t="n">
        <x:f>IF(ROW()=16,Assumptions!$C$4,V71)</x:f>
        <x:v>10036.324057904125</x:v>
      </x:c>
      <x:c r="O72" s="78" t="n">
        <x:f>IF(AND(K72&gt;IF(F72&gt;=Assumptions!$C$21,Assumptions!$C$10,Assumptions!$C$9),D72&gt;Assumptions!$C$23),N72*M72,0)</x:f>
        <x:v>50.18162028952062</x:v>
      </x:c>
      <x:c r="P72" s="78" t="n">
        <x:f>IFERROR(O72/F72,0)</x:f>
        <x:v>88.03793033249232</x:v>
      </x:c>
      <x:c r="Q72" s="78" t="n">
        <x:v>0</x:v>
      </x:c>
      <x:c r="R72" s="78" t="str">
        <x:v>Resolve</x:v>
      </x:c>
      <x:c r="S72" s="78" t="n">
        <x:f>IF(R72="Resolve",IF(IF(E72="YES",Q72,1-Q72)=1,P72*(1-F72),-O72),P72*(G72-F72))</x:f>
        <x:v>-50.18162028952062</x:v>
      </x:c>
      <x:c r="T72" s="78" t="n">
        <x:f>P72*J72</x:f>
        <x:v>0.26411379099747695</x:v>
      </x:c>
      <x:c r="U72" s="78" t="n">
        <x:f>S72-T72</x:f>
        <x:v>-50.4457340805181</x:v>
      </x:c>
      <x:c r="V72" s="78" t="n">
        <x:f>N72+U72</x:f>
        <x:v>9985.878323823606</x:v>
      </x:c>
      <x:c r="W72" s="74" t="n">
        <x:f>IFERROR(V72/MAX($V$16:V72)-1,0)</x:f>
        <x:v>-0.005117619721871303</x:v>
      </x:c>
      <x:c r="X72" t="str">
        <x:f>IF(O72&gt;0,"TRADE","NO_TRADE")</x:f>
        <x:v>TRADE</x:v>
      </x:c>
    </x:row>
    <x:row r="73">
      <x:c r="A73" s="66" t="n">
        <x:v>46167.50329861111</x:v>
      </x:c>
      <x:c r="B73" s="66" t="str">
        <x:v>MKT_1000</x:v>
      </x:c>
      <x:c r="C73" s="66" t="n">
        <x:v>46167.50347222222</x:v>
      </x:c>
      <x:c r="D73" t="n">
        <x:v>15</x:v>
      </x:c>
      <x:c r="E73" t="str">
        <x:v>NO</x:v>
      </x:c>
      <x:c r="F73" s="74" t="n">
        <x:v>0.68</x:v>
      </x:c>
      <x:c r="G73" s="74" t="n">
        <x:v>0.68</x:v>
      </x:c>
      <x:c r="H73" s="74" t="n">
        <x:v>0.7050000000000001</x:v>
      </x:c>
      <x:c r="I73" s="74" t="n">
        <x:f>IF(E73="YES",H73,1-H73)</x:f>
        <x:v>0.29499999999999993</x:v>
      </x:c>
      <x:c r="J73" s="76" t="n">
        <x:f>Assumptions!$C$12+Assumptions!$C$11*F73</x:f>
        <x:v>0.003</x:v>
      </x:c>
      <x:c r="K73" s="76" t="n">
        <x:f>I73-F73-J73</x:f>
        <x:v>-0.3880000000000001</x:v>
      </x:c>
      <x:c r="L73" s="74" t="n">
        <x:f>MAX(0,IFERROR(K73/(1-F73),0))</x:f>
        <x:v>0</x:v>
      </x:c>
      <x:c r="M73" s="74" t="n">
        <x:f>MIN(Assumptions!$C$8*L73,Assumptions!$C$5)</x:f>
        <x:v>0</x:v>
      </x:c>
      <x:c r="N73" s="78" t="n">
        <x:f>IF(ROW()=16,Assumptions!$C$4,V72)</x:f>
        <x:v>9985.878323823606</x:v>
      </x:c>
      <x:c r="O73" s="78" t="n">
        <x:f>IF(AND(K73&gt;IF(F73&gt;=Assumptions!$C$21,Assumptions!$C$10,Assumptions!$C$9),D73&gt;Assumptions!$C$23),N73*M73,0)</x:f>
        <x:v>0</x:v>
      </x:c>
      <x:c r="P73" s="78" t="n">
        <x:f>IFERROR(O73/F73,0)</x:f>
        <x:v>0</x:v>
      </x:c>
      <x:c r="Q73" s="78" t="n">
        <x:v>1</x:v>
      </x:c>
      <x:c r="R73" s="78" t="str">
        <x:v>Resolve</x:v>
      </x:c>
      <x:c r="S73" s="78" t="n">
        <x:f>IF(R73="Resolve",IF(IF(E73="YES",Q73,1-Q73)=1,P73*(1-F73),-O73),P73*(G73-F73))</x:f>
        <x:v>0</x:v>
      </x:c>
      <x:c r="T73" s="78" t="n">
        <x:f>P73*J73</x:f>
        <x:v>0</x:v>
      </x:c>
      <x:c r="U73" s="78" t="n">
        <x:f>S73-T73</x:f>
        <x:v>0</x:v>
      </x:c>
      <x:c r="V73" s="78" t="n">
        <x:f>N73+U73</x:f>
        <x:v>9985.878323823606</x:v>
      </x:c>
      <x:c r="W73" s="74" t="n">
        <x:f>IFERROR(V73/MAX($V$16:V73)-1,0)</x:f>
        <x:v>-0.005117619721871303</x:v>
      </x:c>
      <x:c r="X73" t="str">
        <x:f>IF(O73&gt;0,"TRADE","NO_TRADE")</x:f>
        <x:v>NO_TRADE</x:v>
      </x:c>
    </x:row>
    <x:row r="74">
      <x:c r="A74" s="66" t="n">
        <x:v>46167.50335648148</x:v>
      </x:c>
      <x:c r="B74" s="66" t="str">
        <x:v>MKT_1000</x:v>
      </x:c>
      <x:c r="C74" s="66" t="n">
        <x:v>46167.50347222222</x:v>
      </x:c>
      <x:c r="D74" t="n">
        <x:v>10</x:v>
      </x:c>
      <x:c r="E74" t="str">
        <x:v>YES</x:v>
      </x:c>
      <x:c r="F74" s="74" t="n">
        <x:v>0.91</x:v>
      </x:c>
      <x:c r="G74" s="74" t="n">
        <x:v>0.91</x:v>
      </x:c>
      <x:c r="H74" s="74" t="n">
        <x:v>0.9450000000000001</x:v>
      </x:c>
      <x:c r="I74" s="74" t="n">
        <x:f>IF(E74="YES",H74,1-H74)</x:f>
        <x:v>0.9450000000000001</x:v>
      </x:c>
      <x:c r="J74" s="76" t="n">
        <x:f>Assumptions!$C$12+Assumptions!$C$11*F74</x:f>
        <x:v>0.003</x:v>
      </x:c>
      <x:c r="K74" s="76" t="n">
        <x:f>I74-F74-J74</x:f>
        <x:v>0.03200000000000003</x:v>
      </x:c>
      <x:c r="L74" s="74" t="n">
        <x:f>MAX(0,IFERROR(K74/(1-F74),0))</x:f>
        <x:v>0.355555555555556</x:v>
      </x:c>
      <x:c r="M74" s="74" t="n">
        <x:f>MIN(Assumptions!$C$8*L74,Assumptions!$C$5)</x:f>
        <x:v>0.005</x:v>
      </x:c>
      <x:c r="N74" s="78" t="n">
        <x:f>IF(ROW()=16,Assumptions!$C$4,V73)</x:f>
        <x:v>9985.878323823606</x:v>
      </x:c>
      <x:c r="O74" s="78" t="n">
        <x:f>IF(AND(K74&gt;IF(F74&gt;=Assumptions!$C$21,Assumptions!$C$10,Assumptions!$C$9),D74&gt;Assumptions!$C$23),N74*M74,0)</x:f>
        <x:v>49.929391619118036</x:v>
      </x:c>
      <x:c r="P74" s="78" t="n">
        <x:f>IFERROR(O74/F74,0)</x:f>
        <x:v>54.86746331771212</x:v>
      </x:c>
      <x:c r="Q74" s="78" t="n">
        <x:v>1</x:v>
      </x:c>
      <x:c r="R74" s="78" t="str">
        <x:v>Resolve</x:v>
      </x:c>
      <x:c r="S74" s="78" t="n">
        <x:f>IF(R74="Resolve",IF(IF(E74="YES",Q74,1-Q74)=1,P74*(1-F74),-O74),P74*(G74-F74))</x:f>
        <x:v>4.938071698594089</x:v>
      </x:c>
      <x:c r="T74" s="78" t="n">
        <x:f>P74*J74</x:f>
        <x:v>0.16460238995313636</x:v>
      </x:c>
      <x:c r="U74" s="78" t="n">
        <x:f>S74-T74</x:f>
        <x:v>4.773469308640953</x:v>
      </x:c>
      <x:c r="V74" s="78" t="n">
        <x:f>N74+U74</x:f>
        <x:v>9990.651793132247</x:v>
      </x:c>
      <x:c r="W74" s="74" t="n">
        <x:f>IFERROR(V74/MAX($V$16:V74)-1,0)</x:f>
        <x:v>-0.0046420440785516215</x:v>
      </x:c>
      <x:c r="X74" t="str">
        <x:f>IF(O74&gt;0,"TRADE","NO_TRADE")</x:f>
        <x:v>TRADE</x:v>
      </x:c>
    </x:row>
    <x:row r="75">
      <x:c r="A75" s="66" t="n">
        <x:v>46167.50341435185</x:v>
      </x:c>
      <x:c r="B75" s="66" t="str">
        <x:v>MKT_1000</x:v>
      </x:c>
      <x:c r="C75" s="66" t="n">
        <x:v>46167.50347222222</x:v>
      </x:c>
      <x:c r="D75" t="n">
        <x:v>5</x:v>
      </x:c>
      <x:c r="E75" t="str">
        <x:v>YES</x:v>
      </x:c>
      <x:c r="F75" s="74" t="n">
        <x:v>0.83</x:v>
      </x:c>
      <x:c r="G75" s="74" t="n">
        <x:v>0.83</x:v>
      </x:c>
      <x:c r="H75" s="74" t="n">
        <x:v>0.82</x:v>
      </x:c>
      <x:c r="I75" s="74" t="n">
        <x:f>IF(E75="YES",H75,1-H75)</x:f>
        <x:v>0.82</x:v>
      </x:c>
      <x:c r="J75" s="76" t="n">
        <x:f>Assumptions!$C$12+Assumptions!$C$11*F75</x:f>
        <x:v>0.003</x:v>
      </x:c>
      <x:c r="K75" s="76" t="n">
        <x:f>I75-F75-J75</x:f>
        <x:v>-0.013000000000000008</x:v>
      </x:c>
      <x:c r="L75" s="74" t="n">
        <x:f>MAX(0,IFERROR(K75/(1-F75),0))</x:f>
        <x:v>0</x:v>
      </x:c>
      <x:c r="M75" s="74" t="n">
        <x:f>MIN(Assumptions!$C$8*L75,Assumptions!$C$5)</x:f>
        <x:v>0</x:v>
      </x:c>
      <x:c r="N75" s="78" t="n">
        <x:f>IF(ROW()=16,Assumptions!$C$4,V74)</x:f>
        <x:v>9990.651793132247</x:v>
      </x:c>
      <x:c r="O75" s="78" t="n">
        <x:f>IF(AND(K75&gt;IF(F75&gt;=Assumptions!$C$21,Assumptions!$C$10,Assumptions!$C$9),D75&gt;Assumptions!$C$23),N75*M75,0)</x:f>
        <x:v>0</x:v>
      </x:c>
      <x:c r="P75" s="78" t="n">
        <x:f>IFERROR(O75/F75,0)</x:f>
        <x:v>0</x:v>
      </x:c>
      <x:c r="Q75" s="78" t="n">
        <x:v>0</x:v>
      </x:c>
      <x:c r="R75" s="78" t="str">
        <x:v>Resolve</x:v>
      </x:c>
      <x:c r="S75" s="78" t="n">
        <x:f>IF(R75="Resolve",IF(IF(E75="YES",Q75,1-Q75)=1,P75*(1-F75),-O75),P75*(G75-F75))</x:f>
        <x:v>0</x:v>
      </x:c>
      <x:c r="T75" s="78" t="n">
        <x:f>P75*J75</x:f>
        <x:v>0</x:v>
      </x:c>
      <x:c r="U75" s="78" t="n">
        <x:f>S75-T75</x:f>
        <x:v>0</x:v>
      </x:c>
      <x:c r="V75" s="78" t="n">
        <x:f>N75+U75</x:f>
        <x:v>9990.651793132247</x:v>
      </x:c>
      <x:c r="W75" s="74" t="n">
        <x:f>IFERROR(V75/MAX($V$16:V75)-1,0)</x:f>
        <x:v>-0.0046420440785516215</x:v>
      </x:c>
      <x:c r="X75" t="str">
        <x:f>IF(O75&gt;0,"TRADE","NO_TRADE")</x:f>
        <x:v>NO_TRADE</x:v>
      </x:c>
    </x:row>
    <x:row r="76">
      <x:c r="A76" s="66" t="n">
        <x:v>46167.50347222222</x:v>
      </x:c>
      <x:c r="B76" s="66" t="str">
        <x:v>MKT_1001</x:v>
      </x:c>
      <x:c r="C76" s="66" t="n">
        <x:v>46167.506944444445</x:v>
      </x:c>
      <x:c r="D76" t="n">
        <x:v>300</x:v>
      </x:c>
      <x:c r="E76" t="str">
        <x:v>NO</x:v>
      </x:c>
      <x:c r="F76" s="74" t="n">
        <x:v>0.52</x:v>
      </x:c>
      <x:c r="G76" s="74" t="n">
        <x:v>0.52</x:v>
      </x:c>
      <x:c r="H76" s="74" t="n">
        <x:v>0.535</x:v>
      </x:c>
      <x:c r="I76" s="74" t="n">
        <x:f>IF(E76="YES",H76,1-H76)</x:f>
        <x:v>0.46499999999999997</x:v>
      </x:c>
      <x:c r="J76" s="76" t="n">
        <x:f>Assumptions!$C$12+Assumptions!$C$11*F76</x:f>
        <x:v>0.003</x:v>
      </x:c>
      <x:c r="K76" s="76" t="n">
        <x:f>I76-F76-J76</x:f>
        <x:v>-0.05800000000000005</x:v>
      </x:c>
      <x:c r="L76" s="74" t="n">
        <x:f>MAX(0,IFERROR(K76/(1-F76),0))</x:f>
        <x:v>0</x:v>
      </x:c>
      <x:c r="M76" s="74" t="n">
        <x:f>MIN(Assumptions!$C$8*L76,Assumptions!$C$5)</x:f>
        <x:v>0</x:v>
      </x:c>
      <x:c r="N76" s="78" t="n">
        <x:f>IF(ROW()=16,Assumptions!$C$4,V75)</x:f>
        <x:v>9990.651793132247</x:v>
      </x:c>
      <x:c r="O76" s="78" t="n">
        <x:f>IF(AND(K76&gt;IF(F76&gt;=Assumptions!$C$21,Assumptions!$C$10,Assumptions!$C$9),D76&gt;Assumptions!$C$23),N76*M76,0)</x:f>
        <x:v>0</x:v>
      </x:c>
      <x:c r="P76" s="78" t="n">
        <x:f>IFERROR(O76/F76,0)</x:f>
        <x:v>0</x:v>
      </x:c>
      <x:c r="Q76" s="78" t="n">
        <x:v>1</x:v>
      </x:c>
      <x:c r="R76" s="78" t="str">
        <x:v>Resolve</x:v>
      </x:c>
      <x:c r="S76" s="78" t="n">
        <x:f>IF(R76="Resolve",IF(IF(E76="YES",Q76,1-Q76)=1,P76*(1-F76),-O76),P76*(G76-F76))</x:f>
        <x:v>0</x:v>
      </x:c>
      <x:c r="T76" s="78" t="n">
        <x:f>P76*J76</x:f>
        <x:v>0</x:v>
      </x:c>
      <x:c r="U76" s="78" t="n">
        <x:f>S76-T76</x:f>
        <x:v>0</x:v>
      </x:c>
      <x:c r="V76" s="78" t="n">
        <x:f>N76+U76</x:f>
        <x:v>9990.651793132247</x:v>
      </x:c>
      <x:c r="W76" s="74" t="n">
        <x:f>IFERROR(V76/MAX($V$16:V76)-1,0)</x:f>
        <x:v>-0.0046420440785516215</x:v>
      </x:c>
      <x:c r="X76" t="str">
        <x:f>IF(O76&gt;0,"TRADE","NO_TRADE")</x:f>
        <x:v>NO_TRADE</x:v>
      </x:c>
    </x:row>
    <x:row r="77">
      <x:c r="A77" s="66" t="n">
        <x:v>46167.503530092596</x:v>
      </x:c>
      <x:c r="B77" s="66" t="str">
        <x:v>MKT_1001</x:v>
      </x:c>
      <x:c r="C77" s="66" t="n">
        <x:v>46167.506944444445</x:v>
      </x:c>
      <x:c r="D77" t="n">
        <x:v>295</x:v>
      </x:c>
      <x:c r="E77" t="str">
        <x:v>YES</x:v>
      </x:c>
      <x:c r="F77" s="74" t="n">
        <x:v>0.61</x:v>
      </x:c>
      <x:c r="G77" s="74" t="n">
        <x:v>0.61</x:v>
      </x:c>
      <x:c r="H77" s="74" t="n">
        <x:v>0.63</x:v>
      </x:c>
      <x:c r="I77" s="74" t="n">
        <x:f>IF(E77="YES",H77,1-H77)</x:f>
        <x:v>0.63</x:v>
      </x:c>
      <x:c r="J77" s="76" t="n">
        <x:f>Assumptions!$C$12+Assumptions!$C$11*F77</x:f>
        <x:v>0.003</x:v>
      </x:c>
      <x:c r="K77" s="76" t="n">
        <x:f>I77-F77-J77</x:f>
        <x:v>0.01700000000000002</x:v>
      </x:c>
      <x:c r="L77" s="74" t="n">
        <x:f>MAX(0,IFERROR(K77/(1-F77),0))</x:f>
        <x:v>0.043589743589743636</x:v>
      </x:c>
      <x:c r="M77" s="74" t="n">
        <x:f>MIN(Assumptions!$C$8*L77,Assumptions!$C$5)</x:f>
        <x:v>0.005</x:v>
      </x:c>
      <x:c r="N77" s="78" t="n">
        <x:f>IF(ROW()=16,Assumptions!$C$4,V76)</x:f>
        <x:v>9990.651793132247</x:v>
      </x:c>
      <x:c r="O77" s="78" t="n">
        <x:f>IF(AND(K77&gt;IF(F77&gt;=Assumptions!$C$21,Assumptions!$C$10,Assumptions!$C$9),D77&gt;Assumptions!$C$23),N77*M77,0)</x:f>
        <x:v>49.953258965661234</x:v>
      </x:c>
      <x:c r="P77" s="78" t="n">
        <x:f>IFERROR(O77/F77,0)</x:f>
        <x:v>81.89058846829711</x:v>
      </x:c>
      <x:c r="Q77" s="78" t="n">
        <x:v>1</x:v>
      </x:c>
      <x:c r="R77" s="78" t="str">
        <x:v>Resolve</x:v>
      </x:c>
      <x:c r="S77" s="78" t="n">
        <x:f>IF(R77="Resolve",IF(IF(E77="YES",Q77,1-Q77)=1,P77*(1-F77),-O77),P77*(G77-F77))</x:f>
        <x:v>31.937329502635873</x:v>
      </x:c>
      <x:c r="T77" s="78" t="n">
        <x:f>P77*J77</x:f>
        <x:v>0.24567176540489133</x:v>
      </x:c>
      <x:c r="U77" s="78" t="n">
        <x:f>S77-T77</x:f>
        <x:v>31.69165773723098</x:v>
      </x:c>
      <x:c r="V77" s="78" t="n">
        <x:f>N77+U77</x:f>
        <x:v>10022.343450869477</x:v>
      </x:c>
      <x:c r="W77" s="74" t="n">
        <x:f>IFERROR(V77/MAX($V$16:V77)-1,0)</x:f>
        <x:v>-0.0014846381036205392</x:v>
      </x:c>
      <x:c r="X77" t="str">
        <x:f>IF(O77&gt;0,"TRADE","NO_TRADE")</x:f>
        <x:v>TRADE</x:v>
      </x:c>
    </x:row>
    <x:row r="78">
      <x:c r="A78" s="66" t="n">
        <x:v>46167.503587962965</x:v>
      </x:c>
      <x:c r="B78" s="66" t="str">
        <x:v>MKT_1001</x:v>
      </x:c>
      <x:c r="C78" s="66" t="n">
        <x:v>46167.506944444445</x:v>
      </x:c>
      <x:c r="D78" t="n">
        <x:v>290</x:v>
      </x:c>
      <x:c r="E78" t="str">
        <x:v>YES</x:v>
      </x:c>
      <x:c r="F78" s="74" t="n">
        <x:v>0.74</x:v>
      </x:c>
      <x:c r="G78" s="74" t="n">
        <x:v>0.74</x:v>
      </x:c>
      <x:c r="H78" s="74" t="n">
        <x:v>0.735</x:v>
      </x:c>
      <x:c r="I78" s="74" t="n">
        <x:f>IF(E78="YES",H78,1-H78)</x:f>
        <x:v>0.735</x:v>
      </x:c>
      <x:c r="J78" s="76" t="n">
        <x:f>Assumptions!$C$12+Assumptions!$C$11*F78</x:f>
        <x:v>0.003</x:v>
      </x:c>
      <x:c r="K78" s="76" t="n">
        <x:f>I78-F78-J78</x:f>
        <x:v>-0.008000000000000004</x:v>
      </x:c>
      <x:c r="L78" s="74" t="n">
        <x:f>MAX(0,IFERROR(K78/(1-F78),0))</x:f>
        <x:v>0</x:v>
      </x:c>
      <x:c r="M78" s="74" t="n">
        <x:f>MIN(Assumptions!$C$8*L78,Assumptions!$C$5)</x:f>
        <x:v>0</x:v>
      </x:c>
      <x:c r="N78" s="78" t="n">
        <x:f>IF(ROW()=16,Assumptions!$C$4,V77)</x:f>
        <x:v>10022.343450869477</x:v>
      </x:c>
      <x:c r="O78" s="78" t="n">
        <x:f>IF(AND(K78&gt;IF(F78&gt;=Assumptions!$C$21,Assumptions!$C$10,Assumptions!$C$9),D78&gt;Assumptions!$C$23),N78*M78,0)</x:f>
        <x:v>0</x:v>
      </x:c>
      <x:c r="P78" s="78" t="n">
        <x:f>IFERROR(O78/F78,0)</x:f>
        <x:v>0</x:v>
      </x:c>
      <x:c r="Q78" s="78" t="n">
        <x:v>1</x:v>
      </x:c>
      <x:c r="R78" s="78" t="str">
        <x:v>Resolve</x:v>
      </x:c>
      <x:c r="S78" s="78" t="n">
        <x:f>IF(R78="Resolve",IF(IF(E78="YES",Q78,1-Q78)=1,P78*(1-F78),-O78),P78*(G78-F78))</x:f>
        <x:v>0</x:v>
      </x:c>
      <x:c r="T78" s="78" t="n">
        <x:f>P78*J78</x:f>
        <x:v>0</x:v>
      </x:c>
      <x:c r="U78" s="78" t="n">
        <x:f>S78-T78</x:f>
        <x:v>0</x:v>
      </x:c>
      <x:c r="V78" s="78" t="n">
        <x:f>N78+U78</x:f>
        <x:v>10022.343450869477</x:v>
      </x:c>
      <x:c r="W78" s="74" t="n">
        <x:f>IFERROR(V78/MAX($V$16:V78)-1,0)</x:f>
        <x:v>-0.0014846381036205392</x:v>
      </x:c>
      <x:c r="X78" t="str">
        <x:f>IF(O78&gt;0,"TRADE","NO_TRADE")</x:f>
        <x:v>NO_TRADE</x:v>
      </x:c>
    </x:row>
    <x:row r="79">
      <x:c r="A79" s="66" t="n">
        <x:v>46167.503645833334</x:v>
      </x:c>
      <x:c r="B79" s="66" t="str">
        <x:v>MKT_1001</x:v>
      </x:c>
      <x:c r="C79" s="66" t="n">
        <x:v>46167.506944444445</x:v>
      </x:c>
      <x:c r="D79" t="n">
        <x:v>285</x:v>
      </x:c>
      <x:c r="E79" t="str">
        <x:v>NO</x:v>
      </x:c>
      <x:c r="F79" s="74" t="n">
        <x:v>0.88</x:v>
      </x:c>
      <x:c r="G79" s="74" t="n">
        <x:v>0.88</x:v>
      </x:c>
      <x:c r="H79" s="74" t="n">
        <x:v>0.91</x:v>
      </x:c>
      <x:c r="I79" s="74" t="n">
        <x:f>IF(E79="YES",H79,1-H79)</x:f>
        <x:v>0.08999999999999997</x:v>
      </x:c>
      <x:c r="J79" s="76" t="n">
        <x:f>Assumptions!$C$12+Assumptions!$C$11*F79</x:f>
        <x:v>0.003</x:v>
      </x:c>
      <x:c r="K79" s="76" t="n">
        <x:f>I79-F79-J79</x:f>
        <x:v>-0.793</x:v>
      </x:c>
      <x:c r="L79" s="74" t="n">
        <x:f>MAX(0,IFERROR(K79/(1-F79),0))</x:f>
        <x:v>0</x:v>
      </x:c>
      <x:c r="M79" s="74" t="n">
        <x:f>MIN(Assumptions!$C$8*L79,Assumptions!$C$5)</x:f>
        <x:v>0</x:v>
      </x:c>
      <x:c r="N79" s="78" t="n">
        <x:f>IF(ROW()=16,Assumptions!$C$4,V78)</x:f>
        <x:v>10022.343450869477</x:v>
      </x:c>
      <x:c r="O79" s="78" t="n">
        <x:f>IF(AND(K79&gt;IF(F79&gt;=Assumptions!$C$21,Assumptions!$C$10,Assumptions!$C$9),D79&gt;Assumptions!$C$23),N79*M79,0)</x:f>
        <x:v>0</x:v>
      </x:c>
      <x:c r="P79" s="78" t="n">
        <x:f>IFERROR(O79/F79,0)</x:f>
        <x:v>0</x:v>
      </x:c>
      <x:c r="Q79" s="78" t="n">
        <x:v>0</x:v>
      </x:c>
      <x:c r="R79" s="78" t="str">
        <x:v>Resolve</x:v>
      </x:c>
      <x:c r="S79" s="78" t="n">
        <x:f>IF(R79="Resolve",IF(IF(E79="YES",Q79,1-Q79)=1,P79*(1-F79),-O79),P79*(G79-F79))</x:f>
        <x:v>0</x:v>
      </x:c>
      <x:c r="T79" s="78" t="n">
        <x:f>P79*J79</x:f>
        <x:v>0</x:v>
      </x:c>
      <x:c r="U79" s="78" t="n">
        <x:f>S79-T79</x:f>
        <x:v>0</x:v>
      </x:c>
      <x:c r="V79" s="78" t="n">
        <x:f>N79+U79</x:f>
        <x:v>10022.343450869477</x:v>
      </x:c>
      <x:c r="W79" s="74" t="n">
        <x:f>IFERROR(V79/MAX($V$16:V79)-1,0)</x:f>
        <x:v>-0.0014846381036205392</x:v>
      </x:c>
      <x:c r="X79" t="str">
        <x:f>IF(O79&gt;0,"TRADE","NO_TRADE")</x:f>
        <x:v>NO_TRADE</x:v>
      </x:c>
    </x:row>
    <x:row r="80">
      <x:c r="A80" s="66" t="n">
        <x:v>46167.503703703704</x:v>
      </x:c>
      <x:c r="B80" s="66" t="str">
        <x:v>MKT_1001</x:v>
      </x:c>
      <x:c r="C80" s="66" t="n">
        <x:v>46167.506944444445</x:v>
      </x:c>
      <x:c r="D80" t="n">
        <x:v>280</x:v>
      </x:c>
      <x:c r="E80" t="str">
        <x:v>YES</x:v>
      </x:c>
      <x:c r="F80" s="74" t="n">
        <x:v>0.94</x:v>
      </x:c>
      <x:c r="G80" s="74" t="n">
        <x:v>0.94</x:v>
      </x:c>
      <x:c r="H80" s="74" t="n">
        <x:v>0.98</x:v>
      </x:c>
      <x:c r="I80" s="74" t="n">
        <x:f>IF(E80="YES",H80,1-H80)</x:f>
        <x:v>0.98</x:v>
      </x:c>
      <x:c r="J80" s="76" t="n">
        <x:f>Assumptions!$C$12+Assumptions!$C$11*F80</x:f>
        <x:v>0.003</x:v>
      </x:c>
      <x:c r="K80" s="76" t="n">
        <x:f>I80-F80-J80</x:f>
        <x:v>0.03700000000000003</x:v>
      </x:c>
      <x:c r="L80" s="74" t="n">
        <x:f>MAX(0,IFERROR(K80/(1-F80),0))</x:f>
        <x:v>0.6166666666666667</x:v>
      </x:c>
      <x:c r="M80" s="74" t="n">
        <x:f>MIN(Assumptions!$C$8*L80,Assumptions!$C$5)</x:f>
        <x:v>0.005</x:v>
      </x:c>
      <x:c r="N80" s="78" t="n">
        <x:f>IF(ROW()=16,Assumptions!$C$4,V79)</x:f>
        <x:v>10022.343450869477</x:v>
      </x:c>
      <x:c r="O80" s="78" t="n">
        <x:f>IF(AND(K80&gt;IF(F80&gt;=Assumptions!$C$21,Assumptions!$C$10,Assumptions!$C$9),D80&gt;Assumptions!$C$23),N80*M80,0)</x:f>
        <x:v>50.11171725434739</x:v>
      </x:c>
      <x:c r="P80" s="78" t="n">
        <x:f>IFERROR(O80/F80,0)</x:f>
        <x:v>53.31033750462488</x:v>
      </x:c>
      <x:c r="Q80" s="78" t="n">
        <x:v>1</x:v>
      </x:c>
      <x:c r="R80" s="78" t="str">
        <x:v>Resolve</x:v>
      </x:c>
      <x:c r="S80" s="78" t="n">
        <x:f>IF(R80="Resolve",IF(IF(E80="YES",Q80,1-Q80)=1,P80*(1-F80),-O80),P80*(G80-F80))</x:f>
        <x:v>3.1986202502774956</x:v>
      </x:c>
      <x:c r="T80" s="78" t="n">
        <x:f>P80*J80</x:f>
        <x:v>0.15993101251387465</x:v>
      </x:c>
      <x:c r="U80" s="78" t="n">
        <x:f>S80-T80</x:f>
        <x:v>3.038689237763621</x:v>
      </x:c>
      <x:c r="V80" s="78" t="n">
        <x:f>N80+U80</x:f>
        <x:v>10025.38214010724</x:v>
      </x:c>
      <x:c r="W80" s="74" t="n">
        <x:f>IFERROR(V80/MAX($V$16:V80)-1,0)</x:f>
        <x:v>-0.001181896743896682</x:v>
      </x:c>
      <x:c r="X80" t="str">
        <x:f>IF(O80&gt;0,"TRADE","NO_TRADE")</x:f>
        <x:v>TRADE</x:v>
      </x:c>
    </x:row>
    <x:row r="81">
      <x:c r="A81" s="66" t="n">
        <x:v>46167.50376157407</x:v>
      </x:c>
      <x:c r="B81" s="66" t="str">
        <x:v>MKT_1001</x:v>
      </x:c>
      <x:c r="C81" s="66" t="n">
        <x:v>46167.506944444445</x:v>
      </x:c>
      <x:c r="D81" t="n">
        <x:v>275</x:v>
      </x:c>
      <x:c r="E81" t="str">
        <x:v>YES</x:v>
      </x:c>
      <x:c r="F81" s="74" t="n">
        <x:v>0.95</x:v>
      </x:c>
      <x:c r="G81" s="74" t="n">
        <x:v>0.95</x:v>
      </x:c>
      <x:c r="H81" s="74" t="n">
        <x:v>0.968</x:v>
      </x:c>
      <x:c r="I81" s="74" t="n">
        <x:f>IF(E81="YES",H81,1-H81)</x:f>
        <x:v>0.968</x:v>
      </x:c>
      <x:c r="J81" s="76" t="n">
        <x:f>Assumptions!$C$12+Assumptions!$C$11*F81</x:f>
        <x:v>0.003</x:v>
      </x:c>
      <x:c r="K81" s="76" t="n">
        <x:f>I81-F81-J81</x:f>
        <x:v>0.015000000000000017</x:v>
      </x:c>
      <x:c r="L81" s="74" t="n">
        <x:f>MAX(0,IFERROR(K81/(1-F81),0))</x:f>
        <x:v>0.30000000000000004</x:v>
      </x:c>
      <x:c r="M81" s="74" t="n">
        <x:f>MIN(Assumptions!$C$8*L81,Assumptions!$C$5)</x:f>
        <x:v>0.005</x:v>
      </x:c>
      <x:c r="N81" s="78" t="n">
        <x:f>IF(ROW()=16,Assumptions!$C$4,V80)</x:f>
        <x:v>10025.38214010724</x:v>
      </x:c>
      <x:c r="O81" s="78" t="n">
        <x:f>IF(AND(K81&gt;IF(F81&gt;=Assumptions!$C$21,Assumptions!$C$10,Assumptions!$C$9),D81&gt;Assumptions!$C$23),N81*M81,0)</x:f>
        <x:v>50.1269107005362</x:v>
      </x:c>
      <x:c r="P81" s="78" t="n">
        <x:f>IFERROR(O81/F81,0)</x:f>
        <x:v>52.76516915845916</x:v>
      </x:c>
      <x:c r="Q81" s="78" t="n">
        <x:v>1</x:v>
      </x:c>
      <x:c r="R81" s="78" t="str">
        <x:v>Resolve</x:v>
      </x:c>
      <x:c r="S81" s="78" t="n">
        <x:f>IF(R81="Resolve",IF(IF(E81="YES",Q81,1-Q81)=1,P81*(1-F81),-O81),P81*(G81-F81))</x:f>
        <x:v>2.6382584579229604</x:v>
      </x:c>
      <x:c r="T81" s="78" t="n">
        <x:f>P81*J81</x:f>
        <x:v>0.1582955074753775</x:v>
      </x:c>
      <x:c r="U81" s="78" t="n">
        <x:f>S81-T81</x:f>
        <x:v>2.479962950447583</x:v>
      </x:c>
      <x:c r="V81" s="78" t="n">
        <x:f>N81+U81</x:f>
        <x:v>10027.862103057687</x:v>
      </x:c>
      <x:c r="W81" s="74" t="n">
        <x:f>IFERROR(V81/MAX($V$16:V81)-1,0)</x:f>
        <x:v>-0.0009348206867755282</x:v>
      </x:c>
      <x:c r="X81" t="str">
        <x:f>IF(O81&gt;0,"TRADE","NO_TRADE")</x:f>
        <x:v>TRADE</x:v>
      </x:c>
    </x:row>
    <x:row r="82">
      <x:c r="A82" s="66" t="n">
        <x:v>46167.50381944444</x:v>
      </x:c>
      <x:c r="B82" s="66" t="str">
        <x:v>MKT_1001</x:v>
      </x:c>
      <x:c r="C82" s="66" t="n">
        <x:v>46167.506944444445</x:v>
      </x:c>
      <x:c r="D82" t="n">
        <x:v>270</x:v>
      </x:c>
      <x:c r="E82" t="str">
        <x:v>NO</x:v>
      </x:c>
      <x:c r="F82" s="74" t="n">
        <x:v>0.57</x:v>
      </x:c>
      <x:c r="G82" s="74" t="n">
        <x:v>0.57</x:v>
      </x:c>
      <x:c r="H82" s="74" t="n">
        <x:v>0.582</x:v>
      </x:c>
      <x:c r="I82" s="74" t="n">
        <x:f>IF(E82="YES",H82,1-H82)</x:f>
        <x:v>0.41800000000000004</x:v>
      </x:c>
      <x:c r="J82" s="76" t="n">
        <x:f>Assumptions!$C$12+Assumptions!$C$11*F82</x:f>
        <x:v>0.003</x:v>
      </x:c>
      <x:c r="K82" s="76" t="n">
        <x:f>I82-F82-J82</x:f>
        <x:v>-0.15499999999999992</x:v>
      </x:c>
      <x:c r="L82" s="74" t="n">
        <x:f>MAX(0,IFERROR(K82/(1-F82),0))</x:f>
        <x:v>0</x:v>
      </x:c>
      <x:c r="M82" s="74" t="n">
        <x:f>MIN(Assumptions!$C$8*L82,Assumptions!$C$5)</x:f>
        <x:v>0</x:v>
      </x:c>
      <x:c r="N82" s="78" t="n">
        <x:f>IF(ROW()=16,Assumptions!$C$4,V81)</x:f>
        <x:v>10027.862103057687</x:v>
      </x:c>
      <x:c r="O82" s="78" t="n">
        <x:f>IF(AND(K82&gt;IF(F82&gt;=Assumptions!$C$21,Assumptions!$C$10,Assumptions!$C$9),D82&gt;Assumptions!$C$23),N82*M82,0)</x:f>
        <x:v>0</x:v>
      </x:c>
      <x:c r="P82" s="78" t="n">
        <x:f>IFERROR(O82/F82,0)</x:f>
        <x:v>0</x:v>
      </x:c>
      <x:c r="Q82" s="78" t="n">
        <x:v>0</x:v>
      </x:c>
      <x:c r="R82" s="78" t="str">
        <x:v>Resolve</x:v>
      </x:c>
      <x:c r="S82" s="78" t="n">
        <x:f>IF(R82="Resolve",IF(IF(E82="YES",Q82,1-Q82)=1,P82*(1-F82),-O82),P82*(G82-F82))</x:f>
        <x:v>0</x:v>
      </x:c>
      <x:c r="T82" s="78" t="n">
        <x:f>P82*J82</x:f>
        <x:v>0</x:v>
      </x:c>
      <x:c r="U82" s="78" t="n">
        <x:f>S82-T82</x:f>
        <x:v>0</x:v>
      </x:c>
      <x:c r="V82" s="78" t="n">
        <x:f>N82+U82</x:f>
        <x:v>10027.862103057687</x:v>
      </x:c>
      <x:c r="W82" s="74" t="n">
        <x:f>IFERROR(V82/MAX($V$16:V82)-1,0)</x:f>
        <x:v>-0.0009348206867755282</x:v>
      </x:c>
      <x:c r="X82" t="str">
        <x:f>IF(O82&gt;0,"TRADE","NO_TRADE")</x:f>
        <x:v>NO_TRADE</x:v>
      </x:c>
    </x:row>
    <x:row r="83">
      <x:c r="A83" s="66" t="n">
        <x:v>46167.50387731481</x:v>
      </x:c>
      <x:c r="B83" s="66" t="str">
        <x:v>MKT_1001</x:v>
      </x:c>
      <x:c r="C83" s="66" t="n">
        <x:v>46167.506944444445</x:v>
      </x:c>
      <x:c r="D83" t="n">
        <x:v>265</x:v>
      </x:c>
      <x:c r="E83" t="str">
        <x:v>YES</x:v>
      </x:c>
      <x:c r="F83" s="74" t="n">
        <x:v>0.68</x:v>
      </x:c>
      <x:c r="G83" s="74" t="n">
        <x:v>0.68</x:v>
      </x:c>
      <x:c r="H83" s="74" t="n">
        <x:v>0.7050000000000001</x:v>
      </x:c>
      <x:c r="I83" s="74" t="n">
        <x:f>IF(E83="YES",H83,1-H83)</x:f>
        <x:v>0.7050000000000001</x:v>
      </x:c>
      <x:c r="J83" s="76" t="n">
        <x:f>Assumptions!$C$12+Assumptions!$C$11*F83</x:f>
        <x:v>0.003</x:v>
      </x:c>
      <x:c r="K83" s="76" t="n">
        <x:f>I83-F83-J83</x:f>
        <x:v>0.022000000000000023</x:v>
      </x:c>
      <x:c r="L83" s="74" t="n">
        <x:f>MAX(0,IFERROR(K83/(1-F83),0))</x:f>
        <x:v>0.06875000000000009</x:v>
      </x:c>
      <x:c r="M83" s="74" t="n">
        <x:f>MIN(Assumptions!$C$8*L83,Assumptions!$C$5)</x:f>
        <x:v>0.005</x:v>
      </x:c>
      <x:c r="N83" s="78" t="n">
        <x:f>IF(ROW()=16,Assumptions!$C$4,V82)</x:f>
        <x:v>10027.862103057687</x:v>
      </x:c>
      <x:c r="O83" s="78" t="n">
        <x:f>IF(AND(K83&gt;IF(F83&gt;=Assumptions!$C$21,Assumptions!$C$10,Assumptions!$C$9),D83&gt;Assumptions!$C$23),N83*M83,0)</x:f>
        <x:v>50.139310515288436</x:v>
      </x:c>
      <x:c r="P83" s="78" t="n">
        <x:f>IFERROR(O83/F83,0)</x:f>
        <x:v>73.73428016954182</x:v>
      </x:c>
      <x:c r="Q83" s="78" t="n">
        <x:v>1</x:v>
      </x:c>
      <x:c r="R83" s="78" t="str">
        <x:v>Resolve</x:v>
      </x:c>
      <x:c r="S83" s="78" t="n">
        <x:f>IF(R83="Resolve",IF(IF(E83="YES",Q83,1-Q83)=1,P83*(1-F83),-O83),P83*(G83-F83))</x:f>
        <x:v>23.59496965425338</x:v>
      </x:c>
      <x:c r="T83" s="78" t="n">
        <x:f>P83*J83</x:f>
        <x:v>0.22120284050862546</x:v>
      </x:c>
      <x:c r="U83" s="78" t="n">
        <x:f>S83-T83</x:f>
        <x:v>23.373766813744755</x:v>
      </x:c>
      <x:c r="V83" s="78" t="n">
        <x:f>N83+U83</x:f>
        <x:v>10051.235869871432</x:v>
      </x:c>
      <x:c r="W83" s="74" t="n">
        <x:f>IFERROR(V83/MAX($V$16:V83)-1,0)</x:f>
        <x:v>0</x:v>
      </x:c>
      <x:c r="X83" t="str">
        <x:f>IF(O83&gt;0,"TRADE","NO_TRADE")</x:f>
        <x:v>TRADE</x:v>
      </x:c>
    </x:row>
    <x:row r="84">
      <x:c r="A84" s="66" t="n">
        <x:v>46167.50393518519</x:v>
      </x:c>
      <x:c r="B84" s="66" t="str">
        <x:v>MKT_1001</x:v>
      </x:c>
      <x:c r="C84" s="66" t="n">
        <x:v>46167.506944444445</x:v>
      </x:c>
      <x:c r="D84" t="n">
        <x:v>260</x:v>
      </x:c>
      <x:c r="E84" t="str">
        <x:v>YES</x:v>
      </x:c>
      <x:c r="F84" s="74" t="n">
        <x:v>0.91</x:v>
      </x:c>
      <x:c r="G84" s="74" t="n">
        <x:v>0.91</x:v>
      </x:c>
      <x:c r="H84" s="74" t="n">
        <x:v>0.9450000000000001</x:v>
      </x:c>
      <x:c r="I84" s="74" t="n">
        <x:f>IF(E84="YES",H84,1-H84)</x:f>
        <x:v>0.9450000000000001</x:v>
      </x:c>
      <x:c r="J84" s="76" t="n">
        <x:f>Assumptions!$C$12+Assumptions!$C$11*F84</x:f>
        <x:v>0.003</x:v>
      </x:c>
      <x:c r="K84" s="76" t="n">
        <x:f>I84-F84-J84</x:f>
        <x:v>0.03200000000000003</x:v>
      </x:c>
      <x:c r="L84" s="74" t="n">
        <x:f>MAX(0,IFERROR(K84/(1-F84),0))</x:f>
        <x:v>0.355555555555556</x:v>
      </x:c>
      <x:c r="M84" s="74" t="n">
        <x:f>MIN(Assumptions!$C$8*L84,Assumptions!$C$5)</x:f>
        <x:v>0.005</x:v>
      </x:c>
      <x:c r="N84" s="78" t="n">
        <x:f>IF(ROW()=16,Assumptions!$C$4,V83)</x:f>
        <x:v>10051.235869871432</x:v>
      </x:c>
      <x:c r="O84" s="78" t="n">
        <x:f>IF(AND(K84&gt;IF(F84&gt;=Assumptions!$C$21,Assumptions!$C$10,Assumptions!$C$9),D84&gt;Assumptions!$C$23),N84*M84,0)</x:f>
        <x:v>50.25617934935716</x:v>
      </x:c>
      <x:c r="P84" s="78" t="n">
        <x:f>IFERROR(O84/F84,0)</x:f>
        <x:v>55.2265707135793</x:v>
      </x:c>
      <x:c r="Q84" s="78" t="n">
        <x:v>1</x:v>
      </x:c>
      <x:c r="R84" s="78" t="str">
        <x:v>Resolve</x:v>
      </x:c>
      <x:c r="S84" s="78" t="n">
        <x:f>IF(R84="Resolve",IF(IF(E84="YES",Q84,1-Q84)=1,P84*(1-F84),-O84),P84*(G84-F84))</x:f>
        <x:v>4.970391364222135</x:v>
      </x:c>
      <x:c r="T84" s="78" t="n">
        <x:f>P84*J84</x:f>
        <x:v>0.1656797121407379</x:v>
      </x:c>
      <x:c r="U84" s="78" t="n">
        <x:f>S84-T84</x:f>
        <x:v>4.804711652081397</x:v>
      </x:c>
      <x:c r="V84" s="78" t="n">
        <x:f>N84+U84</x:f>
        <x:v>10056.040581523514</x:v>
      </x:c>
      <x:c r="W84" s="74" t="n">
        <x:f>IFERROR(V84/MAX($V$16:V84)-1,0)</x:f>
        <x:v>0</x:v>
      </x:c>
      <x:c r="X84" t="str">
        <x:f>IF(O84&gt;0,"TRADE","NO_TRADE")</x:f>
        <x:v>TRADE</x:v>
      </x:c>
    </x:row>
    <x:row r="85">
      <x:c r="A85" s="66" t="n">
        <x:v>46167.50399305556</x:v>
      </x:c>
      <x:c r="B85" s="66" t="str">
        <x:v>MKT_1001</x:v>
      </x:c>
      <x:c r="C85" s="66" t="n">
        <x:v>46167.506944444445</x:v>
      </x:c>
      <x:c r="D85" t="n">
        <x:v>255</x:v>
      </x:c>
      <x:c r="E85" t="str">
        <x:v>NO</x:v>
      </x:c>
      <x:c r="F85" s="74" t="n">
        <x:v>0.83</x:v>
      </x:c>
      <x:c r="G85" s="74" t="n">
        <x:v>0.83</x:v>
      </x:c>
      <x:c r="H85" s="74" t="n">
        <x:v>0.82</x:v>
      </x:c>
      <x:c r="I85" s="74" t="n">
        <x:f>IF(E85="YES",H85,1-H85)</x:f>
        <x:v>0.18000000000000005</x:v>
      </x:c>
      <x:c r="J85" s="76" t="n">
        <x:f>Assumptions!$C$12+Assumptions!$C$11*F85</x:f>
        <x:v>0.003</x:v>
      </x:c>
      <x:c r="K85" s="76" t="n">
        <x:f>I85-F85-J85</x:f>
        <x:v>-0.6529999999999999</x:v>
      </x:c>
      <x:c r="L85" s="74" t="n">
        <x:f>MAX(0,IFERROR(K85/(1-F85),0))</x:f>
        <x:v>0</x:v>
      </x:c>
      <x:c r="M85" s="74" t="n">
        <x:f>MIN(Assumptions!$C$8*L85,Assumptions!$C$5)</x:f>
        <x:v>0</x:v>
      </x:c>
      <x:c r="N85" s="78" t="n">
        <x:f>IF(ROW()=16,Assumptions!$C$4,V84)</x:f>
        <x:v>10056.040581523514</x:v>
      </x:c>
      <x:c r="O85" s="78" t="n">
        <x:f>IF(AND(K85&gt;IF(F85&gt;=Assumptions!$C$21,Assumptions!$C$10,Assumptions!$C$9),D85&gt;Assumptions!$C$23),N85*M85,0)</x:f>
        <x:v>0</x:v>
      </x:c>
      <x:c r="P85" s="78" t="n">
        <x:f>IFERROR(O85/F85,0)</x:f>
        <x:v>0</x:v>
      </x:c>
      <x:c r="Q85" s="78" t="n">
        <x:v>1</x:v>
      </x:c>
      <x:c r="R85" s="78" t="str">
        <x:v>Resolve</x:v>
      </x:c>
      <x:c r="S85" s="78" t="n">
        <x:f>IF(R85="Resolve",IF(IF(E85="YES",Q85,1-Q85)=1,P85*(1-F85),-O85),P85*(G85-F85))</x:f>
        <x:v>0</x:v>
      </x:c>
      <x:c r="T85" s="78" t="n">
        <x:f>P85*J85</x:f>
        <x:v>0</x:v>
      </x:c>
      <x:c r="U85" s="78" t="n">
        <x:f>S85-T85</x:f>
        <x:v>0</x:v>
      </x:c>
      <x:c r="V85" s="78" t="n">
        <x:f>N85+U85</x:f>
        <x:v>10056.040581523514</x:v>
      </x:c>
      <x:c r="W85" s="74" t="n">
        <x:f>IFERROR(V85/MAX($V$16:V85)-1,0)</x:f>
        <x:v>0</x:v>
      </x:c>
      <x:c r="X85" t="str">
        <x:f>IF(O85&gt;0,"TRADE","NO_TRADE")</x:f>
        <x:v>NO_TRADE</x:v>
      </x:c>
    </x:row>
    <x:row r="86">
      <x:c r="A86" s="66" t="n">
        <x:v>46167.50405092593</x:v>
      </x:c>
      <x:c r="B86" s="66" t="str">
        <x:v>MKT_1001</x:v>
      </x:c>
      <x:c r="C86" s="66" t="n">
        <x:v>46167.506944444445</x:v>
      </x:c>
      <x:c r="D86" t="n">
        <x:v>250</x:v>
      </x:c>
      <x:c r="E86" t="str">
        <x:v>YES</x:v>
      </x:c>
      <x:c r="F86" s="74" t="n">
        <x:v>0.52</x:v>
      </x:c>
      <x:c r="G86" s="74" t="n">
        <x:v>0.52</x:v>
      </x:c>
      <x:c r="H86" s="74" t="n">
        <x:v>0.535</x:v>
      </x:c>
      <x:c r="I86" s="74" t="n">
        <x:f>IF(E86="YES",H86,1-H86)</x:f>
        <x:v>0.535</x:v>
      </x:c>
      <x:c r="J86" s="76" t="n">
        <x:f>Assumptions!$C$12+Assumptions!$C$11*F86</x:f>
        <x:v>0.003</x:v>
      </x:c>
      <x:c r="K86" s="76" t="n">
        <x:f>I86-F86-J86</x:f>
        <x:v>0.012000000000000014</x:v>
      </x:c>
      <x:c r="L86" s="74" t="n">
        <x:f>MAX(0,IFERROR(K86/(1-F86),0))</x:f>
        <x:v>0.02500000000000003</x:v>
      </x:c>
      <x:c r="M86" s="74" t="n">
        <x:f>MIN(Assumptions!$C$8*L86,Assumptions!$C$5)</x:f>
        <x:v>0.005</x:v>
      </x:c>
      <x:c r="N86" s="78" t="n">
        <x:f>IF(ROW()=16,Assumptions!$C$4,V85)</x:f>
        <x:v>10056.040581523514</x:v>
      </x:c>
      <x:c r="O86" s="78" t="n">
        <x:f>IF(AND(K86&gt;IF(F86&gt;=Assumptions!$C$21,Assumptions!$C$10,Assumptions!$C$9),D86&gt;Assumptions!$C$23),N86*M86,0)</x:f>
        <x:v>50.28020290761757</x:v>
      </x:c>
      <x:c r="P86" s="78" t="n">
        <x:f>IFERROR(O86/F86,0)</x:f>
        <x:v>96.69269789926456</x:v>
      </x:c>
      <x:c r="Q86" s="78" t="n">
        <x:v>0</x:v>
      </x:c>
      <x:c r="R86" s="78" t="str">
        <x:v>Resolve</x:v>
      </x:c>
      <x:c r="S86" s="78" t="n">
        <x:f>IF(R86="Resolve",IF(IF(E86="YES",Q86,1-Q86)=1,P86*(1-F86),-O86),P86*(G86-F86))</x:f>
        <x:v>-50.28020290761757</x:v>
      </x:c>
      <x:c r="T86" s="78" t="n">
        <x:f>P86*J86</x:f>
        <x:v>0.2900780936977937</x:v>
      </x:c>
      <x:c r="U86" s="78" t="n">
        <x:f>S86-T86</x:f>
        <x:v>-50.570281001315365</x:v>
      </x:c>
      <x:c r="V86" s="78" t="n">
        <x:f>N86+U86</x:f>
        <x:v>10005.470300522198</x:v>
      </x:c>
      <x:c r="W86" s="74" t="n">
        <x:f>IFERROR(V86/MAX($V$16:V86)-1,0)</x:f>
        <x:v>-0.005028846153846134</x:v>
      </x:c>
      <x:c r="X86" t="str">
        <x:f>IF(O86&gt;0,"TRADE","NO_TRADE")</x:f>
        <x:v>TRADE</x:v>
      </x:c>
    </x:row>
    <x:row r="87">
      <x:c r="A87" s="66" t="n">
        <x:v>46167.504108796296</x:v>
      </x:c>
      <x:c r="B87" s="66" t="str">
        <x:v>MKT_1001</x:v>
      </x:c>
      <x:c r="C87" s="66" t="n">
        <x:v>46167.506944444445</x:v>
      </x:c>
      <x:c r="D87" t="n">
        <x:v>245</x:v>
      </x:c>
      <x:c r="E87" t="str">
        <x:v>YES</x:v>
      </x:c>
      <x:c r="F87" s="74" t="n">
        <x:v>0.61</x:v>
      </x:c>
      <x:c r="G87" s="74" t="n">
        <x:v>0.61</x:v>
      </x:c>
      <x:c r="H87" s="74" t="n">
        <x:v>0.63</x:v>
      </x:c>
      <x:c r="I87" s="74" t="n">
        <x:f>IF(E87="YES",H87,1-H87)</x:f>
        <x:v>0.63</x:v>
      </x:c>
      <x:c r="J87" s="76" t="n">
        <x:f>Assumptions!$C$12+Assumptions!$C$11*F87</x:f>
        <x:v>0.003</x:v>
      </x:c>
      <x:c r="K87" s="76" t="n">
        <x:f>I87-F87-J87</x:f>
        <x:v>0.01700000000000002</x:v>
      </x:c>
      <x:c r="L87" s="74" t="n">
        <x:f>MAX(0,IFERROR(K87/(1-F87),0))</x:f>
        <x:v>0.043589743589743636</x:v>
      </x:c>
      <x:c r="M87" s="74" t="n">
        <x:f>MIN(Assumptions!$C$8*L87,Assumptions!$C$5)</x:f>
        <x:v>0.005</x:v>
      </x:c>
      <x:c r="N87" s="78" t="n">
        <x:f>IF(ROW()=16,Assumptions!$C$4,V86)</x:f>
        <x:v>10005.470300522198</x:v>
      </x:c>
      <x:c r="O87" s="78" t="n">
        <x:f>IF(AND(K87&gt;IF(F87&gt;=Assumptions!$C$21,Assumptions!$C$10,Assumptions!$C$9),D87&gt;Assumptions!$C$23),N87*M87,0)</x:f>
        <x:v>50.02735150261099</x:v>
      </x:c>
      <x:c r="P87" s="78" t="n">
        <x:f>IFERROR(O87/F87,0)</x:f>
        <x:v>82.01205164362457</x:v>
      </x:c>
      <x:c r="Q87" s="78" t="n">
        <x:v>1</x:v>
      </x:c>
      <x:c r="R87" s="78" t="str">
        <x:v>Resolve</x:v>
      </x:c>
      <x:c r="S87" s="78" t="n">
        <x:f>IF(R87="Resolve",IF(IF(E87="YES",Q87,1-Q87)=1,P87*(1-F87),-O87),P87*(G87-F87))</x:f>
        <x:v>31.984700141013583</x:v>
      </x:c>
      <x:c r="T87" s="78" t="n">
        <x:f>P87*J87</x:f>
        <x:v>0.24603615493087372</x:v>
      </x:c>
      <x:c r="U87" s="78" t="n">
        <x:f>S87-T87</x:f>
        <x:v>31.73866398608271</x:v>
      </x:c>
      <x:c r="V87" s="78" t="n">
        <x:f>N87+U87</x:f>
        <x:v>10037.208964508281</x:v>
      </x:c>
      <x:c r="W87" s="74" t="n">
        <x:f>IFERROR(V87/MAX($V$16:V87)-1,0)</x:f>
        <x:v>-0.001872667165825903</x:v>
      </x:c>
      <x:c r="X87" t="str">
        <x:f>IF(O87&gt;0,"TRADE","NO_TRADE")</x:f>
        <x:v>TRADE</x:v>
      </x:c>
    </x:row>
    <x:row r="88">
      <x:c r="A88" s="66" t="n">
        <x:v>46167.504166666666</x:v>
      </x:c>
      <x:c r="B88" s="66" t="str">
        <x:v>MKT_1001</x:v>
      </x:c>
      <x:c r="C88" s="66" t="n">
        <x:v>46167.506944444445</x:v>
      </x:c>
      <x:c r="D88" t="n">
        <x:v>240</x:v>
      </x:c>
      <x:c r="E88" t="str">
        <x:v>NO</x:v>
      </x:c>
      <x:c r="F88" s="74" t="n">
        <x:v>0.74</x:v>
      </x:c>
      <x:c r="G88" s="74" t="n">
        <x:v>0.74</x:v>
      </x:c>
      <x:c r="H88" s="74" t="n">
        <x:v>0.735</x:v>
      </x:c>
      <x:c r="I88" s="74" t="n">
        <x:f>IF(E88="YES",H88,1-H88)</x:f>
        <x:v>0.265</x:v>
      </x:c>
      <x:c r="J88" s="76" t="n">
        <x:f>Assumptions!$C$12+Assumptions!$C$11*F88</x:f>
        <x:v>0.003</x:v>
      </x:c>
      <x:c r="K88" s="76" t="n">
        <x:f>I88-F88-J88</x:f>
        <x:v>-0.478</x:v>
      </x:c>
      <x:c r="L88" s="74" t="n">
        <x:f>MAX(0,IFERROR(K88/(1-F88),0))</x:f>
        <x:v>0</x:v>
      </x:c>
      <x:c r="M88" s="74" t="n">
        <x:f>MIN(Assumptions!$C$8*L88,Assumptions!$C$5)</x:f>
        <x:v>0</x:v>
      </x:c>
      <x:c r="N88" s="78" t="n">
        <x:f>IF(ROW()=16,Assumptions!$C$4,V87)</x:f>
        <x:v>10037.208964508281</x:v>
      </x:c>
      <x:c r="O88" s="78" t="n">
        <x:f>IF(AND(K88&gt;IF(F88&gt;=Assumptions!$C$21,Assumptions!$C$10,Assumptions!$C$9),D88&gt;Assumptions!$C$23),N88*M88,0)</x:f>
        <x:v>0</x:v>
      </x:c>
      <x:c r="P88" s="78" t="n">
        <x:f>IFERROR(O88/F88,0)</x:f>
        <x:v>0</x:v>
      </x:c>
      <x:c r="Q88" s="78" t="n">
        <x:v>1</x:v>
      </x:c>
      <x:c r="R88" s="78" t="str">
        <x:v>Resolve</x:v>
      </x:c>
      <x:c r="S88" s="78" t="n">
        <x:f>IF(R88="Resolve",IF(IF(E88="YES",Q88,1-Q88)=1,P88*(1-F88),-O88),P88*(G88-F88))</x:f>
        <x:v>0</x:v>
      </x:c>
      <x:c r="T88" s="78" t="n">
        <x:f>P88*J88</x:f>
        <x:v>0</x:v>
      </x:c>
      <x:c r="U88" s="78" t="n">
        <x:f>S88-T88</x:f>
        <x:v>0</x:v>
      </x:c>
      <x:c r="V88" s="78" t="n">
        <x:f>N88+U88</x:f>
        <x:v>10037.208964508281</x:v>
      </x:c>
      <x:c r="W88" s="74" t="n">
        <x:f>IFERROR(V88/MAX($V$16:V88)-1,0)</x:f>
        <x:v>-0.001872667165825903</x:v>
      </x:c>
      <x:c r="X88" t="str">
        <x:f>IF(O88&gt;0,"TRADE","NO_TRADE")</x:f>
        <x:v>NO_TRADE</x:v>
      </x:c>
    </x:row>
    <x:row r="89">
      <x:c r="A89" s="66" t="n">
        <x:v>46167.504224537035</x:v>
      </x:c>
      <x:c r="B89" s="66" t="str">
        <x:v>MKT_1001</x:v>
      </x:c>
      <x:c r="C89" s="66" t="n">
        <x:v>46167.506944444445</x:v>
      </x:c>
      <x:c r="D89" t="n">
        <x:v>235</x:v>
      </x:c>
      <x:c r="E89" t="str">
        <x:v>YES</x:v>
      </x:c>
      <x:c r="F89" s="74" t="n">
        <x:v>0.88</x:v>
      </x:c>
      <x:c r="G89" s="74" t="n">
        <x:v>0.88</x:v>
      </x:c>
      <x:c r="H89" s="74" t="n">
        <x:v>0.91</x:v>
      </x:c>
      <x:c r="I89" s="74" t="n">
        <x:f>IF(E89="YES",H89,1-H89)</x:f>
        <x:v>0.91</x:v>
      </x:c>
      <x:c r="J89" s="76" t="n">
        <x:f>Assumptions!$C$12+Assumptions!$C$11*F89</x:f>
        <x:v>0.003</x:v>
      </x:c>
      <x:c r="K89" s="76" t="n">
        <x:f>I89-F89-J89</x:f>
        <x:v>0.027000000000000027</x:v>
      </x:c>
      <x:c r="L89" s="74" t="n">
        <x:f>MAX(0,IFERROR(K89/(1-F89),0))</x:f>
        <x:v>0.22500000000000023</x:v>
      </x:c>
      <x:c r="M89" s="74" t="n">
        <x:f>MIN(Assumptions!$C$8*L89,Assumptions!$C$5)</x:f>
        <x:v>0.005</x:v>
      </x:c>
      <x:c r="N89" s="78" t="n">
        <x:f>IF(ROW()=16,Assumptions!$C$4,V88)</x:f>
        <x:v>10037.208964508281</x:v>
      </x:c>
      <x:c r="O89" s="78" t="n">
        <x:f>IF(AND(K89&gt;IF(F89&gt;=Assumptions!$C$21,Assumptions!$C$10,Assumptions!$C$9),D89&gt;Assumptions!$C$23),N89*M89,0)</x:f>
        <x:v>50.18604482254141</x:v>
      </x:c>
      <x:c r="P89" s="78" t="n">
        <x:f>IFERROR(O89/F89,0)</x:f>
        <x:v>57.0295963892516</x:v>
      </x:c>
      <x:c r="Q89" s="78" t="n">
        <x:v>0</x:v>
      </x:c>
      <x:c r="R89" s="78" t="str">
        <x:v>Resolve</x:v>
      </x:c>
      <x:c r="S89" s="78" t="n">
        <x:f>IF(R89="Resolve",IF(IF(E89="YES",Q89,1-Q89)=1,P89*(1-F89),-O89),P89*(G89-F89))</x:f>
        <x:v>-50.18604482254141</x:v>
      </x:c>
      <x:c r="T89" s="78" t="n">
        <x:f>P89*J89</x:f>
        <x:v>0.1710887891677548</x:v>
      </x:c>
      <x:c r="U89" s="78" t="n">
        <x:f>S89-T89</x:f>
        <x:v>-50.357133611709166</x:v>
      </x:c>
      <x:c r="V89" s="78" t="n">
        <x:f>N89+U89</x:f>
        <x:v>9986.851830896572</x:v>
      </x:c>
      <x:c r="W89" s="74" t="n">
        <x:f>IFERROR(V89/MAX($V$16:V89)-1,0)</x:f>
        <x:v>-0.006880317364079236</x:v>
      </x:c>
      <x:c r="X89" t="str">
        <x:f>IF(O89&gt;0,"TRADE","NO_TRADE")</x:f>
        <x:v>TRADE</x:v>
      </x:c>
    </x:row>
    <x:row r="90">
      <x:c r="A90" s="66" t="n">
        <x:v>46167.504282407404</x:v>
      </x:c>
      <x:c r="B90" s="66" t="str">
        <x:v>MKT_1001</x:v>
      </x:c>
      <x:c r="C90" s="66" t="n">
        <x:v>46167.506944444445</x:v>
      </x:c>
      <x:c r="D90" t="n">
        <x:v>230</x:v>
      </x:c>
      <x:c r="E90" t="str">
        <x:v>YES</x:v>
      </x:c>
      <x:c r="F90" s="74" t="n">
        <x:v>0.94</x:v>
      </x:c>
      <x:c r="G90" s="74" t="n">
        <x:v>0.94</x:v>
      </x:c>
      <x:c r="H90" s="74" t="n">
        <x:v>0.98</x:v>
      </x:c>
      <x:c r="I90" s="74" t="n">
        <x:f>IF(E90="YES",H90,1-H90)</x:f>
        <x:v>0.98</x:v>
      </x:c>
      <x:c r="J90" s="76" t="n">
        <x:f>Assumptions!$C$12+Assumptions!$C$11*F90</x:f>
        <x:v>0.003</x:v>
      </x:c>
      <x:c r="K90" s="76" t="n">
        <x:f>I90-F90-J90</x:f>
        <x:v>0.03700000000000003</x:v>
      </x:c>
      <x:c r="L90" s="74" t="n">
        <x:f>MAX(0,IFERROR(K90/(1-F90),0))</x:f>
        <x:v>0.6166666666666667</x:v>
      </x:c>
      <x:c r="M90" s="74" t="n">
        <x:f>MIN(Assumptions!$C$8*L90,Assumptions!$C$5)</x:f>
        <x:v>0.005</x:v>
      </x:c>
      <x:c r="N90" s="78" t="n">
        <x:f>IF(ROW()=16,Assumptions!$C$4,V89)</x:f>
        <x:v>9986.851830896572</x:v>
      </x:c>
      <x:c r="O90" s="78" t="n">
        <x:f>IF(AND(K90&gt;IF(F90&gt;=Assumptions!$C$21,Assumptions!$C$10,Assumptions!$C$9),D90&gt;Assumptions!$C$23),N90*M90,0)</x:f>
        <x:v>49.93425915448286</x:v>
      </x:c>
      <x:c r="P90" s="78" t="n">
        <x:f>IFERROR(O90/F90,0)</x:f>
        <x:v>53.121552292003045</x:v>
      </x:c>
      <x:c r="Q90" s="78" t="n">
        <x:v>1</x:v>
      </x:c>
      <x:c r="R90" s="78" t="str">
        <x:v>Resolve</x:v>
      </x:c>
      <x:c r="S90" s="78" t="n">
        <x:f>IF(R90="Resolve",IF(IF(E90="YES",Q90,1-Q90)=1,P90*(1-F90),-O90),P90*(G90-F90))</x:f>
        <x:v>3.1872931375201854</x:v>
      </x:c>
      <x:c r="T90" s="78" t="n">
        <x:f>P90*J90</x:f>
        <x:v>0.15936465687600915</x:v>
      </x:c>
      <x:c r="U90" s="78" t="n">
        <x:f>S90-T90</x:f>
        <x:v>3.027928480644176</x:v>
      </x:c>
      <x:c r="V90" s="78" t="n">
        <x:f>N90+U90</x:f>
        <x:v>9989.879759377216</x:v>
      </x:c>
      <x:c r="W90" s="74" t="n">
        <x:f>IFERROR(V90/MAX($V$16:V90)-1,0)</x:f>
        <x:v>-0.006579211928386397</x:v>
      </x:c>
      <x:c r="X90" t="str">
        <x:f>IF(O90&gt;0,"TRADE","NO_TRADE")</x:f>
        <x:v>TRADE</x:v>
      </x:c>
    </x:row>
    <x:row r="91">
      <x:c r="A91" s="66" t="n">
        <x:v>46167.50434027778</x:v>
      </x:c>
      <x:c r="B91" s="66" t="str">
        <x:v>MKT_1001</x:v>
      </x:c>
      <x:c r="C91" s="66" t="n">
        <x:v>46167.506944444445</x:v>
      </x:c>
      <x:c r="D91" t="n">
        <x:v>225</x:v>
      </x:c>
      <x:c r="E91" t="str">
        <x:v>NO</x:v>
      </x:c>
      <x:c r="F91" s="74" t="n">
        <x:v>0.95</x:v>
      </x:c>
      <x:c r="G91" s="74" t="n">
        <x:v>0.95</x:v>
      </x:c>
      <x:c r="H91" s="74" t="n">
        <x:v>0.968</x:v>
      </x:c>
      <x:c r="I91" s="74" t="n">
        <x:f>IF(E91="YES",H91,1-H91)</x:f>
        <x:v>0.03200000000000003</x:v>
      </x:c>
      <x:c r="J91" s="76" t="n">
        <x:f>Assumptions!$C$12+Assumptions!$C$11*F91</x:f>
        <x:v>0.003</x:v>
      </x:c>
      <x:c r="K91" s="76" t="n">
        <x:f>I91-F91-J91</x:f>
        <x:v>-0.9209999999999999</x:v>
      </x:c>
      <x:c r="L91" s="74" t="n">
        <x:f>MAX(0,IFERROR(K91/(1-F91),0))</x:f>
        <x:v>0</x:v>
      </x:c>
      <x:c r="M91" s="74" t="n">
        <x:f>MIN(Assumptions!$C$8*L91,Assumptions!$C$5)</x:f>
        <x:v>0</x:v>
      </x:c>
      <x:c r="N91" s="78" t="n">
        <x:f>IF(ROW()=16,Assumptions!$C$4,V90)</x:f>
        <x:v>9989.879759377216</x:v>
      </x:c>
      <x:c r="O91" s="78" t="n">
        <x:f>IF(AND(K91&gt;IF(F91&gt;=Assumptions!$C$21,Assumptions!$C$10,Assumptions!$C$9),D91&gt;Assumptions!$C$23),N91*M91,0)</x:f>
        <x:v>0</x:v>
      </x:c>
      <x:c r="P91" s="78" t="n">
        <x:f>IFERROR(O91/F91,0)</x:f>
        <x:v>0</x:v>
      </x:c>
      <x:c r="Q91" s="78" t="n">
        <x:v>1</x:v>
      </x:c>
      <x:c r="R91" s="78" t="str">
        <x:v>Resolve</x:v>
      </x:c>
      <x:c r="S91" s="78" t="n">
        <x:f>IF(R91="Resolve",IF(IF(E91="YES",Q91,1-Q91)=1,P91*(1-F91),-O91),P91*(G91-F91))</x:f>
        <x:v>0</x:v>
      </x:c>
      <x:c r="T91" s="78" t="n">
        <x:f>P91*J91</x:f>
        <x:v>0</x:v>
      </x:c>
      <x:c r="U91" s="78" t="n">
        <x:f>S91-T91</x:f>
        <x:v>0</x:v>
      </x:c>
      <x:c r="V91" s="78" t="n">
        <x:f>N91+U91</x:f>
        <x:v>9989.879759377216</x:v>
      </x:c>
      <x:c r="W91" s="74" t="n">
        <x:f>IFERROR(V91/MAX($V$16:V91)-1,0)</x:f>
        <x:v>-0.006579211928386397</x:v>
      </x:c>
      <x:c r="X91" t="str">
        <x:f>IF(O91&gt;0,"TRADE","NO_TRADE")</x:f>
        <x:v>NO_TRADE</x:v>
      </x:c>
    </x:row>
    <x:row r="92">
      <x:c r="A92" s="66" t="n">
        <x:v>46167.50439814815</x:v>
      </x:c>
      <x:c r="B92" s="66" t="str">
        <x:v>MKT_1001</x:v>
      </x:c>
      <x:c r="C92" s="66" t="n">
        <x:v>46167.506944444445</x:v>
      </x:c>
      <x:c r="D92" t="n">
        <x:v>220</x:v>
      </x:c>
      <x:c r="E92" t="str">
        <x:v>YES</x:v>
      </x:c>
      <x:c r="F92" s="74" t="n">
        <x:v>0.57</x:v>
      </x:c>
      <x:c r="G92" s="74" t="n">
        <x:v>0.57</x:v>
      </x:c>
      <x:c r="H92" s="74" t="n">
        <x:v>0.582</x:v>
      </x:c>
      <x:c r="I92" s="74" t="n">
        <x:f>IF(E92="YES",H92,1-H92)</x:f>
        <x:v>0.582</x:v>
      </x:c>
      <x:c r="J92" s="76" t="n">
        <x:f>Assumptions!$C$12+Assumptions!$C$11*F92</x:f>
        <x:v>0.003</x:v>
      </x:c>
      <x:c r="K92" s="76" t="n">
        <x:f>I92-F92-J92</x:f>
        <x:v>0.009000000000000011</x:v>
      </x:c>
      <x:c r="L92" s="74" t="n">
        <x:f>MAX(0,IFERROR(K92/(1-F92),0))</x:f>
        <x:v>0.02093023255813956</x:v>
      </x:c>
      <x:c r="M92" s="74" t="n">
        <x:f>MIN(Assumptions!$C$8*L92,Assumptions!$C$5)</x:f>
        <x:v>0.005</x:v>
      </x:c>
      <x:c r="N92" s="78" t="n">
        <x:f>IF(ROW()=16,Assumptions!$C$4,V91)</x:f>
        <x:v>9989.879759377216</x:v>
      </x:c>
      <x:c r="O92" s="78" t="n">
        <x:f>IF(AND(K92&gt;IF(F92&gt;=Assumptions!$C$21,Assumptions!$C$10,Assumptions!$C$9),D92&gt;Assumptions!$C$23),N92*M92,0)</x:f>
        <x:v>49.94939879688608</x:v>
      </x:c>
      <x:c r="P92" s="78" t="n">
        <x:f>IFERROR(O92/F92,0)</x:f>
        <x:v>87.63052420506331</x:v>
      </x:c>
      <x:c r="Q92" s="78" t="n">
        <x:v>1</x:v>
      </x:c>
      <x:c r="R92" s="78" t="str">
        <x:v>Resolve</x:v>
      </x:c>
      <x:c r="S92" s="78" t="n">
        <x:f>IF(R92="Resolve",IF(IF(E92="YES",Q92,1-Q92)=1,P92*(1-F92),-O92),P92*(G92-F92))</x:f>
        <x:v>37.68112540817723</x:v>
      </x:c>
      <x:c r="T92" s="78" t="n">
        <x:f>P92*J92</x:f>
        <x:v>0.2628915726151899</x:v>
      </x:c>
      <x:c r="U92" s="78" t="n">
        <x:f>S92-T92</x:f>
        <x:v>37.41823383556204</x:v>
      </x:c>
      <x:c r="V92" s="78" t="n">
        <x:f>N92+U92</x:f>
        <x:v>10027.297993212778</x:v>
      </x:c>
      <x:c r="W92" s="74" t="n">
        <x:f>IFERROR(V92/MAX($V$16:V92)-1,0)</x:f>
        <x:v>-0.0028582410818375203</x:v>
      </x:c>
      <x:c r="X92" t="str">
        <x:f>IF(O92&gt;0,"TRADE","NO_TRADE")</x:f>
        <x:v>TRADE</x:v>
      </x:c>
    </x:row>
    <x:row r="93">
      <x:c r="A93" s="66" t="n">
        <x:v>46167.50445601852</x:v>
      </x:c>
      <x:c r="B93" s="66" t="str">
        <x:v>MKT_1001</x:v>
      </x:c>
      <x:c r="C93" s="66" t="n">
        <x:v>46167.506944444445</x:v>
      </x:c>
      <x:c r="D93" t="n">
        <x:v>215</x:v>
      </x:c>
      <x:c r="E93" t="str">
        <x:v>YES</x:v>
      </x:c>
      <x:c r="F93" s="74" t="n">
        <x:v>0.68</x:v>
      </x:c>
      <x:c r="G93" s="74" t="n">
        <x:v>0.68</x:v>
      </x:c>
      <x:c r="H93" s="74" t="n">
        <x:v>0.7050000000000001</x:v>
      </x:c>
      <x:c r="I93" s="74" t="n">
        <x:f>IF(E93="YES",H93,1-H93)</x:f>
        <x:v>0.7050000000000001</x:v>
      </x:c>
      <x:c r="J93" s="76" t="n">
        <x:f>Assumptions!$C$12+Assumptions!$C$11*F93</x:f>
        <x:v>0.003</x:v>
      </x:c>
      <x:c r="K93" s="76" t="n">
        <x:f>I93-F93-J93</x:f>
        <x:v>0.022000000000000023</x:v>
      </x:c>
      <x:c r="L93" s="74" t="n">
        <x:f>MAX(0,IFERROR(K93/(1-F93),0))</x:f>
        <x:v>0.06875000000000009</x:v>
      </x:c>
      <x:c r="M93" s="74" t="n">
        <x:f>MIN(Assumptions!$C$8*L93,Assumptions!$C$5)</x:f>
        <x:v>0.005</x:v>
      </x:c>
      <x:c r="N93" s="78" t="n">
        <x:f>IF(ROW()=16,Assumptions!$C$4,V92)</x:f>
        <x:v>10027.297993212778</x:v>
      </x:c>
      <x:c r="O93" s="78" t="n">
        <x:f>IF(AND(K93&gt;IF(F93&gt;=Assumptions!$C$21,Assumptions!$C$10,Assumptions!$C$9),D93&gt;Assumptions!$C$23),N93*M93,0)</x:f>
        <x:v>50.13648996606389</x:v>
      </x:c>
      <x:c r="P93" s="78" t="n">
        <x:f>IFERROR(O93/F93,0)</x:f>
        <x:v>73.73013230303513</x:v>
      </x:c>
      <x:c r="Q93" s="78" t="n">
        <x:v>0</x:v>
      </x:c>
      <x:c r="R93" s="78" t="str">
        <x:v>Resolve</x:v>
      </x:c>
      <x:c r="S93" s="78" t="n">
        <x:f>IF(R93="Resolve",IF(IF(E93="YES",Q93,1-Q93)=1,P93*(1-F93),-O93),P93*(G93-F93))</x:f>
        <x:v>-50.13648996606389</x:v>
      </x:c>
      <x:c r="T93" s="78" t="n">
        <x:f>P93*J93</x:f>
        <x:v>0.2211903969091054</x:v>
      </x:c>
      <x:c r="U93" s="78" t="n">
        <x:f>S93-T93</x:f>
        <x:v>-50.357680362973</x:v>
      </x:c>
      <x:c r="V93" s="78" t="n">
        <x:f>N93+U93</x:f>
        <x:v>9976.940312849805</x:v>
      </x:c>
      <x:c r="W93" s="74" t="n">
        <x:f>IFERROR(V93/MAX($V$16:V93)-1,0)</x:f>
        <x:v>-0.007865945650522121</x:v>
      </x:c>
      <x:c r="X93" t="str">
        <x:f>IF(O93&gt;0,"TRADE","NO_TRADE")</x:f>
        <x:v>TRADE</x:v>
      </x:c>
    </x:row>
    <x:row r="94">
      <x:c r="A94" s="66" t="n">
        <x:v>46167.50451388889</x:v>
      </x:c>
      <x:c r="B94" s="66" t="str">
        <x:v>MKT_1001</x:v>
      </x:c>
      <x:c r="C94" s="66" t="n">
        <x:v>46167.506944444445</x:v>
      </x:c>
      <x:c r="D94" t="n">
        <x:v>210</x:v>
      </x:c>
      <x:c r="E94" t="str">
        <x:v>NO</x:v>
      </x:c>
      <x:c r="F94" s="74" t="n">
        <x:v>0.91</x:v>
      </x:c>
      <x:c r="G94" s="74" t="n">
        <x:v>0.91</x:v>
      </x:c>
      <x:c r="H94" s="74" t="n">
        <x:v>0.9450000000000001</x:v>
      </x:c>
      <x:c r="I94" s="74" t="n">
        <x:f>IF(E94="YES",H94,1-H94)</x:f>
        <x:v>0.05499999999999994</x:v>
      </x:c>
      <x:c r="J94" s="76" t="n">
        <x:f>Assumptions!$C$12+Assumptions!$C$11*F94</x:f>
        <x:v>0.003</x:v>
      </x:c>
      <x:c r="K94" s="76" t="n">
        <x:f>I94-F94-J94</x:f>
        <x:v>-0.8580000000000001</x:v>
      </x:c>
      <x:c r="L94" s="74" t="n">
        <x:f>MAX(0,IFERROR(K94/(1-F94),0))</x:f>
        <x:v>0</x:v>
      </x:c>
      <x:c r="M94" s="74" t="n">
        <x:f>MIN(Assumptions!$C$8*L94,Assumptions!$C$5)</x:f>
        <x:v>0</x:v>
      </x:c>
      <x:c r="N94" s="78" t="n">
        <x:f>IF(ROW()=16,Assumptions!$C$4,V93)</x:f>
        <x:v>9976.940312849805</x:v>
      </x:c>
      <x:c r="O94" s="78" t="n">
        <x:f>IF(AND(K94&gt;IF(F94&gt;=Assumptions!$C$21,Assumptions!$C$10,Assumptions!$C$9),D94&gt;Assumptions!$C$23),N94*M94,0)</x:f>
        <x:v>0</x:v>
      </x:c>
      <x:c r="P94" s="78" t="n">
        <x:f>IFERROR(O94/F94,0)</x:f>
        <x:v>0</x:v>
      </x:c>
      <x:c r="Q94" s="78" t="n">
        <x:v>1</x:v>
      </x:c>
      <x:c r="R94" s="78" t="str">
        <x:v>Resolve</x:v>
      </x:c>
      <x:c r="S94" s="78" t="n">
        <x:f>IF(R94="Resolve",IF(IF(E94="YES",Q94,1-Q94)=1,P94*(1-F94),-O94),P94*(G94-F94))</x:f>
        <x:v>0</x:v>
      </x:c>
      <x:c r="T94" s="78" t="n">
        <x:f>P94*J94</x:f>
        <x:v>0</x:v>
      </x:c>
      <x:c r="U94" s="78" t="n">
        <x:f>S94-T94</x:f>
        <x:v>0</x:v>
      </x:c>
      <x:c r="V94" s="78" t="n">
        <x:f>N94+U94</x:f>
        <x:v>9976.940312849805</x:v>
      </x:c>
      <x:c r="W94" s="74" t="n">
        <x:f>IFERROR(V94/MAX($V$16:V94)-1,0)</x:f>
        <x:v>-0.007865945650522121</x:v>
      </x:c>
      <x:c r="X94" t="str">
        <x:f>IF(O94&gt;0,"TRADE","NO_TRADE")</x:f>
        <x:v>NO_TRADE</x:v>
      </x:c>
    </x:row>
    <x:row r="95">
      <x:c r="A95" s="66" t="n">
        <x:v>46167.50457175926</x:v>
      </x:c>
      <x:c r="B95" s="66" t="str">
        <x:v>MKT_1001</x:v>
      </x:c>
      <x:c r="C95" s="66" t="n">
        <x:v>46167.506944444445</x:v>
      </x:c>
      <x:c r="D95" t="n">
        <x:v>205</x:v>
      </x:c>
      <x:c r="E95" t="str">
        <x:v>YES</x:v>
      </x:c>
      <x:c r="F95" s="74" t="n">
        <x:v>0.83</x:v>
      </x:c>
      <x:c r="G95" s="74" t="n">
        <x:v>0.83</x:v>
      </x:c>
      <x:c r="H95" s="74" t="n">
        <x:v>0.82</x:v>
      </x:c>
      <x:c r="I95" s="74" t="n">
        <x:f>IF(E95="YES",H95,1-H95)</x:f>
        <x:v>0.82</x:v>
      </x:c>
      <x:c r="J95" s="76" t="n">
        <x:f>Assumptions!$C$12+Assumptions!$C$11*F95</x:f>
        <x:v>0.003</x:v>
      </x:c>
      <x:c r="K95" s="76" t="n">
        <x:f>I95-F95-J95</x:f>
        <x:v>-0.013000000000000008</x:v>
      </x:c>
      <x:c r="L95" s="74" t="n">
        <x:f>MAX(0,IFERROR(K95/(1-F95),0))</x:f>
        <x:v>0</x:v>
      </x:c>
      <x:c r="M95" s="74" t="n">
        <x:f>MIN(Assumptions!$C$8*L95,Assumptions!$C$5)</x:f>
        <x:v>0</x:v>
      </x:c>
      <x:c r="N95" s="78" t="n">
        <x:f>IF(ROW()=16,Assumptions!$C$4,V94)</x:f>
        <x:v>9976.940312849805</x:v>
      </x:c>
      <x:c r="O95" s="78" t="n">
        <x:f>IF(AND(K95&gt;IF(F95&gt;=Assumptions!$C$21,Assumptions!$C$10,Assumptions!$C$9),D95&gt;Assumptions!$C$23),N95*M95,0)</x:f>
        <x:v>0</x:v>
      </x:c>
      <x:c r="P95" s="78" t="n">
        <x:f>IFERROR(O95/F95,0)</x:f>
        <x:v>0</x:v>
      </x:c>
      <x:c r="Q95" s="78" t="n">
        <x:v>1</x:v>
      </x:c>
      <x:c r="R95" s="78" t="str">
        <x:v>Resolve</x:v>
      </x:c>
      <x:c r="S95" s="78" t="n">
        <x:f>IF(R95="Resolve",IF(IF(E95="YES",Q95,1-Q95)=1,P95*(1-F95),-O95),P95*(G95-F95))</x:f>
        <x:v>0</x:v>
      </x:c>
      <x:c r="T95" s="78" t="n">
        <x:f>P95*J95</x:f>
        <x:v>0</x:v>
      </x:c>
      <x:c r="U95" s="78" t="n">
        <x:f>S95-T95</x:f>
        <x:v>0</x:v>
      </x:c>
      <x:c r="V95" s="78" t="n">
        <x:f>N95+U95</x:f>
        <x:v>9976.940312849805</x:v>
      </x:c>
      <x:c r="W95" s="74" t="n">
        <x:f>IFERROR(V95/MAX($V$16:V95)-1,0)</x:f>
        <x:v>-0.007865945650522121</x:v>
      </x:c>
      <x:c r="X95" t="str">
        <x:f>IF(O95&gt;0,"TRADE","NO_TRADE")</x:f>
        <x:v>NO_TRADE</x:v>
      </x:c>
    </x:row>
    <x:row r="96">
      <x:c r="A96" s="66" t="n">
        <x:v>46167.50462962963</x:v>
      </x:c>
      <x:c r="B96" s="66" t="str">
        <x:v>MKT_1001</x:v>
      </x:c>
      <x:c r="C96" s="66" t="n">
        <x:v>46167.506944444445</x:v>
      </x:c>
      <x:c r="D96" t="n">
        <x:v>200</x:v>
      </x:c>
      <x:c r="E96" t="str">
        <x:v>YES</x:v>
      </x:c>
      <x:c r="F96" s="74" t="n">
        <x:v>0.52</x:v>
      </x:c>
      <x:c r="G96" s="74" t="n">
        <x:v>0.52</x:v>
      </x:c>
      <x:c r="H96" s="74" t="n">
        <x:v>0.535</x:v>
      </x:c>
      <x:c r="I96" s="74" t="n">
        <x:f>IF(E96="YES",H96,1-H96)</x:f>
        <x:v>0.535</x:v>
      </x:c>
      <x:c r="J96" s="76" t="n">
        <x:f>Assumptions!$C$12+Assumptions!$C$11*F96</x:f>
        <x:v>0.003</x:v>
      </x:c>
      <x:c r="K96" s="76" t="n">
        <x:f>I96-F96-J96</x:f>
        <x:v>0.012000000000000014</x:v>
      </x:c>
      <x:c r="L96" s="74" t="n">
        <x:f>MAX(0,IFERROR(K96/(1-F96),0))</x:f>
        <x:v>0.02500000000000003</x:v>
      </x:c>
      <x:c r="M96" s="74" t="n">
        <x:f>MIN(Assumptions!$C$8*L96,Assumptions!$C$5)</x:f>
        <x:v>0.005</x:v>
      </x:c>
      <x:c r="N96" s="78" t="n">
        <x:f>IF(ROW()=16,Assumptions!$C$4,V95)</x:f>
        <x:v>9976.940312849805</x:v>
      </x:c>
      <x:c r="O96" s="78" t="n">
        <x:f>IF(AND(K96&gt;IF(F96&gt;=Assumptions!$C$21,Assumptions!$C$10,Assumptions!$C$9),D96&gt;Assumptions!$C$23),N96*M96,0)</x:f>
        <x:v>49.88470156424903</x:v>
      </x:c>
      <x:c r="P96" s="78" t="n">
        <x:f>IFERROR(O96/F96,0)</x:f>
        <x:v>95.93211839278659</x:v>
      </x:c>
      <x:c r="Q96" s="78" t="n">
        <x:v>0</x:v>
      </x:c>
      <x:c r="R96" s="78" t="str">
        <x:v>Resolve</x:v>
      </x:c>
      <x:c r="S96" s="78" t="n">
        <x:f>IF(R96="Resolve",IF(IF(E96="YES",Q96,1-Q96)=1,P96*(1-F96),-O96),P96*(G96-F96))</x:f>
        <x:v>-49.88470156424903</x:v>
      </x:c>
      <x:c r="T96" s="78" t="n">
        <x:f>P96*J96</x:f>
        <x:v>0.2877963551783598</x:v>
      </x:c>
      <x:c r="U96" s="78" t="n">
        <x:f>S96-T96</x:f>
        <x:v>-50.172497919427386</x:v>
      </x:c>
      <x:c r="V96" s="78" t="n">
        <x:f>N96+U96</x:f>
        <x:v>9926.767814930377</x:v>
      </x:c>
      <x:c r="W96" s="74" t="n">
        <x:f>IFERROR(V96/MAX($V$16:V96)-1,0)</x:f>
        <x:v>-0.012855235173837243</x:v>
      </x:c>
      <x:c r="X96" t="str">
        <x:f>IF(O96&gt;0,"TRADE","NO_TRADE")</x:f>
        <x:v>TRADE</x:v>
      </x:c>
    </x:row>
    <x:row r="97">
      <x:c r="A97" s="66" t="n">
        <x:v>46167.5046875</x:v>
      </x:c>
      <x:c r="B97" s="66" t="str">
        <x:v>MKT_1001</x:v>
      </x:c>
      <x:c r="C97" s="66" t="n">
        <x:v>46167.506944444445</x:v>
      </x:c>
      <x:c r="D97" t="n">
        <x:v>195</x:v>
      </x:c>
      <x:c r="E97" t="str">
        <x:v>NO</x:v>
      </x:c>
      <x:c r="F97" s="74" t="n">
        <x:v>0.61</x:v>
      </x:c>
      <x:c r="G97" s="74" t="n">
        <x:v>0.61</x:v>
      </x:c>
      <x:c r="H97" s="74" t="n">
        <x:v>0.63</x:v>
      </x:c>
      <x:c r="I97" s="74" t="n">
        <x:f>IF(E97="YES",H97,1-H97)</x:f>
        <x:v>0.37</x:v>
      </x:c>
      <x:c r="J97" s="76" t="n">
        <x:f>Assumptions!$C$12+Assumptions!$C$11*F97</x:f>
        <x:v>0.003</x:v>
      </x:c>
      <x:c r="K97" s="76" t="n">
        <x:f>I97-F97-J97</x:f>
        <x:v>-0.243</x:v>
      </x:c>
      <x:c r="L97" s="74" t="n">
        <x:f>MAX(0,IFERROR(K97/(1-F97),0))</x:f>
        <x:v>0</x:v>
      </x:c>
      <x:c r="M97" s="74" t="n">
        <x:f>MIN(Assumptions!$C$8*L97,Assumptions!$C$5)</x:f>
        <x:v>0</x:v>
      </x:c>
      <x:c r="N97" s="78" t="n">
        <x:f>IF(ROW()=16,Assumptions!$C$4,V96)</x:f>
        <x:v>9926.767814930377</x:v>
      </x:c>
      <x:c r="O97" s="78" t="n">
        <x:f>IF(AND(K97&gt;IF(F97&gt;=Assumptions!$C$21,Assumptions!$C$10,Assumptions!$C$9),D97&gt;Assumptions!$C$23),N97*M97,0)</x:f>
        <x:v>0</x:v>
      </x:c>
      <x:c r="P97" s="78" t="n">
        <x:f>IFERROR(O97/F97,0)</x:f>
        <x:v>0</x:v>
      </x:c>
      <x:c r="Q97" s="78" t="n">
        <x:v>1</x:v>
      </x:c>
      <x:c r="R97" s="78" t="str">
        <x:v>Resolve</x:v>
      </x:c>
      <x:c r="S97" s="78" t="n">
        <x:f>IF(R97="Resolve",IF(IF(E97="YES",Q97,1-Q97)=1,P97*(1-F97),-O97),P97*(G97-F97))</x:f>
        <x:v>0</x:v>
      </x:c>
      <x:c r="T97" s="78" t="n">
        <x:f>P97*J97</x:f>
        <x:v>0</x:v>
      </x:c>
      <x:c r="U97" s="78" t="n">
        <x:f>S97-T97</x:f>
        <x:v>0</x:v>
      </x:c>
      <x:c r="V97" s="78" t="n">
        <x:f>N97+U97</x:f>
        <x:v>9926.767814930377</x:v>
      </x:c>
      <x:c r="W97" s="74" t="n">
        <x:f>IFERROR(V97/MAX($V$16:V97)-1,0)</x:f>
        <x:v>-0.012855235173837243</x:v>
      </x:c>
      <x:c r="X97" t="str">
        <x:f>IF(O97&gt;0,"TRADE","NO_TRADE")</x:f>
        <x:v>NO_TRADE</x:v>
      </x:c>
    </x:row>
    <x:row r="98">
      <x:c r="A98" s="66" t="n">
        <x:v>46167.504745370374</x:v>
      </x:c>
      <x:c r="B98" s="66" t="str">
        <x:v>MKT_1001</x:v>
      </x:c>
      <x:c r="C98" s="66" t="n">
        <x:v>46167.506944444445</x:v>
      </x:c>
      <x:c r="D98" t="n">
        <x:v>190</x:v>
      </x:c>
      <x:c r="E98" t="str">
        <x:v>YES</x:v>
      </x:c>
      <x:c r="F98" s="74" t="n">
        <x:v>0.74</x:v>
      </x:c>
      <x:c r="G98" s="74" t="n">
        <x:v>0.74</x:v>
      </x:c>
      <x:c r="H98" s="74" t="n">
        <x:v>0.735</x:v>
      </x:c>
      <x:c r="I98" s="74" t="n">
        <x:f>IF(E98="YES",H98,1-H98)</x:f>
        <x:v>0.735</x:v>
      </x:c>
      <x:c r="J98" s="76" t="n">
        <x:f>Assumptions!$C$12+Assumptions!$C$11*F98</x:f>
        <x:v>0.003</x:v>
      </x:c>
      <x:c r="K98" s="76" t="n">
        <x:f>I98-F98-J98</x:f>
        <x:v>-0.008000000000000004</x:v>
      </x:c>
      <x:c r="L98" s="74" t="n">
        <x:f>MAX(0,IFERROR(K98/(1-F98),0))</x:f>
        <x:v>0</x:v>
      </x:c>
      <x:c r="M98" s="74" t="n">
        <x:f>MIN(Assumptions!$C$8*L98,Assumptions!$C$5)</x:f>
        <x:v>0</x:v>
      </x:c>
      <x:c r="N98" s="78" t="n">
        <x:f>IF(ROW()=16,Assumptions!$C$4,V97)</x:f>
        <x:v>9926.767814930377</x:v>
      </x:c>
      <x:c r="O98" s="78" t="n">
        <x:f>IF(AND(K98&gt;IF(F98&gt;=Assumptions!$C$21,Assumptions!$C$10,Assumptions!$C$9),D98&gt;Assumptions!$C$23),N98*M98,0)</x:f>
        <x:v>0</x:v>
      </x:c>
      <x:c r="P98" s="78" t="n">
        <x:f>IFERROR(O98/F98,0)</x:f>
        <x:v>0</x:v>
      </x:c>
      <x:c r="Q98" s="78" t="n">
        <x:v>1</x:v>
      </x:c>
      <x:c r="R98" s="78" t="str">
        <x:v>Resolve</x:v>
      </x:c>
      <x:c r="S98" s="78" t="n">
        <x:f>IF(R98="Resolve",IF(IF(E98="YES",Q98,1-Q98)=1,P98*(1-F98),-O98),P98*(G98-F98))</x:f>
        <x:v>0</x:v>
      </x:c>
      <x:c r="T98" s="78" t="n">
        <x:f>P98*J98</x:f>
        <x:v>0</x:v>
      </x:c>
      <x:c r="U98" s="78" t="n">
        <x:f>S98-T98</x:f>
        <x:v>0</x:v>
      </x:c>
      <x:c r="V98" s="78" t="n">
        <x:f>N98+U98</x:f>
        <x:v>9926.767814930377</x:v>
      </x:c>
      <x:c r="W98" s="74" t="n">
        <x:f>IFERROR(V98/MAX($V$16:V98)-1,0)</x:f>
        <x:v>-0.012855235173837243</x:v>
      </x:c>
      <x:c r="X98" t="str">
        <x:f>IF(O98&gt;0,"TRADE","NO_TRADE")</x:f>
        <x:v>NO_TRADE</x:v>
      </x:c>
    </x:row>
    <x:row r="99">
      <x:c r="A99" s="66" t="n">
        <x:v>46167.50480324074</x:v>
      </x:c>
      <x:c r="B99" s="66" t="str">
        <x:v>MKT_1001</x:v>
      </x:c>
      <x:c r="C99" s="66" t="n">
        <x:v>46167.506944444445</x:v>
      </x:c>
      <x:c r="D99" t="n">
        <x:v>185</x:v>
      </x:c>
      <x:c r="E99" t="str">
        <x:v>YES</x:v>
      </x:c>
      <x:c r="F99" s="74" t="n">
        <x:v>0.88</x:v>
      </x:c>
      <x:c r="G99" s="74" t="n">
        <x:v>0.88</x:v>
      </x:c>
      <x:c r="H99" s="74" t="n">
        <x:v>0.91</x:v>
      </x:c>
      <x:c r="I99" s="74" t="n">
        <x:f>IF(E99="YES",H99,1-H99)</x:f>
        <x:v>0.91</x:v>
      </x:c>
      <x:c r="J99" s="76" t="n">
        <x:f>Assumptions!$C$12+Assumptions!$C$11*F99</x:f>
        <x:v>0.003</x:v>
      </x:c>
      <x:c r="K99" s="76" t="n">
        <x:f>I99-F99-J99</x:f>
        <x:v>0.027000000000000027</x:v>
      </x:c>
      <x:c r="L99" s="74" t="n">
        <x:f>MAX(0,IFERROR(K99/(1-F99),0))</x:f>
        <x:v>0.22500000000000023</x:v>
      </x:c>
      <x:c r="M99" s="74" t="n">
        <x:f>MIN(Assumptions!$C$8*L99,Assumptions!$C$5)</x:f>
        <x:v>0.005</x:v>
      </x:c>
      <x:c r="N99" s="78" t="n">
        <x:f>IF(ROW()=16,Assumptions!$C$4,V98)</x:f>
        <x:v>9926.767814930377</x:v>
      </x:c>
      <x:c r="O99" s="78" t="n">
        <x:f>IF(AND(K99&gt;IF(F99&gt;=Assumptions!$C$21,Assumptions!$C$10,Assumptions!$C$9),D99&gt;Assumptions!$C$23),N99*M99,0)</x:f>
        <x:v>49.63383907465189</x:v>
      </x:c>
      <x:c r="P99" s="78" t="n">
        <x:f>IFERROR(O99/F99,0)</x:f>
        <x:v>56.40208985755896</x:v>
      </x:c>
      <x:c r="Q99" s="78" t="n">
        <x:v>1</x:v>
      </x:c>
      <x:c r="R99" s="78" t="str">
        <x:v>Resolve</x:v>
      </x:c>
      <x:c r="S99" s="78" t="n">
        <x:f>IF(R99="Resolve",IF(IF(E99="YES",Q99,1-Q99)=1,P99*(1-F99),-O99),P99*(G99-F99))</x:f>
        <x:v>6.768250782907075</x:v>
      </x:c>
      <x:c r="T99" s="78" t="n">
        <x:f>P99*J99</x:f>
        <x:v>0.1692062695726769</x:v>
      </x:c>
      <x:c r="U99" s="78" t="n">
        <x:f>S99-T99</x:f>
        <x:v>6.599044513334398</x:v>
      </x:c>
      <x:c r="V99" s="78" t="n">
        <x:f>N99+U99</x:f>
        <x:v>9933.366859443711</x:v>
      </x:c>
      <x:c r="W99" s="74" t="n">
        <x:f>IFERROR(V99/MAX($V$16:V99)-1,0)</x:f>
        <x:v>-0.012199008256310817</x:v>
      </x:c>
      <x:c r="X99" t="str">
        <x:f>IF(O99&gt;0,"TRADE","NO_TRADE")</x:f>
        <x:v>TRADE</x:v>
      </x:c>
    </x:row>
    <x:row r="100">
      <x:c r="A100" s="66" t="n">
        <x:v>46167.50486111111</x:v>
      </x:c>
      <x:c r="B100" s="66" t="str">
        <x:v>MKT_1001</x:v>
      </x:c>
      <x:c r="C100" s="66" t="n">
        <x:v>46167.506944444445</x:v>
      </x:c>
      <x:c r="D100" t="n">
        <x:v>180</x:v>
      </x:c>
      <x:c r="E100" t="str">
        <x:v>NO</x:v>
      </x:c>
      <x:c r="F100" s="74" t="n">
        <x:v>0.94</x:v>
      </x:c>
      <x:c r="G100" s="74" t="n">
        <x:v>0.94</x:v>
      </x:c>
      <x:c r="H100" s="74" t="n">
        <x:v>0.98</x:v>
      </x:c>
      <x:c r="I100" s="74" t="n">
        <x:f>IF(E100="YES",H100,1-H100)</x:f>
        <x:v>0.020000000000000018</x:v>
      </x:c>
      <x:c r="J100" s="76" t="n">
        <x:f>Assumptions!$C$12+Assumptions!$C$11*F100</x:f>
        <x:v>0.003</x:v>
      </x:c>
      <x:c r="K100" s="76" t="n">
        <x:f>I100-F100-J100</x:f>
        <x:v>-0.9229999999999999</x:v>
      </x:c>
      <x:c r="L100" s="74" t="n">
        <x:f>MAX(0,IFERROR(K100/(1-F100),0))</x:f>
        <x:v>0</x:v>
      </x:c>
      <x:c r="M100" s="74" t="n">
        <x:f>MIN(Assumptions!$C$8*L100,Assumptions!$C$5)</x:f>
        <x:v>0</x:v>
      </x:c>
      <x:c r="N100" s="78" t="n">
        <x:f>IF(ROW()=16,Assumptions!$C$4,V99)</x:f>
        <x:v>9933.366859443711</x:v>
      </x:c>
      <x:c r="O100" s="78" t="n">
        <x:f>IF(AND(K100&gt;IF(F100&gt;=Assumptions!$C$21,Assumptions!$C$10,Assumptions!$C$9),D100&gt;Assumptions!$C$23),N100*M100,0)</x:f>
        <x:v>0</x:v>
      </x:c>
      <x:c r="P100" s="78" t="n">
        <x:f>IFERROR(O100/F100,0)</x:f>
        <x:v>0</x:v>
      </x:c>
      <x:c r="Q100" s="78" t="n">
        <x:v>0</x:v>
      </x:c>
      <x:c r="R100" s="78" t="str">
        <x:v>Resolve</x:v>
      </x:c>
      <x:c r="S100" s="78" t="n">
        <x:f>IF(R100="Resolve",IF(IF(E100="YES",Q100,1-Q100)=1,P100*(1-F100),-O100),P100*(G100-F100))</x:f>
        <x:v>0</x:v>
      </x:c>
      <x:c r="T100" s="78" t="n">
        <x:f>P100*J100</x:f>
        <x:v>0</x:v>
      </x:c>
      <x:c r="U100" s="78" t="n">
        <x:f>S100-T100</x:f>
        <x:v>0</x:v>
      </x:c>
      <x:c r="V100" s="78" t="n">
        <x:f>N100+U100</x:f>
        <x:v>9933.366859443711</x:v>
      </x:c>
      <x:c r="W100" s="74" t="n">
        <x:f>IFERROR(V100/MAX($V$16:V100)-1,0)</x:f>
        <x:v>-0.012199008256310817</x:v>
      </x:c>
      <x:c r="X100" t="str">
        <x:f>IF(O100&gt;0,"TRADE","NO_TRADE")</x:f>
        <x:v>NO_TRADE</x:v>
      </x:c>
    </x:row>
    <x:row r="101">
      <x:c r="A101" s="66" t="n">
        <x:v>46167.50491898148</x:v>
      </x:c>
      <x:c r="B101" s="66" t="str">
        <x:v>MKT_1001</x:v>
      </x:c>
      <x:c r="C101" s="66" t="n">
        <x:v>46167.506944444445</x:v>
      </x:c>
      <x:c r="D101" t="n">
        <x:v>175</x:v>
      </x:c>
      <x:c r="E101" t="str">
        <x:v>YES</x:v>
      </x:c>
      <x:c r="F101" s="74" t="n">
        <x:v>0.95</x:v>
      </x:c>
      <x:c r="G101" s="74" t="n">
        <x:v>0.95</x:v>
      </x:c>
      <x:c r="H101" s="74" t="n">
        <x:v>0.968</x:v>
      </x:c>
      <x:c r="I101" s="74" t="n">
        <x:f>IF(E101="YES",H101,1-H101)</x:f>
        <x:v>0.968</x:v>
      </x:c>
      <x:c r="J101" s="76" t="n">
        <x:f>Assumptions!$C$12+Assumptions!$C$11*F101</x:f>
        <x:v>0.003</x:v>
      </x:c>
      <x:c r="K101" s="76" t="n">
        <x:f>I101-F101-J101</x:f>
        <x:v>0.015000000000000017</x:v>
      </x:c>
      <x:c r="L101" s="74" t="n">
        <x:f>MAX(0,IFERROR(K101/(1-F101),0))</x:f>
        <x:v>0.30000000000000004</x:v>
      </x:c>
      <x:c r="M101" s="74" t="n">
        <x:f>MIN(Assumptions!$C$8*L101,Assumptions!$C$5)</x:f>
        <x:v>0.005</x:v>
      </x:c>
      <x:c r="N101" s="78" t="n">
        <x:f>IF(ROW()=16,Assumptions!$C$4,V100)</x:f>
        <x:v>9933.366859443711</x:v>
      </x:c>
      <x:c r="O101" s="78" t="n">
        <x:f>IF(AND(K101&gt;IF(F101&gt;=Assumptions!$C$21,Assumptions!$C$10,Assumptions!$C$9),D101&gt;Assumptions!$C$23),N101*M101,0)</x:f>
        <x:v>49.66683429721856</x:v>
      </x:c>
      <x:c r="P101" s="78" t="n">
        <x:f>IFERROR(O101/F101,0)</x:f>
        <x:v>52.280878207598484</x:v>
      </x:c>
      <x:c r="Q101" s="78" t="n">
        <x:v>1</x:v>
      </x:c>
      <x:c r="R101" s="78" t="str">
        <x:v>Resolve</x:v>
      </x:c>
      <x:c r="S101" s="78" t="n">
        <x:f>IF(R101="Resolve",IF(IF(E101="YES",Q101,1-Q101)=1,P101*(1-F101),-O101),P101*(G101-F101))</x:f>
        <x:v>2.6140439103799267</x:v>
      </x:c>
      <x:c r="T101" s="78" t="n">
        <x:f>P101*J101</x:f>
        <x:v>0.15684263462279546</x:v>
      </x:c>
      <x:c r="U101" s="78" t="n">
        <x:f>S101-T101</x:f>
        <x:v>2.4572012757571313</x:v>
      </x:c>
      <x:c r="V101" s="78" t="n">
        <x:f>N101+U101</x:f>
        <x:v>9935.824060719468</x:v>
      </x:c>
      <x:c r="W101" s="74" t="n">
        <x:f>IFERROR(V101/MAX($V$16:V101)-1,0)</x:f>
        <x:v>-0.011954657484669062</x:v>
      </x:c>
      <x:c r="X101" t="str">
        <x:f>IF(O101&gt;0,"TRADE","NO_TRADE")</x:f>
        <x:v>TRADE</x:v>
      </x:c>
    </x:row>
    <x:row r="102">
      <x:c r="A102" s="66" t="n">
        <x:v>46167.50497685185</x:v>
      </x:c>
      <x:c r="B102" s="66" t="str">
        <x:v>MKT_1001</x:v>
      </x:c>
      <x:c r="C102" s="66" t="n">
        <x:v>46167.506944444445</x:v>
      </x:c>
      <x:c r="D102" t="n">
        <x:v>170</x:v>
      </x:c>
      <x:c r="E102" t="str">
        <x:v>YES</x:v>
      </x:c>
      <x:c r="F102" s="74" t="n">
        <x:v>0.57</x:v>
      </x:c>
      <x:c r="G102" s="74" t="n">
        <x:v>0.57</x:v>
      </x:c>
      <x:c r="H102" s="74" t="n">
        <x:v>0.582</x:v>
      </x:c>
      <x:c r="I102" s="74" t="n">
        <x:f>IF(E102="YES",H102,1-H102)</x:f>
        <x:v>0.582</x:v>
      </x:c>
      <x:c r="J102" s="76" t="n">
        <x:f>Assumptions!$C$12+Assumptions!$C$11*F102</x:f>
        <x:v>0.003</x:v>
      </x:c>
      <x:c r="K102" s="76" t="n">
        <x:f>I102-F102-J102</x:f>
        <x:v>0.009000000000000011</x:v>
      </x:c>
      <x:c r="L102" s="74" t="n">
        <x:f>MAX(0,IFERROR(K102/(1-F102),0))</x:f>
        <x:v>0.02093023255813956</x:v>
      </x:c>
      <x:c r="M102" s="74" t="n">
        <x:f>MIN(Assumptions!$C$8*L102,Assumptions!$C$5)</x:f>
        <x:v>0.005</x:v>
      </x:c>
      <x:c r="N102" s="78" t="n">
        <x:f>IF(ROW()=16,Assumptions!$C$4,V101)</x:f>
        <x:v>9935.824060719468</x:v>
      </x:c>
      <x:c r="O102" s="78" t="n">
        <x:f>IF(AND(K102&gt;IF(F102&gt;=Assumptions!$C$21,Assumptions!$C$10,Assumptions!$C$9),D102&gt;Assumptions!$C$23),N102*M102,0)</x:f>
        <x:v>49.67912030359734</x:v>
      </x:c>
      <x:c r="P102" s="78" t="n">
        <x:f>IFERROR(O102/F102,0)</x:f>
        <x:v>87.15635140981989</x:v>
      </x:c>
      <x:c r="Q102" s="78" t="n">
        <x:v>1</x:v>
      </x:c>
      <x:c r="R102" s="78" t="str">
        <x:v>Resolve</x:v>
      </x:c>
      <x:c r="S102" s="78" t="n">
        <x:f>IF(R102="Resolve",IF(IF(E102="YES",Q102,1-Q102)=1,P102*(1-F102),-O102),P102*(G102-F102))</x:f>
        <x:v>37.477231106222554</x:v>
      </x:c>
      <x:c r="T102" s="78" t="n">
        <x:f>P102*J102</x:f>
        <x:v>0.26146905422945965</x:v>
      </x:c>
      <x:c r="U102" s="78" t="n">
        <x:f>S102-T102</x:f>
        <x:v>37.215762051993096</x:v>
      </x:c>
      <x:c r="V102" s="78" t="n">
        <x:f>N102+U102</x:f>
        <x:v>9973.039822771461</x:v>
      </x:c>
      <x:c r="W102" s="74" t="n">
        <x:f>IFERROR(V102/MAX($V$16:V102)-1,0)</x:f>
        <x:v>-0.00825382098244054</x:v>
      </x:c>
      <x:c r="X102" t="str">
        <x:f>IF(O102&gt;0,"TRADE","NO_TRADE")</x:f>
        <x:v>TRADE</x:v>
      </x:c>
    </x:row>
    <x:row r="103">
      <x:c r="A103" s="66" t="n">
        <x:v>46167.50503472222</x:v>
      </x:c>
      <x:c r="B103" s="66" t="str">
        <x:v>MKT_1001</x:v>
      </x:c>
      <x:c r="C103" s="66" t="n">
        <x:v>46167.506944444445</x:v>
      </x:c>
      <x:c r="D103" t="n">
        <x:v>165</x:v>
      </x:c>
      <x:c r="E103" t="str">
        <x:v>NO</x:v>
      </x:c>
      <x:c r="F103" s="74" t="n">
        <x:v>0.68</x:v>
      </x:c>
      <x:c r="G103" s="74" t="n">
        <x:v>0.68</x:v>
      </x:c>
      <x:c r="H103" s="74" t="n">
        <x:v>0.7050000000000001</x:v>
      </x:c>
      <x:c r="I103" s="74" t="n">
        <x:f>IF(E103="YES",H103,1-H103)</x:f>
        <x:v>0.29499999999999993</x:v>
      </x:c>
      <x:c r="J103" s="76" t="n">
        <x:f>Assumptions!$C$12+Assumptions!$C$11*F103</x:f>
        <x:v>0.003</x:v>
      </x:c>
      <x:c r="K103" s="76" t="n">
        <x:f>I103-F103-J103</x:f>
        <x:v>-0.3880000000000001</x:v>
      </x:c>
      <x:c r="L103" s="74" t="n">
        <x:f>MAX(0,IFERROR(K103/(1-F103),0))</x:f>
        <x:v>0</x:v>
      </x:c>
      <x:c r="M103" s="74" t="n">
        <x:f>MIN(Assumptions!$C$8*L103,Assumptions!$C$5)</x:f>
        <x:v>0</x:v>
      </x:c>
      <x:c r="N103" s="78" t="n">
        <x:f>IF(ROW()=16,Assumptions!$C$4,V102)</x:f>
        <x:v>9973.039822771461</x:v>
      </x:c>
      <x:c r="O103" s="78" t="n">
        <x:f>IF(AND(K103&gt;IF(F103&gt;=Assumptions!$C$21,Assumptions!$C$10,Assumptions!$C$9),D103&gt;Assumptions!$C$23),N103*M103,0)</x:f>
        <x:v>0</x:v>
      </x:c>
      <x:c r="P103" s="78" t="n">
        <x:f>IFERROR(O103/F103,0)</x:f>
        <x:v>0</x:v>
      </x:c>
      <x:c r="Q103" s="78" t="n">
        <x:v>0</x:v>
      </x:c>
      <x:c r="R103" s="78" t="str">
        <x:v>Resolve</x:v>
      </x:c>
      <x:c r="S103" s="78" t="n">
        <x:f>IF(R103="Resolve",IF(IF(E103="YES",Q103,1-Q103)=1,P103*(1-F103),-O103),P103*(G103-F103))</x:f>
        <x:v>0</x:v>
      </x:c>
      <x:c r="T103" s="78" t="n">
        <x:f>P103*J103</x:f>
        <x:v>0</x:v>
      </x:c>
      <x:c r="U103" s="78" t="n">
        <x:f>S103-T103</x:f>
        <x:v>0</x:v>
      </x:c>
      <x:c r="V103" s="78" t="n">
        <x:f>N103+U103</x:f>
        <x:v>9973.039822771461</x:v>
      </x:c>
      <x:c r="W103" s="74" t="n">
        <x:f>IFERROR(V103/MAX($V$16:V103)-1,0)</x:f>
        <x:v>-0.00825382098244054</x:v>
      </x:c>
      <x:c r="X103" t="str">
        <x:f>IF(O103&gt;0,"TRADE","NO_TRADE")</x:f>
        <x:v>NO_TRADE</x:v>
      </x:c>
    </x:row>
    <x:row r="104">
      <x:c r="A104" s="66" t="n">
        <x:v>46167.50509259259</x:v>
      </x:c>
      <x:c r="B104" s="66" t="str">
        <x:v>MKT_1001</x:v>
      </x:c>
      <x:c r="C104" s="66" t="n">
        <x:v>46167.506944444445</x:v>
      </x:c>
      <x:c r="D104" t="n">
        <x:v>160</x:v>
      </x:c>
      <x:c r="E104" t="str">
        <x:v>YES</x:v>
      </x:c>
      <x:c r="F104" s="74" t="n">
        <x:v>0.91</x:v>
      </x:c>
      <x:c r="G104" s="74" t="n">
        <x:v>0.91</x:v>
      </x:c>
      <x:c r="H104" s="74" t="n">
        <x:v>0.9450000000000001</x:v>
      </x:c>
      <x:c r="I104" s="74" t="n">
        <x:f>IF(E104="YES",H104,1-H104)</x:f>
        <x:v>0.9450000000000001</x:v>
      </x:c>
      <x:c r="J104" s="76" t="n">
        <x:f>Assumptions!$C$12+Assumptions!$C$11*F104</x:f>
        <x:v>0.003</x:v>
      </x:c>
      <x:c r="K104" s="76" t="n">
        <x:f>I104-F104-J104</x:f>
        <x:v>0.03200000000000003</x:v>
      </x:c>
      <x:c r="L104" s="74" t="n">
        <x:f>MAX(0,IFERROR(K104/(1-F104),0))</x:f>
        <x:v>0.355555555555556</x:v>
      </x:c>
      <x:c r="M104" s="74" t="n">
        <x:f>MIN(Assumptions!$C$8*L104,Assumptions!$C$5)</x:f>
        <x:v>0.005</x:v>
      </x:c>
      <x:c r="N104" s="78" t="n">
        <x:f>IF(ROW()=16,Assumptions!$C$4,V103)</x:f>
        <x:v>9973.039822771461</x:v>
      </x:c>
      <x:c r="O104" s="78" t="n">
        <x:f>IF(AND(K104&gt;IF(F104&gt;=Assumptions!$C$21,Assumptions!$C$10,Assumptions!$C$9),D104&gt;Assumptions!$C$23),N104*M104,0)</x:f>
        <x:v>49.86519911385731</x:v>
      </x:c>
      <x:c r="P104" s="78" t="n">
        <x:f>IFERROR(O104/F104,0)</x:f>
        <x:v>54.7969221031399</x:v>
      </x:c>
      <x:c r="Q104" s="78" t="n">
        <x:v>1</x:v>
      </x:c>
      <x:c r="R104" s="78" t="str">
        <x:v>Resolve</x:v>
      </x:c>
      <x:c r="S104" s="78" t="n">
        <x:f>IF(R104="Resolve",IF(IF(E104="YES",Q104,1-Q104)=1,P104*(1-F104),-O104),P104*(G104-F104))</x:f>
        <x:v>4.931722989282589</x:v>
      </x:c>
      <x:c r="T104" s="78" t="n">
        <x:f>P104*J104</x:f>
        <x:v>0.1643907663094197</x:v>
      </x:c>
      <x:c r="U104" s="78" t="n">
        <x:f>S104-T104</x:f>
        <x:v>4.767332222973169</x:v>
      </x:c>
      <x:c r="V104" s="78" t="n">
        <x:f>N104+U104</x:f>
        <x:v>9977.807154994434</x:v>
      </x:c>
      <x:c r="W104" s="74" t="n">
        <x:f>IFERROR(V104/MAX($V$16:V104)-1,0)</x:f>
        <x:v>-0.00777974451225083</x:v>
      </x:c>
      <x:c r="X104" t="str">
        <x:f>IF(O104&gt;0,"TRADE","NO_TRADE")</x:f>
        <x:v>TRADE</x:v>
      </x:c>
    </x:row>
    <x:row r="105">
      <x:c r="A105" s="66" t="n">
        <x:v>46167.50515046297</x:v>
      </x:c>
      <x:c r="B105" s="66" t="str">
        <x:v>MKT_1001</x:v>
      </x:c>
      <x:c r="C105" s="66" t="n">
        <x:v>46167.506944444445</x:v>
      </x:c>
      <x:c r="D105" t="n">
        <x:v>155</x:v>
      </x:c>
      <x:c r="E105" t="str">
        <x:v>YES</x:v>
      </x:c>
      <x:c r="F105" s="74" t="n">
        <x:v>0.83</x:v>
      </x:c>
      <x:c r="G105" s="74" t="n">
        <x:v>0.83</x:v>
      </x:c>
      <x:c r="H105" s="74" t="n">
        <x:v>0.82</x:v>
      </x:c>
      <x:c r="I105" s="74" t="n">
        <x:f>IF(E105="YES",H105,1-H105)</x:f>
        <x:v>0.82</x:v>
      </x:c>
      <x:c r="J105" s="76" t="n">
        <x:f>Assumptions!$C$12+Assumptions!$C$11*F105</x:f>
        <x:v>0.003</x:v>
      </x:c>
      <x:c r="K105" s="76" t="n">
        <x:f>I105-F105-J105</x:f>
        <x:v>-0.013000000000000008</x:v>
      </x:c>
      <x:c r="L105" s="74" t="n">
        <x:f>MAX(0,IFERROR(K105/(1-F105),0))</x:f>
        <x:v>0</x:v>
      </x:c>
      <x:c r="M105" s="74" t="n">
        <x:f>MIN(Assumptions!$C$8*L105,Assumptions!$C$5)</x:f>
        <x:v>0</x:v>
      </x:c>
      <x:c r="N105" s="78" t="n">
        <x:f>IF(ROW()=16,Assumptions!$C$4,V104)</x:f>
        <x:v>9977.807154994434</x:v>
      </x:c>
      <x:c r="O105" s="78" t="n">
        <x:f>IF(AND(K105&gt;IF(F105&gt;=Assumptions!$C$21,Assumptions!$C$10,Assumptions!$C$9),D105&gt;Assumptions!$C$23),N105*M105,0)</x:f>
        <x:v>0</x:v>
      </x:c>
      <x:c r="P105" s="78" t="n">
        <x:f>IFERROR(O105/F105,0)</x:f>
        <x:v>0</x:v>
      </x:c>
      <x:c r="Q105" s="78" t="n">
        <x:v>1</x:v>
      </x:c>
      <x:c r="R105" s="78" t="str">
        <x:v>Resolve</x:v>
      </x:c>
      <x:c r="S105" s="78" t="n">
        <x:f>IF(R105="Resolve",IF(IF(E105="YES",Q105,1-Q105)=1,P105*(1-F105),-O105),P105*(G105-F105))</x:f>
        <x:v>0</x:v>
      </x:c>
      <x:c r="T105" s="78" t="n">
        <x:f>P105*J105</x:f>
        <x:v>0</x:v>
      </x:c>
      <x:c r="U105" s="78" t="n">
        <x:f>S105-T105</x:f>
        <x:v>0</x:v>
      </x:c>
      <x:c r="V105" s="78" t="n">
        <x:f>N105+U105</x:f>
        <x:v>9977.807154994434</x:v>
      </x:c>
      <x:c r="W105" s="74" t="n">
        <x:f>IFERROR(V105/MAX($V$16:V105)-1,0)</x:f>
        <x:v>-0.00777974451225083</x:v>
      </x:c>
      <x:c r="X105" t="str">
        <x:f>IF(O105&gt;0,"TRADE","NO_TRADE")</x:f>
        <x:v>NO_TRADE</x:v>
      </x:c>
    </x:row>
    <x:row r="106">
      <x:c r="A106" s="66" t="n">
        <x:v>46167.505208333336</x:v>
      </x:c>
      <x:c r="B106" s="66" t="str">
        <x:v>MKT_1001</x:v>
      </x:c>
      <x:c r="C106" s="66" t="n">
        <x:v>46167.506944444445</x:v>
      </x:c>
      <x:c r="D106" t="n">
        <x:v>150</x:v>
      </x:c>
      <x:c r="E106" t="str">
        <x:v>NO</x:v>
      </x:c>
      <x:c r="F106" s="74" t="n">
        <x:v>0.52</x:v>
      </x:c>
      <x:c r="G106" s="74" t="n">
        <x:v>0.52</x:v>
      </x:c>
      <x:c r="H106" s="74" t="n">
        <x:v>0.535</x:v>
      </x:c>
      <x:c r="I106" s="74" t="n">
        <x:f>IF(E106="YES",H106,1-H106)</x:f>
        <x:v>0.46499999999999997</x:v>
      </x:c>
      <x:c r="J106" s="76" t="n">
        <x:f>Assumptions!$C$12+Assumptions!$C$11*F106</x:f>
        <x:v>0.003</x:v>
      </x:c>
      <x:c r="K106" s="76" t="n">
        <x:f>I106-F106-J106</x:f>
        <x:v>-0.05800000000000005</x:v>
      </x:c>
      <x:c r="L106" s="74" t="n">
        <x:f>MAX(0,IFERROR(K106/(1-F106),0))</x:f>
        <x:v>0</x:v>
      </x:c>
      <x:c r="M106" s="74" t="n">
        <x:f>MIN(Assumptions!$C$8*L106,Assumptions!$C$5)</x:f>
        <x:v>0</x:v>
      </x:c>
      <x:c r="N106" s="78" t="n">
        <x:f>IF(ROW()=16,Assumptions!$C$4,V105)</x:f>
        <x:v>9977.807154994434</x:v>
      </x:c>
      <x:c r="O106" s="78" t="n">
        <x:f>IF(AND(K106&gt;IF(F106&gt;=Assumptions!$C$21,Assumptions!$C$10,Assumptions!$C$9),D106&gt;Assumptions!$C$23),N106*M106,0)</x:f>
        <x:v>0</x:v>
      </x:c>
      <x:c r="P106" s="78" t="n">
        <x:f>IFERROR(O106/F106,0)</x:f>
        <x:v>0</x:v>
      </x:c>
      <x:c r="Q106" s="78" t="n">
        <x:v>1</x:v>
      </x:c>
      <x:c r="R106" s="78" t="str">
        <x:v>Resolve</x:v>
      </x:c>
      <x:c r="S106" s="78" t="n">
        <x:f>IF(R106="Resolve",IF(IF(E106="YES",Q106,1-Q106)=1,P106*(1-F106),-O106),P106*(G106-F106))</x:f>
        <x:v>0</x:v>
      </x:c>
      <x:c r="T106" s="78" t="n">
        <x:f>P106*J106</x:f>
        <x:v>0</x:v>
      </x:c>
      <x:c r="U106" s="78" t="n">
        <x:f>S106-T106</x:f>
        <x:v>0</x:v>
      </x:c>
      <x:c r="V106" s="78" t="n">
        <x:f>N106+U106</x:f>
        <x:v>9977.807154994434</x:v>
      </x:c>
      <x:c r="W106" s="74" t="n">
        <x:f>IFERROR(V106/MAX($V$16:V106)-1,0)</x:f>
        <x:v>-0.00777974451225083</x:v>
      </x:c>
      <x:c r="X106" t="str">
        <x:f>IF(O106&gt;0,"TRADE","NO_TRADE")</x:f>
        <x:v>NO_TRADE</x:v>
      </x:c>
    </x:row>
    <x:row r="107">
      <x:c r="A107" s="66" t="n">
        <x:v>46167.505266203705</x:v>
      </x:c>
      <x:c r="B107" s="66" t="str">
        <x:v>MKT_1001</x:v>
      </x:c>
      <x:c r="C107" s="66" t="n">
        <x:v>46167.506944444445</x:v>
      </x:c>
      <x:c r="D107" t="n">
        <x:v>145</x:v>
      </x:c>
      <x:c r="E107" t="str">
        <x:v>YES</x:v>
      </x:c>
      <x:c r="F107" s="74" t="n">
        <x:v>0.61</x:v>
      </x:c>
      <x:c r="G107" s="74" t="n">
        <x:v>0.61</x:v>
      </x:c>
      <x:c r="H107" s="74" t="n">
        <x:v>0.63</x:v>
      </x:c>
      <x:c r="I107" s="74" t="n">
        <x:f>IF(E107="YES",H107,1-H107)</x:f>
        <x:v>0.63</x:v>
      </x:c>
      <x:c r="J107" s="76" t="n">
        <x:f>Assumptions!$C$12+Assumptions!$C$11*F107</x:f>
        <x:v>0.003</x:v>
      </x:c>
      <x:c r="K107" s="76" t="n">
        <x:f>I107-F107-J107</x:f>
        <x:v>0.01700000000000002</x:v>
      </x:c>
      <x:c r="L107" s="74" t="n">
        <x:f>MAX(0,IFERROR(K107/(1-F107),0))</x:f>
        <x:v>0.043589743589743636</x:v>
      </x:c>
      <x:c r="M107" s="74" t="n">
        <x:f>MIN(Assumptions!$C$8*L107,Assumptions!$C$5)</x:f>
        <x:v>0.005</x:v>
      </x:c>
      <x:c r="N107" s="78" t="n">
        <x:f>IF(ROW()=16,Assumptions!$C$4,V106)</x:f>
        <x:v>9977.807154994434</x:v>
      </x:c>
      <x:c r="O107" s="78" t="n">
        <x:f>IF(AND(K107&gt;IF(F107&gt;=Assumptions!$C$21,Assumptions!$C$10,Assumptions!$C$9),D107&gt;Assumptions!$C$23),N107*M107,0)</x:f>
        <x:v>49.88903577497217</x:v>
      </x:c>
      <x:c r="P107" s="78" t="n">
        <x:f>IFERROR(O107/F107,0)</x:f>
        <x:v>81.78530454913471</x:v>
      </x:c>
      <x:c r="Q107" s="78" t="n">
        <x:v>0</x:v>
      </x:c>
      <x:c r="R107" s="78" t="str">
        <x:v>Resolve</x:v>
      </x:c>
      <x:c r="S107" s="78" t="n">
        <x:f>IF(R107="Resolve",IF(IF(E107="YES",Q107,1-Q107)=1,P107*(1-F107),-O107),P107*(G107-F107))</x:f>
        <x:v>-49.88903577497217</x:v>
      </x:c>
      <x:c r="T107" s="78" t="n">
        <x:f>P107*J107</x:f>
        <x:v>0.24535591364740414</x:v>
      </x:c>
      <x:c r="U107" s="78" t="n">
        <x:f>S107-T107</x:f>
        <x:v>-50.13439168861957</x:v>
      </x:c>
      <x:c r="V107" s="78" t="n">
        <x:f>N107+U107</x:f>
        <x:v>9927.672763305814</x:v>
      </x:c>
      <x:c r="W107" s="74" t="n">
        <x:f>IFERROR(V107/MAX($V$16:V107)-1,0)</x:f>
        <x:v>-0.012765244648431096</x:v>
      </x:c>
      <x:c r="X107" t="str">
        <x:f>IF(O107&gt;0,"TRADE","NO_TRADE")</x:f>
        <x:v>TRADE</x:v>
      </x:c>
    </x:row>
    <x:row r="108">
      <x:c r="A108" s="66" t="n">
        <x:v>46167.505324074074</x:v>
      </x:c>
      <x:c r="B108" s="66" t="str">
        <x:v>MKT_1001</x:v>
      </x:c>
      <x:c r="C108" s="66" t="n">
        <x:v>46167.506944444445</x:v>
      </x:c>
      <x:c r="D108" t="n">
        <x:v>140</x:v>
      </x:c>
      <x:c r="E108" t="str">
        <x:v>YES</x:v>
      </x:c>
      <x:c r="F108" s="74" t="n">
        <x:v>0.74</x:v>
      </x:c>
      <x:c r="G108" s="74" t="n">
        <x:v>0.74</x:v>
      </x:c>
      <x:c r="H108" s="74" t="n">
        <x:v>0.735</x:v>
      </x:c>
      <x:c r="I108" s="74" t="n">
        <x:f>IF(E108="YES",H108,1-H108)</x:f>
        <x:v>0.735</x:v>
      </x:c>
      <x:c r="J108" s="76" t="n">
        <x:f>Assumptions!$C$12+Assumptions!$C$11*F108</x:f>
        <x:v>0.003</x:v>
      </x:c>
      <x:c r="K108" s="76" t="n">
        <x:f>I108-F108-J108</x:f>
        <x:v>-0.008000000000000004</x:v>
      </x:c>
      <x:c r="L108" s="74" t="n">
        <x:f>MAX(0,IFERROR(K108/(1-F108),0))</x:f>
        <x:v>0</x:v>
      </x:c>
      <x:c r="M108" s="74" t="n">
        <x:f>MIN(Assumptions!$C$8*L108,Assumptions!$C$5)</x:f>
        <x:v>0</x:v>
      </x:c>
      <x:c r="N108" s="78" t="n">
        <x:f>IF(ROW()=16,Assumptions!$C$4,V107)</x:f>
        <x:v>9927.672763305814</x:v>
      </x:c>
      <x:c r="O108" s="78" t="n">
        <x:f>IF(AND(K108&gt;IF(F108&gt;=Assumptions!$C$21,Assumptions!$C$10,Assumptions!$C$9),D108&gt;Assumptions!$C$23),N108*M108,0)</x:f>
        <x:v>0</x:v>
      </x:c>
      <x:c r="P108" s="78" t="n">
        <x:f>IFERROR(O108/F108,0)</x:f>
        <x:v>0</x:v>
      </x:c>
      <x:c r="Q108" s="78" t="n">
        <x:v>1</x:v>
      </x:c>
      <x:c r="R108" s="78" t="str">
        <x:v>Resolve</x:v>
      </x:c>
      <x:c r="S108" s="78" t="n">
        <x:f>IF(R108="Resolve",IF(IF(E108="YES",Q108,1-Q108)=1,P108*(1-F108),-O108),P108*(G108-F108))</x:f>
        <x:v>0</x:v>
      </x:c>
      <x:c r="T108" s="78" t="n">
        <x:f>P108*J108</x:f>
        <x:v>0</x:v>
      </x:c>
      <x:c r="U108" s="78" t="n">
        <x:f>S108-T108</x:f>
        <x:v>0</x:v>
      </x:c>
      <x:c r="V108" s="78" t="n">
        <x:f>N108+U108</x:f>
        <x:v>9927.672763305814</x:v>
      </x:c>
      <x:c r="W108" s="74" t="n">
        <x:f>IFERROR(V108/MAX($V$16:V108)-1,0)</x:f>
        <x:v>-0.012765244648431096</x:v>
      </x:c>
      <x:c r="X108" t="str">
        <x:f>IF(O108&gt;0,"TRADE","NO_TRADE")</x:f>
        <x:v>NO_TRADE</x:v>
      </x:c>
    </x:row>
    <x:row r="109">
      <x:c r="A109" s="66" t="n">
        <x:v>46167.505381944444</x:v>
      </x:c>
      <x:c r="B109" s="66" t="str">
        <x:v>MKT_1001</x:v>
      </x:c>
      <x:c r="C109" s="66" t="n">
        <x:v>46167.506944444445</x:v>
      </x:c>
      <x:c r="D109" t="n">
        <x:v>135</x:v>
      </x:c>
      <x:c r="E109" t="str">
        <x:v>NO</x:v>
      </x:c>
      <x:c r="F109" s="74" t="n">
        <x:v>0.88</x:v>
      </x:c>
      <x:c r="G109" s="74" t="n">
        <x:v>0.88</x:v>
      </x:c>
      <x:c r="H109" s="74" t="n">
        <x:v>0.91</x:v>
      </x:c>
      <x:c r="I109" s="74" t="n">
        <x:f>IF(E109="YES",H109,1-H109)</x:f>
        <x:v>0.08999999999999997</x:v>
      </x:c>
      <x:c r="J109" s="76" t="n">
        <x:f>Assumptions!$C$12+Assumptions!$C$11*F109</x:f>
        <x:v>0.003</x:v>
      </x:c>
      <x:c r="K109" s="76" t="n">
        <x:f>I109-F109-J109</x:f>
        <x:v>-0.793</x:v>
      </x:c>
      <x:c r="L109" s="74" t="n">
        <x:f>MAX(0,IFERROR(K109/(1-F109),0))</x:f>
        <x:v>0</x:v>
      </x:c>
      <x:c r="M109" s="74" t="n">
        <x:f>MIN(Assumptions!$C$8*L109,Assumptions!$C$5)</x:f>
        <x:v>0</x:v>
      </x:c>
      <x:c r="N109" s="78" t="n">
        <x:f>IF(ROW()=16,Assumptions!$C$4,V108)</x:f>
        <x:v>9927.672763305814</x:v>
      </x:c>
      <x:c r="O109" s="78" t="n">
        <x:f>IF(AND(K109&gt;IF(F109&gt;=Assumptions!$C$21,Assumptions!$C$10,Assumptions!$C$9),D109&gt;Assumptions!$C$23),N109*M109,0)</x:f>
        <x:v>0</x:v>
      </x:c>
      <x:c r="P109" s="78" t="n">
        <x:f>IFERROR(O109/F109,0)</x:f>
        <x:v>0</x:v>
      </x:c>
      <x:c r="Q109" s="78" t="n">
        <x:v>1</x:v>
      </x:c>
      <x:c r="R109" s="78" t="str">
        <x:v>Resolve</x:v>
      </x:c>
      <x:c r="S109" s="78" t="n">
        <x:f>IF(R109="Resolve",IF(IF(E109="YES",Q109,1-Q109)=1,P109*(1-F109),-O109),P109*(G109-F109))</x:f>
        <x:v>0</x:v>
      </x:c>
      <x:c r="T109" s="78" t="n">
        <x:f>P109*J109</x:f>
        <x:v>0</x:v>
      </x:c>
      <x:c r="U109" s="78" t="n">
        <x:f>S109-T109</x:f>
        <x:v>0</x:v>
      </x:c>
      <x:c r="V109" s="78" t="n">
        <x:f>N109+U109</x:f>
        <x:v>9927.672763305814</x:v>
      </x:c>
      <x:c r="W109" s="74" t="n">
        <x:f>IFERROR(V109/MAX($V$16:V109)-1,0)</x:f>
        <x:v>-0.012765244648431096</x:v>
      </x:c>
      <x:c r="X109" t="str">
        <x:f>IF(O109&gt;0,"TRADE","NO_TRADE")</x:f>
        <x:v>NO_TRADE</x:v>
      </x:c>
    </x:row>
    <x:row r="110">
      <x:c r="A110" s="66" t="n">
        <x:v>46167.50543981481</x:v>
      </x:c>
      <x:c r="B110" s="66" t="str">
        <x:v>MKT_1001</x:v>
      </x:c>
      <x:c r="C110" s="66" t="n">
        <x:v>46167.506944444445</x:v>
      </x:c>
      <x:c r="D110" t="n">
        <x:v>130</x:v>
      </x:c>
      <x:c r="E110" t="str">
        <x:v>YES</x:v>
      </x:c>
      <x:c r="F110" s="74" t="n">
        <x:v>0.94</x:v>
      </x:c>
      <x:c r="G110" s="74" t="n">
        <x:v>0.94</x:v>
      </x:c>
      <x:c r="H110" s="74" t="n">
        <x:v>0.98</x:v>
      </x:c>
      <x:c r="I110" s="74" t="n">
        <x:f>IF(E110="YES",H110,1-H110)</x:f>
        <x:v>0.98</x:v>
      </x:c>
      <x:c r="J110" s="76" t="n">
        <x:f>Assumptions!$C$12+Assumptions!$C$11*F110</x:f>
        <x:v>0.003</x:v>
      </x:c>
      <x:c r="K110" s="76" t="n">
        <x:f>I110-F110-J110</x:f>
        <x:v>0.03700000000000003</x:v>
      </x:c>
      <x:c r="L110" s="74" t="n">
        <x:f>MAX(0,IFERROR(K110/(1-F110),0))</x:f>
        <x:v>0.6166666666666667</x:v>
      </x:c>
      <x:c r="M110" s="74" t="n">
        <x:f>MIN(Assumptions!$C$8*L110,Assumptions!$C$5)</x:f>
        <x:v>0.005</x:v>
      </x:c>
      <x:c r="N110" s="78" t="n">
        <x:f>IF(ROW()=16,Assumptions!$C$4,V109)</x:f>
        <x:v>9927.672763305814</x:v>
      </x:c>
      <x:c r="O110" s="78" t="n">
        <x:f>IF(AND(K110&gt;IF(F110&gt;=Assumptions!$C$21,Assumptions!$C$10,Assumptions!$C$9),D110&gt;Assumptions!$C$23),N110*M110,0)</x:f>
        <x:v>49.63836381652907</x:v>
      </x:c>
      <x:c r="P110" s="78" t="n">
        <x:f>IFERROR(O110/F110,0)</x:f>
        <x:v>52.80677001758412</x:v>
      </x:c>
      <x:c r="Q110" s="78" t="n">
        <x:v>0</x:v>
      </x:c>
      <x:c r="R110" s="78" t="str">
        <x:v>Resolve</x:v>
      </x:c>
      <x:c r="S110" s="78" t="n">
        <x:f>IF(R110="Resolve",IF(IF(E110="YES",Q110,1-Q110)=1,P110*(1-F110),-O110),P110*(G110-F110))</x:f>
        <x:v>-49.63836381652907</x:v>
      </x:c>
      <x:c r="T110" s="78" t="n">
        <x:f>P110*J110</x:f>
        <x:v>0.15842031005275237</x:v>
      </x:c>
      <x:c r="U110" s="78" t="n">
        <x:f>S110-T110</x:f>
        <x:v>-49.79678412658183</x:v>
      </x:c>
      <x:c r="V110" s="78" t="n">
        <x:f>N110+U110</x:f>
        <x:v>9877.875979179233</x:v>
      </x:c>
      <x:c r="W110" s="74" t="n">
        <x:f>IFERROR(V110/MAX($V$16:V110)-1,0)</x:f>
        <x:v>-0.01771717217128499</x:v>
      </x:c>
      <x:c r="X110" t="str">
        <x:f>IF(O110&gt;0,"TRADE","NO_TRADE")</x:f>
        <x:v>TRADE</x:v>
      </x:c>
    </x:row>
    <x:row r="111">
      <x:c r="A111" s="66" t="n">
        <x:v>46167.50549768518</x:v>
      </x:c>
      <x:c r="B111" s="66" t="str">
        <x:v>MKT_1001</x:v>
      </x:c>
      <x:c r="C111" s="66" t="n">
        <x:v>46167.506944444445</x:v>
      </x:c>
      <x:c r="D111" t="n">
        <x:v>125</x:v>
      </x:c>
      <x:c r="E111" t="str">
        <x:v>YES</x:v>
      </x:c>
      <x:c r="F111" s="74" t="n">
        <x:v>0.95</x:v>
      </x:c>
      <x:c r="G111" s="74" t="n">
        <x:v>0.95</x:v>
      </x:c>
      <x:c r="H111" s="74" t="n">
        <x:v>0.968</x:v>
      </x:c>
      <x:c r="I111" s="74" t="n">
        <x:f>IF(E111="YES",H111,1-H111)</x:f>
        <x:v>0.968</x:v>
      </x:c>
      <x:c r="J111" s="76" t="n">
        <x:f>Assumptions!$C$12+Assumptions!$C$11*F111</x:f>
        <x:v>0.003</x:v>
      </x:c>
      <x:c r="K111" s="76" t="n">
        <x:f>I111-F111-J111</x:f>
        <x:v>0.015000000000000017</x:v>
      </x:c>
      <x:c r="L111" s="74" t="n">
        <x:f>MAX(0,IFERROR(K111/(1-F111),0))</x:f>
        <x:v>0.30000000000000004</x:v>
      </x:c>
      <x:c r="M111" s="74" t="n">
        <x:f>MIN(Assumptions!$C$8*L111,Assumptions!$C$5)</x:f>
        <x:v>0.005</x:v>
      </x:c>
      <x:c r="N111" s="78" t="n">
        <x:f>IF(ROW()=16,Assumptions!$C$4,V110)</x:f>
        <x:v>9877.875979179233</x:v>
      </x:c>
      <x:c r="O111" s="78" t="n">
        <x:f>IF(AND(K111&gt;IF(F111&gt;=Assumptions!$C$21,Assumptions!$C$10,Assumptions!$C$9),D111&gt;Assumptions!$C$23),N111*M111,0)</x:f>
        <x:v>49.38937989589616</x:v>
      </x:c>
      <x:c r="P111" s="78" t="n">
        <x:f>IFERROR(O111/F111,0)</x:f>
        <x:v>51.988820943048594</x:v>
      </x:c>
      <x:c r="Q111" s="78" t="n">
        <x:v>1</x:v>
      </x:c>
      <x:c r="R111" s="78" t="str">
        <x:v>Resolve</x:v>
      </x:c>
      <x:c r="S111" s="78" t="n">
        <x:f>IF(R111="Resolve",IF(IF(E111="YES",Q111,1-Q111)=1,P111*(1-F111),-O111),P111*(G111-F111))</x:f>
        <x:v>2.599441047152432</x:v>
      </x:c>
      <x:c r="T111" s="78" t="n">
        <x:f>P111*J111</x:f>
        <x:v>0.15596646282914578</x:v>
      </x:c>
      <x:c r="U111" s="78" t="n">
        <x:f>S111-T111</x:f>
        <x:v>2.443474584323286</x:v>
      </x:c>
      <x:c r="V111" s="78" t="n">
        <x:f>N111+U111</x:f>
        <x:v>9880.319453763555</x:v>
      </x:c>
      <x:c r="W111" s="74" t="n">
        <x:f>IFERROR(V111/MAX($V$16:V111)-1,0)</x:f>
        <x:v>-0.017474186419137894</x:v>
      </x:c>
      <x:c r="X111" t="str">
        <x:f>IF(O111&gt;0,"TRADE","NO_TRADE")</x:f>
        <x:v>TRADE</x:v>
      </x:c>
    </x:row>
    <x:row r="112">
      <x:c r="A112" s="66" t="n">
        <x:v>46167.50555555556</x:v>
      </x:c>
      <x:c r="B112" s="66" t="str">
        <x:v>MKT_1001</x:v>
      </x:c>
      <x:c r="C112" s="66" t="n">
        <x:v>46167.506944444445</x:v>
      </x:c>
      <x:c r="D112" t="n">
        <x:v>120</x:v>
      </x:c>
      <x:c r="E112" t="str">
        <x:v>NO</x:v>
      </x:c>
      <x:c r="F112" s="74" t="n">
        <x:v>0.57</x:v>
      </x:c>
      <x:c r="G112" s="74" t="n">
        <x:v>0.57</x:v>
      </x:c>
      <x:c r="H112" s="74" t="n">
        <x:v>0.582</x:v>
      </x:c>
      <x:c r="I112" s="74" t="n">
        <x:f>IF(E112="YES",H112,1-H112)</x:f>
        <x:v>0.41800000000000004</x:v>
      </x:c>
      <x:c r="J112" s="76" t="n">
        <x:f>Assumptions!$C$12+Assumptions!$C$11*F112</x:f>
        <x:v>0.003</x:v>
      </x:c>
      <x:c r="K112" s="76" t="n">
        <x:f>I112-F112-J112</x:f>
        <x:v>-0.15499999999999992</x:v>
      </x:c>
      <x:c r="L112" s="74" t="n">
        <x:f>MAX(0,IFERROR(K112/(1-F112),0))</x:f>
        <x:v>0</x:v>
      </x:c>
      <x:c r="M112" s="74" t="n">
        <x:f>MIN(Assumptions!$C$8*L112,Assumptions!$C$5)</x:f>
        <x:v>0</x:v>
      </x:c>
      <x:c r="N112" s="78" t="n">
        <x:f>IF(ROW()=16,Assumptions!$C$4,V111)</x:f>
        <x:v>9880.319453763555</x:v>
      </x:c>
      <x:c r="O112" s="78" t="n">
        <x:f>IF(AND(K112&gt;IF(F112&gt;=Assumptions!$C$21,Assumptions!$C$10,Assumptions!$C$9),D112&gt;Assumptions!$C$23),N112*M112,0)</x:f>
        <x:v>0</x:v>
      </x:c>
      <x:c r="P112" s="78" t="n">
        <x:f>IFERROR(O112/F112,0)</x:f>
        <x:v>0</x:v>
      </x:c>
      <x:c r="Q112" s="78" t="n">
        <x:v>1</x:v>
      </x:c>
      <x:c r="R112" s="78" t="str">
        <x:v>Resolve</x:v>
      </x:c>
      <x:c r="S112" s="78" t="n">
        <x:f>IF(R112="Resolve",IF(IF(E112="YES",Q112,1-Q112)=1,P112*(1-F112),-O112),P112*(G112-F112))</x:f>
        <x:v>0</x:v>
      </x:c>
      <x:c r="T112" s="78" t="n">
        <x:f>P112*J112</x:f>
        <x:v>0</x:v>
      </x:c>
      <x:c r="U112" s="78" t="n">
        <x:f>S112-T112</x:f>
        <x:v>0</x:v>
      </x:c>
      <x:c r="V112" s="78" t="n">
        <x:f>N112+U112</x:f>
        <x:v>9880.319453763555</x:v>
      </x:c>
      <x:c r="W112" s="74" t="n">
        <x:f>IFERROR(V112/MAX($V$16:V112)-1,0)</x:f>
        <x:v>-0.017474186419137894</x:v>
      </x:c>
      <x:c r="X112" t="str">
        <x:f>IF(O112&gt;0,"TRADE","NO_TRADE")</x:f>
        <x:v>NO_TRADE</x:v>
      </x:c>
    </x:row>
    <x:row r="113">
      <x:c r="A113" s="66" t="n">
        <x:v>46167.50561342593</x:v>
      </x:c>
      <x:c r="B113" s="66" t="str">
        <x:v>MKT_1001</x:v>
      </x:c>
      <x:c r="C113" s="66" t="n">
        <x:v>46167.506944444445</x:v>
      </x:c>
      <x:c r="D113" t="n">
        <x:v>115</x:v>
      </x:c>
      <x:c r="E113" t="str">
        <x:v>YES</x:v>
      </x:c>
      <x:c r="F113" s="74" t="n">
        <x:v>0.68</x:v>
      </x:c>
      <x:c r="G113" s="74" t="n">
        <x:v>0.68</x:v>
      </x:c>
      <x:c r="H113" s="74" t="n">
        <x:v>0.7050000000000001</x:v>
      </x:c>
      <x:c r="I113" s="74" t="n">
        <x:f>IF(E113="YES",H113,1-H113)</x:f>
        <x:v>0.7050000000000001</x:v>
      </x:c>
      <x:c r="J113" s="76" t="n">
        <x:f>Assumptions!$C$12+Assumptions!$C$11*F113</x:f>
        <x:v>0.003</x:v>
      </x:c>
      <x:c r="K113" s="76" t="n">
        <x:f>I113-F113-J113</x:f>
        <x:v>0.022000000000000023</x:v>
      </x:c>
      <x:c r="L113" s="74" t="n">
        <x:f>MAX(0,IFERROR(K113/(1-F113),0))</x:f>
        <x:v>0.06875000000000009</x:v>
      </x:c>
      <x:c r="M113" s="74" t="n">
        <x:f>MIN(Assumptions!$C$8*L113,Assumptions!$C$5)</x:f>
        <x:v>0.005</x:v>
      </x:c>
      <x:c r="N113" s="78" t="n">
        <x:f>IF(ROW()=16,Assumptions!$C$4,V112)</x:f>
        <x:v>9880.319453763555</x:v>
      </x:c>
      <x:c r="O113" s="78" t="n">
        <x:f>IF(AND(K113&gt;IF(F113&gt;=Assumptions!$C$21,Assumptions!$C$10,Assumptions!$C$9),D113&gt;Assumptions!$C$23),N113*M113,0)</x:f>
        <x:v>49.40159726881778</x:v>
      </x:c>
      <x:c r="P113" s="78" t="n">
        <x:f>IFERROR(O113/F113,0)</x:f>
        <x:v>72.64940774826144</x:v>
      </x:c>
      <x:c r="Q113" s="78" t="n">
        <x:v>1</x:v>
      </x:c>
      <x:c r="R113" s="78" t="str">
        <x:v>Resolve</x:v>
      </x:c>
      <x:c r="S113" s="78" t="n">
        <x:f>IF(R113="Resolve",IF(IF(E113="YES",Q113,1-Q113)=1,P113*(1-F113),-O113),P113*(G113-F113))</x:f>
        <x:v>23.247810479443658</x:v>
      </x:c>
      <x:c r="T113" s="78" t="n">
        <x:f>P113*J113</x:f>
        <x:v>0.21794822324478433</x:v>
      </x:c>
      <x:c r="U113" s="78" t="n">
        <x:f>S113-T113</x:f>
        <x:v>23.02986225619887</x:v>
      </x:c>
      <x:c r="V113" s="78" t="n">
        <x:f>N113+U113</x:f>
        <x:v>9903.349316019754</x:v>
      </x:c>
      <x:c r="W113" s="74" t="n">
        <x:f>IFERROR(V113/MAX($V$16:V113)-1,0)</x:f>
        <x:v>-0.015184034338953212</x:v>
      </x:c>
      <x:c r="X113" t="str">
        <x:f>IF(O113&gt;0,"TRADE","NO_TRADE")</x:f>
        <x:v>TRADE</x:v>
      </x:c>
    </x:row>
    <x:row r="114">
      <x:c r="A114" s="66" t="n">
        <x:v>46167.5056712963</x:v>
      </x:c>
      <x:c r="B114" s="66" t="str">
        <x:v>MKT_1001</x:v>
      </x:c>
      <x:c r="C114" s="66" t="n">
        <x:v>46167.506944444445</x:v>
      </x:c>
      <x:c r="D114" t="n">
        <x:v>110</x:v>
      </x:c>
      <x:c r="E114" t="str">
        <x:v>YES</x:v>
      </x:c>
      <x:c r="F114" s="74" t="n">
        <x:v>0.91</x:v>
      </x:c>
      <x:c r="G114" s="74" t="n">
        <x:v>0.91</x:v>
      </x:c>
      <x:c r="H114" s="74" t="n">
        <x:v>0.9450000000000001</x:v>
      </x:c>
      <x:c r="I114" s="74" t="n">
        <x:f>IF(E114="YES",H114,1-H114)</x:f>
        <x:v>0.9450000000000001</x:v>
      </x:c>
      <x:c r="J114" s="76" t="n">
        <x:f>Assumptions!$C$12+Assumptions!$C$11*F114</x:f>
        <x:v>0.003</x:v>
      </x:c>
      <x:c r="K114" s="76" t="n">
        <x:f>I114-F114-J114</x:f>
        <x:v>0.03200000000000003</x:v>
      </x:c>
      <x:c r="L114" s="74" t="n">
        <x:f>MAX(0,IFERROR(K114/(1-F114),0))</x:f>
        <x:v>0.355555555555556</x:v>
      </x:c>
      <x:c r="M114" s="74" t="n">
        <x:f>MIN(Assumptions!$C$8*L114,Assumptions!$C$5)</x:f>
        <x:v>0.005</x:v>
      </x:c>
      <x:c r="N114" s="78" t="n">
        <x:f>IF(ROW()=16,Assumptions!$C$4,V113)</x:f>
        <x:v>9903.349316019754</x:v>
      </x:c>
      <x:c r="O114" s="78" t="n">
        <x:f>IF(AND(K114&gt;IF(F114&gt;=Assumptions!$C$21,Assumptions!$C$10,Assumptions!$C$9),D114&gt;Assumptions!$C$23),N114*M114,0)</x:f>
        <x:v>49.51674658009877</x:v>
      </x:c>
      <x:c r="P114" s="78" t="n">
        <x:f>IFERROR(O114/F114,0)</x:f>
        <x:v>54.414007230877765</x:v>
      </x:c>
      <x:c r="Q114" s="78" t="n">
        <x:v>0</x:v>
      </x:c>
      <x:c r="R114" s="78" t="str">
        <x:v>Resolve</x:v>
      </x:c>
      <x:c r="S114" s="78" t="n">
        <x:f>IF(R114="Resolve",IF(IF(E114="YES",Q114,1-Q114)=1,P114*(1-F114),-O114),P114*(G114-F114))</x:f>
        <x:v>-49.51674658009877</x:v>
      </x:c>
      <x:c r="T114" s="78" t="n">
        <x:f>P114*J114</x:f>
        <x:v>0.1632420216926333</x:v>
      </x:c>
      <x:c r="U114" s="78" t="n">
        <x:f>S114-T114</x:f>
        <x:v>-49.6799886017914</x:v>
      </x:c>
      <x:c r="V114" s="78" t="n">
        <x:f>N114+U114</x:f>
        <x:v>9853.669327417963</x:v>
      </x:c>
      <x:c r="W114" s="74" t="n">
        <x:f>IFERROR(V114/MAX($V$16:V114)-1,0)</x:f>
        <x:v>-0.020124347397461495</x:v>
      </x:c>
      <x:c r="X114" t="str">
        <x:f>IF(O114&gt;0,"TRADE","NO_TRADE")</x:f>
        <x:v>TRADE</x:v>
      </x:c>
    </x:row>
    <x:row r="115">
      <x:c r="A115" s="66" t="n">
        <x:v>46167.50572916667</x:v>
      </x:c>
      <x:c r="B115" s="66" t="str">
        <x:v>MKT_1001</x:v>
      </x:c>
      <x:c r="C115" s="66" t="n">
        <x:v>46167.506944444445</x:v>
      </x:c>
      <x:c r="D115" t="n">
        <x:v>105</x:v>
      </x:c>
      <x:c r="E115" t="str">
        <x:v>NO</x:v>
      </x:c>
      <x:c r="F115" s="74" t="n">
        <x:v>0.83</x:v>
      </x:c>
      <x:c r="G115" s="74" t="n">
        <x:v>0.83</x:v>
      </x:c>
      <x:c r="H115" s="74" t="n">
        <x:v>0.82</x:v>
      </x:c>
      <x:c r="I115" s="74" t="n">
        <x:f>IF(E115="YES",H115,1-H115)</x:f>
        <x:v>0.18000000000000005</x:v>
      </x:c>
      <x:c r="J115" s="76" t="n">
        <x:f>Assumptions!$C$12+Assumptions!$C$11*F115</x:f>
        <x:v>0.003</x:v>
      </x:c>
      <x:c r="K115" s="76" t="n">
        <x:f>I115-F115-J115</x:f>
        <x:v>-0.6529999999999999</x:v>
      </x:c>
      <x:c r="L115" s="74" t="n">
        <x:f>MAX(0,IFERROR(K115/(1-F115),0))</x:f>
        <x:v>0</x:v>
      </x:c>
      <x:c r="M115" s="74" t="n">
        <x:f>MIN(Assumptions!$C$8*L115,Assumptions!$C$5)</x:f>
        <x:v>0</x:v>
      </x:c>
      <x:c r="N115" s="78" t="n">
        <x:f>IF(ROW()=16,Assumptions!$C$4,V114)</x:f>
        <x:v>9853.669327417963</x:v>
      </x:c>
      <x:c r="O115" s="78" t="n">
        <x:f>IF(AND(K115&gt;IF(F115&gt;=Assumptions!$C$21,Assumptions!$C$10,Assumptions!$C$9),D115&gt;Assumptions!$C$23),N115*M115,0)</x:f>
        <x:v>0</x:v>
      </x:c>
      <x:c r="P115" s="78" t="n">
        <x:f>IFERROR(O115/F115,0)</x:f>
        <x:v>0</x:v>
      </x:c>
      <x:c r="Q115" s="78" t="n">
        <x:v>1</x:v>
      </x:c>
      <x:c r="R115" s="78" t="str">
        <x:v>Resolve</x:v>
      </x:c>
      <x:c r="S115" s="78" t="n">
        <x:f>IF(R115="Resolve",IF(IF(E115="YES",Q115,1-Q115)=1,P115*(1-F115),-O115),P115*(G115-F115))</x:f>
        <x:v>0</x:v>
      </x:c>
      <x:c r="T115" s="78" t="n">
        <x:f>P115*J115</x:f>
        <x:v>0</x:v>
      </x:c>
      <x:c r="U115" s="78" t="n">
        <x:f>S115-T115</x:f>
        <x:v>0</x:v>
      </x:c>
      <x:c r="V115" s="78" t="n">
        <x:f>N115+U115</x:f>
        <x:v>9853.669327417963</x:v>
      </x:c>
      <x:c r="W115" s="74" t="n">
        <x:f>IFERROR(V115/MAX($V$16:V115)-1,0)</x:f>
        <x:v>-0.020124347397461495</x:v>
      </x:c>
      <x:c r="X115" t="str">
        <x:f>IF(O115&gt;0,"TRADE","NO_TRADE")</x:f>
        <x:v>NO_TRADE</x:v>
      </x:c>
    </x:row>
    <x:row r="116">
      <x:c r="A116" s="66" t="n">
        <x:v>46167.50578703704</x:v>
      </x:c>
      <x:c r="B116" s="66" t="str">
        <x:v>MKT_1001</x:v>
      </x:c>
      <x:c r="C116" s="66" t="n">
        <x:v>46167.506944444445</x:v>
      </x:c>
      <x:c r="D116" t="n">
        <x:v>100</x:v>
      </x:c>
      <x:c r="E116" t="str">
        <x:v>YES</x:v>
      </x:c>
      <x:c r="F116" s="74" t="n">
        <x:v>0.52</x:v>
      </x:c>
      <x:c r="G116" s="74" t="n">
        <x:v>0.52</x:v>
      </x:c>
      <x:c r="H116" s="74" t="n">
        <x:v>0.535</x:v>
      </x:c>
      <x:c r="I116" s="74" t="n">
        <x:f>IF(E116="YES",H116,1-H116)</x:f>
        <x:v>0.535</x:v>
      </x:c>
      <x:c r="J116" s="76" t="n">
        <x:f>Assumptions!$C$12+Assumptions!$C$11*F116</x:f>
        <x:v>0.003</x:v>
      </x:c>
      <x:c r="K116" s="76" t="n">
        <x:f>I116-F116-J116</x:f>
        <x:v>0.012000000000000014</x:v>
      </x:c>
      <x:c r="L116" s="74" t="n">
        <x:f>MAX(0,IFERROR(K116/(1-F116),0))</x:f>
        <x:v>0.02500000000000003</x:v>
      </x:c>
      <x:c r="M116" s="74" t="n">
        <x:f>MIN(Assumptions!$C$8*L116,Assumptions!$C$5)</x:f>
        <x:v>0.005</x:v>
      </x:c>
      <x:c r="N116" s="78" t="n">
        <x:f>IF(ROW()=16,Assumptions!$C$4,V115)</x:f>
        <x:v>9853.669327417963</x:v>
      </x:c>
      <x:c r="O116" s="78" t="n">
        <x:f>IF(AND(K116&gt;IF(F116&gt;=Assumptions!$C$21,Assumptions!$C$10,Assumptions!$C$9),D116&gt;Assumptions!$C$23),N116*M116,0)</x:f>
        <x:v>49.26834663708982</x:v>
      </x:c>
      <x:c r="P116" s="78" t="n">
        <x:f>IFERROR(O116/F116,0)</x:f>
        <x:v>94.74682045594196</x:v>
      </x:c>
      <x:c r="Q116" s="78" t="n">
        <x:v>1</x:v>
      </x:c>
      <x:c r="R116" s="78" t="str">
        <x:v>Resolve</x:v>
      </x:c>
      <x:c r="S116" s="78" t="n">
        <x:f>IF(R116="Resolve",IF(IF(E116="YES",Q116,1-Q116)=1,P116*(1-F116),-O116),P116*(G116-F116))</x:f>
        <x:v>45.47847381885214</x:v>
      </x:c>
      <x:c r="T116" s="78" t="n">
        <x:f>P116*J116</x:f>
        <x:v>0.2842404613678259</x:v>
      </x:c>
      <x:c r="U116" s="78" t="n">
        <x:f>S116-T116</x:f>
        <x:v>45.194233357484315</x:v>
      </x:c>
      <x:c r="V116" s="78" t="n">
        <x:f>N116+U116</x:f>
        <x:v>9898.863560775448</x:v>
      </x:c>
      <x:c r="W116" s="74" t="n">
        <x:f>IFERROR(V116/MAX($V$16:V116)-1,0)</x:f>
        <x:v>-0.015630110029274835</x:v>
      </x:c>
      <x:c r="X116" t="str">
        <x:f>IF(O116&gt;0,"TRADE","NO_TRADE")</x:f>
        <x:v>TRADE</x:v>
      </x:c>
    </x:row>
    <x:row r="117">
      <x:c r="A117" s="66" t="n">
        <x:v>46167.505844907406</x:v>
      </x:c>
      <x:c r="B117" s="66" t="str">
        <x:v>MKT_1001</x:v>
      </x:c>
      <x:c r="C117" s="66" t="n">
        <x:v>46167.506944444445</x:v>
      </x:c>
      <x:c r="D117" t="n">
        <x:v>95</x:v>
      </x:c>
      <x:c r="E117" t="str">
        <x:v>YES</x:v>
      </x:c>
      <x:c r="F117" s="74" t="n">
        <x:v>0.61</x:v>
      </x:c>
      <x:c r="G117" s="74" t="n">
        <x:v>0.61</x:v>
      </x:c>
      <x:c r="H117" s="74" t="n">
        <x:v>0.63</x:v>
      </x:c>
      <x:c r="I117" s="74" t="n">
        <x:f>IF(E117="YES",H117,1-H117)</x:f>
        <x:v>0.63</x:v>
      </x:c>
      <x:c r="J117" s="76" t="n">
        <x:f>Assumptions!$C$12+Assumptions!$C$11*F117</x:f>
        <x:v>0.003</x:v>
      </x:c>
      <x:c r="K117" s="76" t="n">
        <x:f>I117-F117-J117</x:f>
        <x:v>0.01700000000000002</x:v>
      </x:c>
      <x:c r="L117" s="74" t="n">
        <x:f>MAX(0,IFERROR(K117/(1-F117),0))</x:f>
        <x:v>0.043589743589743636</x:v>
      </x:c>
      <x:c r="M117" s="74" t="n">
        <x:f>MIN(Assumptions!$C$8*L117,Assumptions!$C$5)</x:f>
        <x:v>0.005</x:v>
      </x:c>
      <x:c r="N117" s="78" t="n">
        <x:f>IF(ROW()=16,Assumptions!$C$4,V116)</x:f>
        <x:v>9898.863560775448</x:v>
      </x:c>
      <x:c r="O117" s="78" t="n">
        <x:f>IF(AND(K117&gt;IF(F117&gt;=Assumptions!$C$21,Assumptions!$C$10,Assumptions!$C$9),D117&gt;Assumptions!$C$23),N117*M117,0)</x:f>
        <x:v>49.49431780387724</x:v>
      </x:c>
      <x:c r="P117" s="78" t="n">
        <x:f>IFERROR(O117/F117,0)</x:f>
        <x:v>81.13822590799548</x:v>
      </x:c>
      <x:c r="Q117" s="78" t="n">
        <x:v>0</x:v>
      </x:c>
      <x:c r="R117" s="78" t="str">
        <x:v>Resolve</x:v>
      </x:c>
      <x:c r="S117" s="78" t="n">
        <x:f>IF(R117="Resolve",IF(IF(E117="YES",Q117,1-Q117)=1,P117*(1-F117),-O117),P117*(G117-F117))</x:f>
        <x:v>-49.49431780387724</x:v>
      </x:c>
      <x:c r="T117" s="78" t="n">
        <x:f>P117*J117</x:f>
        <x:v>0.24341467772398642</x:v>
      </x:c>
      <x:c r="U117" s="78" t="n">
        <x:f>S117-T117</x:f>
        <x:v>-49.73773248160122</x:v>
      </x:c>
      <x:c r="V117" s="78" t="n">
        <x:f>N117+U117</x:f>
        <x:v>9849.125828293847</x:v>
      </x:c>
      <x:c r="W117" s="74" t="n">
        <x:f>IFERROR(V117/MAX($V$16:V117)-1,0)</x:f>
        <x:v>-0.02057616529609496</x:v>
      </x:c>
      <x:c r="X117" t="str">
        <x:f>IF(O117&gt;0,"TRADE","NO_TRADE")</x:f>
        <x:v>TRADE</x:v>
      </x:c>
    </x:row>
    <x:row r="118">
      <x:c r="A118" s="66" t="n">
        <x:v>46167.505902777775</x:v>
      </x:c>
      <x:c r="B118" s="66" t="str">
        <x:v>MKT_1001</x:v>
      </x:c>
      <x:c r="C118" s="66" t="n">
        <x:v>46167.506944444445</x:v>
      </x:c>
      <x:c r="D118" t="n">
        <x:v>90</x:v>
      </x:c>
      <x:c r="E118" t="str">
        <x:v>NO</x:v>
      </x:c>
      <x:c r="F118" s="74" t="n">
        <x:v>0.74</x:v>
      </x:c>
      <x:c r="G118" s="74" t="n">
        <x:v>0.74</x:v>
      </x:c>
      <x:c r="H118" s="74" t="n">
        <x:v>0.735</x:v>
      </x:c>
      <x:c r="I118" s="74" t="n">
        <x:f>IF(E118="YES",H118,1-H118)</x:f>
        <x:v>0.265</x:v>
      </x:c>
      <x:c r="J118" s="76" t="n">
        <x:f>Assumptions!$C$12+Assumptions!$C$11*F118</x:f>
        <x:v>0.003</x:v>
      </x:c>
      <x:c r="K118" s="76" t="n">
        <x:f>I118-F118-J118</x:f>
        <x:v>-0.478</x:v>
      </x:c>
      <x:c r="L118" s="74" t="n">
        <x:f>MAX(0,IFERROR(K118/(1-F118),0))</x:f>
        <x:v>0</x:v>
      </x:c>
      <x:c r="M118" s="74" t="n">
        <x:f>MIN(Assumptions!$C$8*L118,Assumptions!$C$5)</x:f>
        <x:v>0</x:v>
      </x:c>
      <x:c r="N118" s="78" t="n">
        <x:f>IF(ROW()=16,Assumptions!$C$4,V117)</x:f>
        <x:v>9849.125828293847</x:v>
      </x:c>
      <x:c r="O118" s="78" t="n">
        <x:f>IF(AND(K118&gt;IF(F118&gt;=Assumptions!$C$21,Assumptions!$C$10,Assumptions!$C$9),D118&gt;Assumptions!$C$23),N118*M118,0)</x:f>
        <x:v>0</x:v>
      </x:c>
      <x:c r="P118" s="78" t="n">
        <x:f>IFERROR(O118/F118,0)</x:f>
        <x:v>0</x:v>
      </x:c>
      <x:c r="Q118" s="78" t="n">
        <x:v>1</x:v>
      </x:c>
      <x:c r="R118" s="78" t="str">
        <x:v>Resolve</x:v>
      </x:c>
      <x:c r="S118" s="78" t="n">
        <x:f>IF(R118="Resolve",IF(IF(E118="YES",Q118,1-Q118)=1,P118*(1-F118),-O118),P118*(G118-F118))</x:f>
        <x:v>0</x:v>
      </x:c>
      <x:c r="T118" s="78" t="n">
        <x:f>P118*J118</x:f>
        <x:v>0</x:v>
      </x:c>
      <x:c r="U118" s="78" t="n">
        <x:f>S118-T118</x:f>
        <x:v>0</x:v>
      </x:c>
      <x:c r="V118" s="78" t="n">
        <x:f>N118+U118</x:f>
        <x:v>9849.125828293847</x:v>
      </x:c>
      <x:c r="W118" s="74" t="n">
        <x:f>IFERROR(V118/MAX($V$16:V118)-1,0)</x:f>
        <x:v>-0.02057616529609496</x:v>
      </x:c>
      <x:c r="X118" t="str">
        <x:f>IF(O118&gt;0,"TRADE","NO_TRADE")</x:f>
        <x:v>NO_TRADE</x:v>
      </x:c>
    </x:row>
    <x:row r="119">
      <x:c r="A119" s="66" t="n">
        <x:v>46167.505960648145</x:v>
      </x:c>
      <x:c r="B119" s="66" t="str">
        <x:v>MKT_1001</x:v>
      </x:c>
      <x:c r="C119" s="66" t="n">
        <x:v>46167.506944444445</x:v>
      </x:c>
      <x:c r="D119" t="n">
        <x:v>85</x:v>
      </x:c>
      <x:c r="E119" t="str">
        <x:v>YES</x:v>
      </x:c>
      <x:c r="F119" s="74" t="n">
        <x:v>0.88</x:v>
      </x:c>
      <x:c r="G119" s="74" t="n">
        <x:v>0.88</x:v>
      </x:c>
      <x:c r="H119" s="74" t="n">
        <x:v>0.91</x:v>
      </x:c>
      <x:c r="I119" s="74" t="n">
        <x:f>IF(E119="YES",H119,1-H119)</x:f>
        <x:v>0.91</x:v>
      </x:c>
      <x:c r="J119" s="76" t="n">
        <x:f>Assumptions!$C$12+Assumptions!$C$11*F119</x:f>
        <x:v>0.003</x:v>
      </x:c>
      <x:c r="K119" s="76" t="n">
        <x:f>I119-F119-J119</x:f>
        <x:v>0.027000000000000027</x:v>
      </x:c>
      <x:c r="L119" s="74" t="n">
        <x:f>MAX(0,IFERROR(K119/(1-F119),0))</x:f>
        <x:v>0.22500000000000023</x:v>
      </x:c>
      <x:c r="M119" s="74" t="n">
        <x:f>MIN(Assumptions!$C$8*L119,Assumptions!$C$5)</x:f>
        <x:v>0.005</x:v>
      </x:c>
      <x:c r="N119" s="78" t="n">
        <x:f>IF(ROW()=16,Assumptions!$C$4,V118)</x:f>
        <x:v>9849.125828293847</x:v>
      </x:c>
      <x:c r="O119" s="78" t="n">
        <x:f>IF(AND(K119&gt;IF(F119&gt;=Assumptions!$C$21,Assumptions!$C$10,Assumptions!$C$9),D119&gt;Assumptions!$C$23),N119*M119,0)</x:f>
        <x:v>49.24562914146924</x:v>
      </x:c>
      <x:c r="P119" s="78" t="n">
        <x:f>IFERROR(O119/F119,0)</x:f>
        <x:v>55.960942206215044</x:v>
      </x:c>
      <x:c r="Q119" s="78" t="n">
        <x:v>1</x:v>
      </x:c>
      <x:c r="R119" s="78" t="str">
        <x:v>Resolve</x:v>
      </x:c>
      <x:c r="S119" s="78" t="n">
        <x:f>IF(R119="Resolve",IF(IF(E119="YES",Q119,1-Q119)=1,P119*(1-F119),-O119),P119*(G119-F119))</x:f>
        <x:v>6.715313064745805</x:v>
      </x:c>
      <x:c r="T119" s="78" t="n">
        <x:f>P119*J119</x:f>
        <x:v>0.16788282661864515</x:v>
      </x:c>
      <x:c r="U119" s="78" t="n">
        <x:f>S119-T119</x:f>
        <x:v>6.54743023812716</x:v>
      </x:c>
      <x:c r="V119" s="78" t="n">
        <x:f>N119+U119</x:f>
        <x:v>9855.673258531973</x:v>
      </x:c>
      <x:c r="W119" s="74" t="n">
        <x:f>IFERROR(V119/MAX($V$16:V119)-1,0)</x:f>
        <x:v>-0.01992507104234298</x:v>
      </x:c>
      <x:c r="X119" t="str">
        <x:f>IF(O119&gt;0,"TRADE","NO_TRADE")</x:f>
        <x:v>TRADE</x:v>
      </x:c>
    </x:row>
    <x:row r="120">
      <x:c r="A120" s="66" t="n">
        <x:v>46167.50601851852</x:v>
      </x:c>
      <x:c r="B120" s="66" t="str">
        <x:v>MKT_1001</x:v>
      </x:c>
      <x:c r="C120" s="66" t="n">
        <x:v>46167.506944444445</x:v>
      </x:c>
      <x:c r="D120" t="n">
        <x:v>80</x:v>
      </x:c>
      <x:c r="E120" t="str">
        <x:v>YES</x:v>
      </x:c>
      <x:c r="F120" s="74" t="n">
        <x:v>0.94</x:v>
      </x:c>
      <x:c r="G120" s="74" t="n">
        <x:v>0.94</x:v>
      </x:c>
      <x:c r="H120" s="74" t="n">
        <x:v>0.98</x:v>
      </x:c>
      <x:c r="I120" s="74" t="n">
        <x:f>IF(E120="YES",H120,1-H120)</x:f>
        <x:v>0.98</x:v>
      </x:c>
      <x:c r="J120" s="76" t="n">
        <x:f>Assumptions!$C$12+Assumptions!$C$11*F120</x:f>
        <x:v>0.003</x:v>
      </x:c>
      <x:c r="K120" s="76" t="n">
        <x:f>I120-F120-J120</x:f>
        <x:v>0.03700000000000003</x:v>
      </x:c>
      <x:c r="L120" s="74" t="n">
        <x:f>MAX(0,IFERROR(K120/(1-F120),0))</x:f>
        <x:v>0.6166666666666667</x:v>
      </x:c>
      <x:c r="M120" s="74" t="n">
        <x:f>MIN(Assumptions!$C$8*L120,Assumptions!$C$5)</x:f>
        <x:v>0.005</x:v>
      </x:c>
      <x:c r="N120" s="78" t="n">
        <x:f>IF(ROW()=16,Assumptions!$C$4,V119)</x:f>
        <x:v>9855.673258531973</x:v>
      </x:c>
      <x:c r="O120" s="78" t="n">
        <x:f>IF(AND(K120&gt;IF(F120&gt;=Assumptions!$C$21,Assumptions!$C$10,Assumptions!$C$9),D120&gt;Assumptions!$C$23),N120*M120,0)</x:f>
        <x:v>49.27836629265987</x:v>
      </x:c>
      <x:c r="P120" s="78" t="n">
        <x:f>IFERROR(O120/F120,0)</x:f>
        <x:v>52.42379392836156</x:v>
      </x:c>
      <x:c r="Q120" s="78" t="n">
        <x:v>1</x:v>
      </x:c>
      <x:c r="R120" s="78" t="str">
        <x:v>Resolve</x:v>
      </x:c>
      <x:c r="S120" s="78" t="n">
        <x:f>IF(R120="Resolve",IF(IF(E120="YES",Q120,1-Q120)=1,P120*(1-F120),-O120),P120*(G120-F120))</x:f>
        <x:v>3.1454276357016964</x:v>
      </x:c>
      <x:c r="T120" s="78" t="n">
        <x:f>P120*J120</x:f>
        <x:v>0.15727138178508468</x:v>
      </x:c>
      <x:c r="U120" s="78" t="n">
        <x:f>S120-T120</x:f>
        <x:v>2.9881562539166118</x:v>
      </x:c>
      <x:c r="V120" s="78" t="n">
        <x:f>N120+U120</x:f>
        <x:v>9858.661414785889</x:v>
      </x:c>
      <x:c r="W120" s="74" t="n">
        <x:f>IFERROR(V120/MAX($V$16:V120)-1,0)</x:f>
        <x:v>-0.01962792066494634</x:v>
      </x:c>
      <x:c r="X120" t="str">
        <x:f>IF(O120&gt;0,"TRADE","NO_TRADE")</x:f>
        <x:v>TRADE</x:v>
      </x:c>
    </x:row>
    <x:row r="121">
      <x:c r="A121" s="66" t="n">
        <x:v>46167.50607638889</x:v>
      </x:c>
      <x:c r="B121" s="66" t="str">
        <x:v>MKT_1001</x:v>
      </x:c>
      <x:c r="C121" s="66" t="n">
        <x:v>46167.506944444445</x:v>
      </x:c>
      <x:c r="D121" t="n">
        <x:v>75</x:v>
      </x:c>
      <x:c r="E121" t="str">
        <x:v>NO</x:v>
      </x:c>
      <x:c r="F121" s="74" t="n">
        <x:v>0.95</x:v>
      </x:c>
      <x:c r="G121" s="74" t="n">
        <x:v>0.95</x:v>
      </x:c>
      <x:c r="H121" s="74" t="n">
        <x:v>0.968</x:v>
      </x:c>
      <x:c r="I121" s="74" t="n">
        <x:f>IF(E121="YES",H121,1-H121)</x:f>
        <x:v>0.03200000000000003</x:v>
      </x:c>
      <x:c r="J121" s="76" t="n">
        <x:f>Assumptions!$C$12+Assumptions!$C$11*F121</x:f>
        <x:v>0.003</x:v>
      </x:c>
      <x:c r="K121" s="76" t="n">
        <x:f>I121-F121-J121</x:f>
        <x:v>-0.9209999999999999</x:v>
      </x:c>
      <x:c r="L121" s="74" t="n">
        <x:f>MAX(0,IFERROR(K121/(1-F121),0))</x:f>
        <x:v>0</x:v>
      </x:c>
      <x:c r="M121" s="74" t="n">
        <x:f>MIN(Assumptions!$C$8*L121,Assumptions!$C$5)</x:f>
        <x:v>0</x:v>
      </x:c>
      <x:c r="N121" s="78" t="n">
        <x:f>IF(ROW()=16,Assumptions!$C$4,V120)</x:f>
        <x:v>9858.661414785889</x:v>
      </x:c>
      <x:c r="O121" s="78" t="n">
        <x:f>IF(AND(K121&gt;IF(F121&gt;=Assumptions!$C$21,Assumptions!$C$10,Assumptions!$C$9),D121&gt;Assumptions!$C$23),N121*M121,0)</x:f>
        <x:v>0</x:v>
      </x:c>
      <x:c r="P121" s="78" t="n">
        <x:f>IFERROR(O121/F121,0)</x:f>
        <x:v>0</x:v>
      </x:c>
      <x:c r="Q121" s="78" t="n">
        <x:v>0</x:v>
      </x:c>
      <x:c r="R121" s="78" t="str">
        <x:v>Resolve</x:v>
      </x:c>
      <x:c r="S121" s="78" t="n">
        <x:f>IF(R121="Resolve",IF(IF(E121="YES",Q121,1-Q121)=1,P121*(1-F121),-O121),P121*(G121-F121))</x:f>
        <x:v>0</x:v>
      </x:c>
      <x:c r="T121" s="78" t="n">
        <x:f>P121*J121</x:f>
        <x:v>0</x:v>
      </x:c>
      <x:c r="U121" s="78" t="n">
        <x:f>S121-T121</x:f>
        <x:v>0</x:v>
      </x:c>
      <x:c r="V121" s="78" t="n">
        <x:f>N121+U121</x:f>
        <x:v>9858.661414785889</x:v>
      </x:c>
      <x:c r="W121" s="74" t="n">
        <x:f>IFERROR(V121/MAX($V$16:V121)-1,0)</x:f>
        <x:v>-0.01962792066494634</x:v>
      </x:c>
      <x:c r="X121" t="str">
        <x:f>IF(O121&gt;0,"TRADE","NO_TRADE")</x:f>
        <x:v>NO_TRADE</x:v>
      </x:c>
    </x:row>
    <x:row r="122">
      <x:c r="A122" s="66" t="n">
        <x:v>46167.50613425926</x:v>
      </x:c>
      <x:c r="B122" s="66" t="str">
        <x:v>MKT_1001</x:v>
      </x:c>
      <x:c r="C122" s="66" t="n">
        <x:v>46167.506944444445</x:v>
      </x:c>
      <x:c r="D122" t="n">
        <x:v>70</x:v>
      </x:c>
      <x:c r="E122" t="str">
        <x:v>YES</x:v>
      </x:c>
      <x:c r="F122" s="74" t="n">
        <x:v>0.57</x:v>
      </x:c>
      <x:c r="G122" s="74" t="n">
        <x:v>0.57</x:v>
      </x:c>
      <x:c r="H122" s="74" t="n">
        <x:v>0.582</x:v>
      </x:c>
      <x:c r="I122" s="74" t="n">
        <x:f>IF(E122="YES",H122,1-H122)</x:f>
        <x:v>0.582</x:v>
      </x:c>
      <x:c r="J122" s="76" t="n">
        <x:f>Assumptions!$C$12+Assumptions!$C$11*F122</x:f>
        <x:v>0.003</x:v>
      </x:c>
      <x:c r="K122" s="76" t="n">
        <x:f>I122-F122-J122</x:f>
        <x:v>0.009000000000000011</x:v>
      </x:c>
      <x:c r="L122" s="74" t="n">
        <x:f>MAX(0,IFERROR(K122/(1-F122),0))</x:f>
        <x:v>0.02093023255813956</x:v>
      </x:c>
      <x:c r="M122" s="74" t="n">
        <x:f>MIN(Assumptions!$C$8*L122,Assumptions!$C$5)</x:f>
        <x:v>0.005</x:v>
      </x:c>
      <x:c r="N122" s="78" t="n">
        <x:f>IF(ROW()=16,Assumptions!$C$4,V121)</x:f>
        <x:v>9858.661414785889</x:v>
      </x:c>
      <x:c r="O122" s="78" t="n">
        <x:f>IF(AND(K122&gt;IF(F122&gt;=Assumptions!$C$21,Assumptions!$C$10,Assumptions!$C$9),D122&gt;Assumptions!$C$23),N122*M122,0)</x:f>
        <x:v>49.29330707392945</x:v>
      </x:c>
      <x:c r="P122" s="78" t="n">
        <x:f>IFERROR(O122/F122,0)</x:f>
        <x:v>86.47948609461308</x:v>
      </x:c>
      <x:c r="Q122" s="78" t="n">
        <x:v>1</x:v>
      </x:c>
      <x:c r="R122" s="78" t="str">
        <x:v>Resolve</x:v>
      </x:c>
      <x:c r="S122" s="78" t="n">
        <x:f>IF(R122="Resolve",IF(IF(E122="YES",Q122,1-Q122)=1,P122*(1-F122),-O122),P122*(G122-F122))</x:f>
        <x:v>37.18617902068363</x:v>
      </x:c>
      <x:c r="T122" s="78" t="n">
        <x:f>P122*J122</x:f>
        <x:v>0.25943845828383927</x:v>
      </x:c>
      <x:c r="U122" s="78" t="n">
        <x:f>S122-T122</x:f>
        <x:v>36.92674056239979</x:v>
      </x:c>
      <x:c r="V122" s="78" t="n">
        <x:f>N122+U122</x:f>
        <x:v>9895.588155348289</x:v>
      </x:c>
      <x:c r="W122" s="74" t="n">
        <x:f>IFERROR(V122/MAX($V$16:V122)-1,0)</x:f>
        <x:v>-0.015955825244980848</x:v>
      </x:c>
      <x:c r="X122" t="str">
        <x:f>IF(O122&gt;0,"TRADE","NO_TRADE")</x:f>
        <x:v>TRADE</x:v>
      </x:c>
    </x:row>
    <x:row r="123">
      <x:c r="A123" s="66" t="n">
        <x:v>46167.50619212963</x:v>
      </x:c>
      <x:c r="B123" s="66" t="str">
        <x:v>MKT_1001</x:v>
      </x:c>
      <x:c r="C123" s="66" t="n">
        <x:v>46167.506944444445</x:v>
      </x:c>
      <x:c r="D123" t="n">
        <x:v>65</x:v>
      </x:c>
      <x:c r="E123" t="str">
        <x:v>YES</x:v>
      </x:c>
      <x:c r="F123" s="74" t="n">
        <x:v>0.68</x:v>
      </x:c>
      <x:c r="G123" s="74" t="n">
        <x:v>0.68</x:v>
      </x:c>
      <x:c r="H123" s="74" t="n">
        <x:v>0.7050000000000001</x:v>
      </x:c>
      <x:c r="I123" s="74" t="n">
        <x:f>IF(E123="YES",H123,1-H123)</x:f>
        <x:v>0.7050000000000001</x:v>
      </x:c>
      <x:c r="J123" s="76" t="n">
        <x:f>Assumptions!$C$12+Assumptions!$C$11*F123</x:f>
        <x:v>0.003</x:v>
      </x:c>
      <x:c r="K123" s="76" t="n">
        <x:f>I123-F123-J123</x:f>
        <x:v>0.022000000000000023</x:v>
      </x:c>
      <x:c r="L123" s="74" t="n">
        <x:f>MAX(0,IFERROR(K123/(1-F123),0))</x:f>
        <x:v>0.06875000000000009</x:v>
      </x:c>
      <x:c r="M123" s="74" t="n">
        <x:f>MIN(Assumptions!$C$8*L123,Assumptions!$C$5)</x:f>
        <x:v>0.005</x:v>
      </x:c>
      <x:c r="N123" s="78" t="n">
        <x:f>IF(ROW()=16,Assumptions!$C$4,V122)</x:f>
        <x:v>9895.588155348289</x:v>
      </x:c>
      <x:c r="O123" s="78" t="n">
        <x:f>IF(AND(K123&gt;IF(F123&gt;=Assumptions!$C$21,Assumptions!$C$10,Assumptions!$C$9),D123&gt;Assumptions!$C$23),N123*M123,0)</x:f>
        <x:v>49.47794077674144</x:v>
      </x:c>
      <x:c r="P123" s="78" t="n">
        <x:f>IFERROR(O123/F123,0)</x:f>
        <x:v>72.76167761285505</x:v>
      </x:c>
      <x:c r="Q123" s="78" t="n">
        <x:v>1</x:v>
      </x:c>
      <x:c r="R123" s="78" t="str">
        <x:v>Resolve</x:v>
      </x:c>
      <x:c r="S123" s="78" t="n">
        <x:f>IF(R123="Resolve",IF(IF(E123="YES",Q123,1-Q123)=1,P123*(1-F123),-O123),P123*(G123-F123))</x:f>
        <x:v>23.283736836113615</x:v>
      </x:c>
      <x:c r="T123" s="78" t="n">
        <x:f>P123*J123</x:f>
        <x:v>0.21828503283856515</x:v>
      </x:c>
      <x:c r="U123" s="78" t="n">
        <x:f>S123-T123</x:f>
        <x:v>23.06545180327505</x:v>
      </x:c>
      <x:c r="V123" s="78" t="n">
        <x:f>N123+U123</x:f>
        <x:v>9918.653607151564</x:v>
      </x:c>
      <x:c r="W123" s="74" t="n">
        <x:f>IFERROR(V123/MAX($V$16:V123)-1,0)</x:f>
        <x:v>-0.013662134043529783</x:v>
      </x:c>
      <x:c r="X123" t="str">
        <x:f>IF(O123&gt;0,"TRADE","NO_TRADE")</x:f>
        <x:v>TRADE</x:v>
      </x:c>
    </x:row>
    <x:row r="124">
      <x:c r="A124" s="66" t="n">
        <x:v>46167.50625</x:v>
      </x:c>
      <x:c r="B124" s="66" t="str">
        <x:v>MKT_1001</x:v>
      </x:c>
      <x:c r="C124" s="66" t="n">
        <x:v>46167.506944444445</x:v>
      </x:c>
      <x:c r="D124" t="n">
        <x:v>60</x:v>
      </x:c>
      <x:c r="E124" t="str">
        <x:v>NO</x:v>
      </x:c>
      <x:c r="F124" s="74" t="n">
        <x:v>0.91</x:v>
      </x:c>
      <x:c r="G124" s="74" t="n">
        <x:v>0.91</x:v>
      </x:c>
      <x:c r="H124" s="74" t="n">
        <x:v>0.9450000000000001</x:v>
      </x:c>
      <x:c r="I124" s="74" t="n">
        <x:f>IF(E124="YES",H124,1-H124)</x:f>
        <x:v>0.05499999999999994</x:v>
      </x:c>
      <x:c r="J124" s="76" t="n">
        <x:f>Assumptions!$C$12+Assumptions!$C$11*F124</x:f>
        <x:v>0.003</x:v>
      </x:c>
      <x:c r="K124" s="76" t="n">
        <x:f>I124-F124-J124</x:f>
        <x:v>-0.8580000000000001</x:v>
      </x:c>
      <x:c r="L124" s="74" t="n">
        <x:f>MAX(0,IFERROR(K124/(1-F124),0))</x:f>
        <x:v>0</x:v>
      </x:c>
      <x:c r="M124" s="74" t="n">
        <x:f>MIN(Assumptions!$C$8*L124,Assumptions!$C$5)</x:f>
        <x:v>0</x:v>
      </x:c>
      <x:c r="N124" s="78" t="n">
        <x:f>IF(ROW()=16,Assumptions!$C$4,V123)</x:f>
        <x:v>9918.653607151564</x:v>
      </x:c>
      <x:c r="O124" s="78" t="n">
        <x:f>IF(AND(K124&gt;IF(F124&gt;=Assumptions!$C$21,Assumptions!$C$10,Assumptions!$C$9),D124&gt;Assumptions!$C$23),N124*M124,0)</x:f>
        <x:v>0</x:v>
      </x:c>
      <x:c r="P124" s="78" t="n">
        <x:f>IFERROR(O124/F124,0)</x:f>
        <x:v>0</x:v>
      </x:c>
      <x:c r="Q124" s="78" t="n">
        <x:v>0</x:v>
      </x:c>
      <x:c r="R124" s="78" t="str">
        <x:v>Resolve</x:v>
      </x:c>
      <x:c r="S124" s="78" t="n">
        <x:f>IF(R124="Resolve",IF(IF(E124="YES",Q124,1-Q124)=1,P124*(1-F124),-O124),P124*(G124-F124))</x:f>
        <x:v>0</x:v>
      </x:c>
      <x:c r="T124" s="78" t="n">
        <x:f>P124*J124</x:f>
        <x:v>0</x:v>
      </x:c>
      <x:c r="U124" s="78" t="n">
        <x:f>S124-T124</x:f>
        <x:v>0</x:v>
      </x:c>
      <x:c r="V124" s="78" t="n">
        <x:f>N124+U124</x:f>
        <x:v>9918.653607151564</x:v>
      </x:c>
      <x:c r="W124" s="74" t="n">
        <x:f>IFERROR(V124/MAX($V$16:V124)-1,0)</x:f>
        <x:v>-0.013662134043529783</x:v>
      </x:c>
      <x:c r="X124" t="str">
        <x:f>IF(O124&gt;0,"TRADE","NO_TRADE")</x:f>
        <x:v>NO_TRADE</x:v>
      </x:c>
    </x:row>
    <x:row r="125">
      <x:c r="A125" s="66" t="n">
        <x:v>46167.50630787037</x:v>
      </x:c>
      <x:c r="B125" s="66" t="str">
        <x:v>MKT_1001</x:v>
      </x:c>
      <x:c r="C125" s="66" t="n">
        <x:v>46167.506944444445</x:v>
      </x:c>
      <x:c r="D125" t="n">
        <x:v>55</x:v>
      </x:c>
      <x:c r="E125" t="str">
        <x:v>YES</x:v>
      </x:c>
      <x:c r="F125" s="74" t="n">
        <x:v>0.83</x:v>
      </x:c>
      <x:c r="G125" s="74" t="n">
        <x:v>0.83</x:v>
      </x:c>
      <x:c r="H125" s="74" t="n">
        <x:v>0.82</x:v>
      </x:c>
      <x:c r="I125" s="74" t="n">
        <x:f>IF(E125="YES",H125,1-H125)</x:f>
        <x:v>0.82</x:v>
      </x:c>
      <x:c r="J125" s="76" t="n">
        <x:f>Assumptions!$C$12+Assumptions!$C$11*F125</x:f>
        <x:v>0.003</x:v>
      </x:c>
      <x:c r="K125" s="76" t="n">
        <x:f>I125-F125-J125</x:f>
        <x:v>-0.013000000000000008</x:v>
      </x:c>
      <x:c r="L125" s="74" t="n">
        <x:f>MAX(0,IFERROR(K125/(1-F125),0))</x:f>
        <x:v>0</x:v>
      </x:c>
      <x:c r="M125" s="74" t="n">
        <x:f>MIN(Assumptions!$C$8*L125,Assumptions!$C$5)</x:f>
        <x:v>0</x:v>
      </x:c>
      <x:c r="N125" s="78" t="n">
        <x:f>IF(ROW()=16,Assumptions!$C$4,V124)</x:f>
        <x:v>9918.653607151564</x:v>
      </x:c>
      <x:c r="O125" s="78" t="n">
        <x:f>IF(AND(K125&gt;IF(F125&gt;=Assumptions!$C$21,Assumptions!$C$10,Assumptions!$C$9),D125&gt;Assumptions!$C$23),N125*M125,0)</x:f>
        <x:v>0</x:v>
      </x:c>
      <x:c r="P125" s="78" t="n">
        <x:f>IFERROR(O125/F125,0)</x:f>
        <x:v>0</x:v>
      </x:c>
      <x:c r="Q125" s="78" t="n">
        <x:v>1</x:v>
      </x:c>
      <x:c r="R125" s="78" t="str">
        <x:v>Resolve</x:v>
      </x:c>
      <x:c r="S125" s="78" t="n">
        <x:f>IF(R125="Resolve",IF(IF(E125="YES",Q125,1-Q125)=1,P125*(1-F125),-O125),P125*(G125-F125))</x:f>
        <x:v>0</x:v>
      </x:c>
      <x:c r="T125" s="78" t="n">
        <x:f>P125*J125</x:f>
        <x:v>0</x:v>
      </x:c>
      <x:c r="U125" s="78" t="n">
        <x:f>S125-T125</x:f>
        <x:v>0</x:v>
      </x:c>
      <x:c r="V125" s="78" t="n">
        <x:f>N125+U125</x:f>
        <x:v>9918.653607151564</x:v>
      </x:c>
      <x:c r="W125" s="74" t="n">
        <x:f>IFERROR(V125/MAX($V$16:V125)-1,0)</x:f>
        <x:v>-0.013662134043529783</x:v>
      </x:c>
      <x:c r="X125" t="str">
        <x:f>IF(O125&gt;0,"TRADE","NO_TRADE")</x:f>
        <x:v>NO_TRADE</x:v>
      </x:c>
    </x:row>
    <x:row r="126">
      <x:c r="A126" s="66" t="n">
        <x:v>46167.50636574074</x:v>
      </x:c>
      <x:c r="B126" s="66" t="str">
        <x:v>MKT_1001</x:v>
      </x:c>
      <x:c r="C126" s="66" t="n">
        <x:v>46167.506944444445</x:v>
      </x:c>
      <x:c r="D126" t="n">
        <x:v>50</x:v>
      </x:c>
      <x:c r="E126" t="str">
        <x:v>YES</x:v>
      </x:c>
      <x:c r="F126" s="74" t="n">
        <x:v>0.52</x:v>
      </x:c>
      <x:c r="G126" s="74" t="n">
        <x:v>0.52</x:v>
      </x:c>
      <x:c r="H126" s="74" t="n">
        <x:v>0.535</x:v>
      </x:c>
      <x:c r="I126" s="74" t="n">
        <x:f>IF(E126="YES",H126,1-H126)</x:f>
        <x:v>0.535</x:v>
      </x:c>
      <x:c r="J126" s="76" t="n">
        <x:f>Assumptions!$C$12+Assumptions!$C$11*F126</x:f>
        <x:v>0.003</x:v>
      </x:c>
      <x:c r="K126" s="76" t="n">
        <x:f>I126-F126-J126</x:f>
        <x:v>0.012000000000000014</x:v>
      </x:c>
      <x:c r="L126" s="74" t="n">
        <x:f>MAX(0,IFERROR(K126/(1-F126),0))</x:f>
        <x:v>0.02500000000000003</x:v>
      </x:c>
      <x:c r="M126" s="74" t="n">
        <x:f>MIN(Assumptions!$C$8*L126,Assumptions!$C$5)</x:f>
        <x:v>0.005</x:v>
      </x:c>
      <x:c r="N126" s="78" t="n">
        <x:f>IF(ROW()=16,Assumptions!$C$4,V125)</x:f>
        <x:v>9918.653607151564</x:v>
      </x:c>
      <x:c r="O126" s="78" t="n">
        <x:f>IF(AND(K126&gt;IF(F126&gt;=Assumptions!$C$21,Assumptions!$C$10,Assumptions!$C$9),D126&gt;Assumptions!$C$23),N126*M126,0)</x:f>
        <x:v>49.59326803575782</x:v>
      </x:c>
      <x:c r="P126" s="78" t="n">
        <x:f>IFERROR(O126/F126,0)</x:f>
        <x:v>95.37166929953428</x:v>
      </x:c>
      <x:c r="Q126" s="78" t="n">
        <x:v>1</x:v>
      </x:c>
      <x:c r="R126" s="78" t="str">
        <x:v>Resolve</x:v>
      </x:c>
      <x:c r="S126" s="78" t="n">
        <x:f>IF(R126="Resolve",IF(IF(E126="YES",Q126,1-Q126)=1,P126*(1-F126),-O126),P126*(G126-F126))</x:f>
        <x:v>45.77840126377645</x:v>
      </x:c>
      <x:c r="T126" s="78" t="n">
        <x:f>P126*J126</x:f>
        <x:v>0.28611500789860284</x:v>
      </x:c>
      <x:c r="U126" s="78" t="n">
        <x:f>S126-T126</x:f>
        <x:v>45.49228625587785</x:v>
      </x:c>
      <x:c r="V126" s="78" t="n">
        <x:f>N126+U126</x:f>
        <x:v>9964.145893407442</x:v>
      </x:c>
      <x:c r="W126" s="74" t="n">
        <x:f>IFERROR(V126/MAX($V$16:V126)-1,0)</x:f>
        <x:v>-0.009138257485248658</x:v>
      </x:c>
      <x:c r="X126" t="str">
        <x:f>IF(O126&gt;0,"TRADE","NO_TRADE")</x:f>
        <x:v>TRADE</x:v>
      </x:c>
    </x:row>
    <x:row r="127">
      <x:c r="A127" s="66" t="n">
        <x:v>46167.506423611114</x:v>
      </x:c>
      <x:c r="B127" s="66" t="str">
        <x:v>MKT_1001</x:v>
      </x:c>
      <x:c r="C127" s="66" t="n">
        <x:v>46167.506944444445</x:v>
      </x:c>
      <x:c r="D127" t="n">
        <x:v>45</x:v>
      </x:c>
      <x:c r="E127" t="str">
        <x:v>NO</x:v>
      </x:c>
      <x:c r="F127" s="74" t="n">
        <x:v>0.61</x:v>
      </x:c>
      <x:c r="G127" s="74" t="n">
        <x:v>0.61</x:v>
      </x:c>
      <x:c r="H127" s="74" t="n">
        <x:v>0.63</x:v>
      </x:c>
      <x:c r="I127" s="74" t="n">
        <x:f>IF(E127="YES",H127,1-H127)</x:f>
        <x:v>0.37</x:v>
      </x:c>
      <x:c r="J127" s="76" t="n">
        <x:f>Assumptions!$C$12+Assumptions!$C$11*F127</x:f>
        <x:v>0.003</x:v>
      </x:c>
      <x:c r="K127" s="76" t="n">
        <x:f>I127-F127-J127</x:f>
        <x:v>-0.243</x:v>
      </x:c>
      <x:c r="L127" s="74" t="n">
        <x:f>MAX(0,IFERROR(K127/(1-F127),0))</x:f>
        <x:v>0</x:v>
      </x:c>
      <x:c r="M127" s="74" t="n">
        <x:f>MIN(Assumptions!$C$8*L127,Assumptions!$C$5)</x:f>
        <x:v>0</x:v>
      </x:c>
      <x:c r="N127" s="78" t="n">
        <x:f>IF(ROW()=16,Assumptions!$C$4,V126)</x:f>
        <x:v>9964.145893407442</x:v>
      </x:c>
      <x:c r="O127" s="78" t="n">
        <x:f>IF(AND(K127&gt;IF(F127&gt;=Assumptions!$C$21,Assumptions!$C$10,Assumptions!$C$9),D127&gt;Assumptions!$C$23),N127*M127,0)</x:f>
        <x:v>0</x:v>
      </x:c>
      <x:c r="P127" s="78" t="n">
        <x:f>IFERROR(O127/F127,0)</x:f>
        <x:v>0</x:v>
      </x:c>
      <x:c r="Q127" s="78" t="n">
        <x:v>1</x:v>
      </x:c>
      <x:c r="R127" s="78" t="str">
        <x:v>Resolve</x:v>
      </x:c>
      <x:c r="S127" s="78" t="n">
        <x:f>IF(R127="Resolve",IF(IF(E127="YES",Q127,1-Q127)=1,P127*(1-F127),-O127),P127*(G127-F127))</x:f>
        <x:v>0</x:v>
      </x:c>
      <x:c r="T127" s="78" t="n">
        <x:f>P127*J127</x:f>
        <x:v>0</x:v>
      </x:c>
      <x:c r="U127" s="78" t="n">
        <x:f>S127-T127</x:f>
        <x:v>0</x:v>
      </x:c>
      <x:c r="V127" s="78" t="n">
        <x:f>N127+U127</x:f>
        <x:v>9964.145893407442</x:v>
      </x:c>
      <x:c r="W127" s="74" t="n">
        <x:f>IFERROR(V127/MAX($V$16:V127)-1,0)</x:f>
        <x:v>-0.009138257485248658</x:v>
      </x:c>
      <x:c r="X127" t="str">
        <x:f>IF(O127&gt;0,"TRADE","NO_TRADE")</x:f>
        <x:v>NO_TRADE</x:v>
      </x:c>
    </x:row>
    <x:row r="128">
      <x:c r="A128" s="66" t="n">
        <x:v>46167.50648148148</x:v>
      </x:c>
      <x:c r="B128" s="66" t="str">
        <x:v>MKT_1001</x:v>
      </x:c>
      <x:c r="C128" s="66" t="n">
        <x:v>46167.506944444445</x:v>
      </x:c>
      <x:c r="D128" t="n">
        <x:v>40</x:v>
      </x:c>
      <x:c r="E128" t="str">
        <x:v>YES</x:v>
      </x:c>
      <x:c r="F128" s="74" t="n">
        <x:v>0.74</x:v>
      </x:c>
      <x:c r="G128" s="74" t="n">
        <x:v>0.74</x:v>
      </x:c>
      <x:c r="H128" s="74" t="n">
        <x:v>0.735</x:v>
      </x:c>
      <x:c r="I128" s="74" t="n">
        <x:f>IF(E128="YES",H128,1-H128)</x:f>
        <x:v>0.735</x:v>
      </x:c>
      <x:c r="J128" s="76" t="n">
        <x:f>Assumptions!$C$12+Assumptions!$C$11*F128</x:f>
        <x:v>0.003</x:v>
      </x:c>
      <x:c r="K128" s="76" t="n">
        <x:f>I128-F128-J128</x:f>
        <x:v>-0.008000000000000004</x:v>
      </x:c>
      <x:c r="L128" s="74" t="n">
        <x:f>MAX(0,IFERROR(K128/(1-F128),0))</x:f>
        <x:v>0</x:v>
      </x:c>
      <x:c r="M128" s="74" t="n">
        <x:f>MIN(Assumptions!$C$8*L128,Assumptions!$C$5)</x:f>
        <x:v>0</x:v>
      </x:c>
      <x:c r="N128" s="78" t="n">
        <x:f>IF(ROW()=16,Assumptions!$C$4,V127)</x:f>
        <x:v>9964.145893407442</x:v>
      </x:c>
      <x:c r="O128" s="78" t="n">
        <x:f>IF(AND(K128&gt;IF(F128&gt;=Assumptions!$C$21,Assumptions!$C$10,Assumptions!$C$9),D128&gt;Assumptions!$C$23),N128*M128,0)</x:f>
        <x:v>0</x:v>
      </x:c>
      <x:c r="P128" s="78" t="n">
        <x:f>IFERROR(O128/F128,0)</x:f>
        <x:v>0</x:v>
      </x:c>
      <x:c r="Q128" s="78" t="n">
        <x:v>0</x:v>
      </x:c>
      <x:c r="R128" s="78" t="str">
        <x:v>Resolve</x:v>
      </x:c>
      <x:c r="S128" s="78" t="n">
        <x:f>IF(R128="Resolve",IF(IF(E128="YES",Q128,1-Q128)=1,P128*(1-F128),-O128),P128*(G128-F128))</x:f>
        <x:v>0</x:v>
      </x:c>
      <x:c r="T128" s="78" t="n">
        <x:f>P128*J128</x:f>
        <x:v>0</x:v>
      </x:c>
      <x:c r="U128" s="78" t="n">
        <x:f>S128-T128</x:f>
        <x:v>0</x:v>
      </x:c>
      <x:c r="V128" s="78" t="n">
        <x:f>N128+U128</x:f>
        <x:v>9964.145893407442</x:v>
      </x:c>
      <x:c r="W128" s="74" t="n">
        <x:f>IFERROR(V128/MAX($V$16:V128)-1,0)</x:f>
        <x:v>-0.009138257485248658</x:v>
      </x:c>
      <x:c r="X128" t="str">
        <x:f>IF(O128&gt;0,"TRADE","NO_TRADE")</x:f>
        <x:v>NO_TRADE</x:v>
      </x:c>
    </x:row>
    <x:row r="129">
      <x:c r="A129" s="66" t="n">
        <x:v>46167.50653935185</x:v>
      </x:c>
      <x:c r="B129" s="66" t="str">
        <x:v>MKT_1001</x:v>
      </x:c>
      <x:c r="C129" s="66" t="n">
        <x:v>46167.506944444445</x:v>
      </x:c>
      <x:c r="D129" t="n">
        <x:v>35</x:v>
      </x:c>
      <x:c r="E129" t="str">
        <x:v>YES</x:v>
      </x:c>
      <x:c r="F129" s="74" t="n">
        <x:v>0.88</x:v>
      </x:c>
      <x:c r="G129" s="74" t="n">
        <x:v>0.88</x:v>
      </x:c>
      <x:c r="H129" s="74" t="n">
        <x:v>0.91</x:v>
      </x:c>
      <x:c r="I129" s="74" t="n">
        <x:f>IF(E129="YES",H129,1-H129)</x:f>
        <x:v>0.91</x:v>
      </x:c>
      <x:c r="J129" s="76" t="n">
        <x:f>Assumptions!$C$12+Assumptions!$C$11*F129</x:f>
        <x:v>0.003</x:v>
      </x:c>
      <x:c r="K129" s="76" t="n">
        <x:f>I129-F129-J129</x:f>
        <x:v>0.027000000000000027</x:v>
      </x:c>
      <x:c r="L129" s="74" t="n">
        <x:f>MAX(0,IFERROR(K129/(1-F129),0))</x:f>
        <x:v>0.22500000000000023</x:v>
      </x:c>
      <x:c r="M129" s="74" t="n">
        <x:f>MIN(Assumptions!$C$8*L129,Assumptions!$C$5)</x:f>
        <x:v>0.005</x:v>
      </x:c>
      <x:c r="N129" s="78" t="n">
        <x:f>IF(ROW()=16,Assumptions!$C$4,V128)</x:f>
        <x:v>9964.145893407442</x:v>
      </x:c>
      <x:c r="O129" s="78" t="n">
        <x:f>IF(AND(K129&gt;IF(F129&gt;=Assumptions!$C$21,Assumptions!$C$10,Assumptions!$C$9),D129&gt;Assumptions!$C$23),N129*M129,0)</x:f>
        <x:v>49.82072946703721</x:v>
      </x:c>
      <x:c r="P129" s="78" t="n">
        <x:f>IFERROR(O129/F129,0)</x:f>
        <x:v>56.614465303451375</x:v>
      </x:c>
      <x:c r="Q129" s="78" t="n">
        <x:v>1</x:v>
      </x:c>
      <x:c r="R129" s="78" t="str">
        <x:v>Resolve</x:v>
      </x:c>
      <x:c r="S129" s="78" t="n">
        <x:f>IF(R129="Resolve",IF(IF(E129="YES",Q129,1-Q129)=1,P129*(1-F129),-O129),P129*(G129-F129))</x:f>
        <x:v>6.7937358364141645</x:v>
      </x:c>
      <x:c r="T129" s="78" t="n">
        <x:f>P129*J129</x:f>
        <x:v>0.16984339591035413</x:v>
      </x:c>
      <x:c r="U129" s="78" t="n">
        <x:f>S129-T129</x:f>
        <x:v>6.62389244050381</x:v>
      </x:c>
      <x:c r="V129" s="78" t="n">
        <x:f>N129+U129</x:f>
        <x:v>9970.769785847946</x:v>
      </x:c>
      <x:c r="W129" s="74" t="n">
        <x:f>IFERROR(V129/MAX($V$16:V129)-1,0)</x:f>
        <x:v>-0.008479559622326938</x:v>
      </x:c>
      <x:c r="X129" t="str">
        <x:f>IF(O129&gt;0,"TRADE","NO_TRADE")</x:f>
        <x:v>TRADE</x:v>
      </x:c>
    </x:row>
    <x:row r="130">
      <x:c r="A130" s="66" t="n">
        <x:v>46167.50659722222</x:v>
      </x:c>
      <x:c r="B130" s="66" t="str">
        <x:v>MKT_1001</x:v>
      </x:c>
      <x:c r="C130" s="66" t="n">
        <x:v>46167.506944444445</x:v>
      </x:c>
      <x:c r="D130" t="n">
        <x:v>30</x:v>
      </x:c>
      <x:c r="E130" t="str">
        <x:v>NO</x:v>
      </x:c>
      <x:c r="F130" s="74" t="n">
        <x:v>0.94</x:v>
      </x:c>
      <x:c r="G130" s="74" t="n">
        <x:v>0.94</x:v>
      </x:c>
      <x:c r="H130" s="74" t="n">
        <x:v>0.98</x:v>
      </x:c>
      <x:c r="I130" s="74" t="n">
        <x:f>IF(E130="YES",H130,1-H130)</x:f>
        <x:v>0.020000000000000018</x:v>
      </x:c>
      <x:c r="J130" s="76" t="n">
        <x:f>Assumptions!$C$12+Assumptions!$C$11*F130</x:f>
        <x:v>0.003</x:v>
      </x:c>
      <x:c r="K130" s="76" t="n">
        <x:f>I130-F130-J130</x:f>
        <x:v>-0.9229999999999999</x:v>
      </x:c>
      <x:c r="L130" s="74" t="n">
        <x:f>MAX(0,IFERROR(K130/(1-F130),0))</x:f>
        <x:v>0</x:v>
      </x:c>
      <x:c r="M130" s="74" t="n">
        <x:f>MIN(Assumptions!$C$8*L130,Assumptions!$C$5)</x:f>
        <x:v>0</x:v>
      </x:c>
      <x:c r="N130" s="78" t="n">
        <x:f>IF(ROW()=16,Assumptions!$C$4,V129)</x:f>
        <x:v>9970.769785847946</x:v>
      </x:c>
      <x:c r="O130" s="78" t="n">
        <x:f>IF(AND(K130&gt;IF(F130&gt;=Assumptions!$C$21,Assumptions!$C$10,Assumptions!$C$9),D130&gt;Assumptions!$C$23),N130*M130,0)</x:f>
        <x:v>0</x:v>
      </x:c>
      <x:c r="P130" s="78" t="n">
        <x:f>IFERROR(O130/F130,0)</x:f>
        <x:v>0</x:v>
      </x:c>
      <x:c r="Q130" s="78" t="n">
        <x:v>1</x:v>
      </x:c>
      <x:c r="R130" s="78" t="str">
        <x:v>Resolve</x:v>
      </x:c>
      <x:c r="S130" s="78" t="n">
        <x:f>IF(R130="Resolve",IF(IF(E130="YES",Q130,1-Q130)=1,P130*(1-F130),-O130),P130*(G130-F130))</x:f>
        <x:v>0</x:v>
      </x:c>
      <x:c r="T130" s="78" t="n">
        <x:f>P130*J130</x:f>
        <x:v>0</x:v>
      </x:c>
      <x:c r="U130" s="78" t="n">
        <x:f>S130-T130</x:f>
        <x:v>0</x:v>
      </x:c>
      <x:c r="V130" s="78" t="n">
        <x:f>N130+U130</x:f>
        <x:v>9970.769785847946</x:v>
      </x:c>
      <x:c r="W130" s="74" t="n">
        <x:f>IFERROR(V130/MAX($V$16:V130)-1,0)</x:f>
        <x:v>-0.008479559622326938</x:v>
      </x:c>
      <x:c r="X130" t="str">
        <x:f>IF(O130&gt;0,"TRADE","NO_TRADE")</x:f>
        <x:v>NO_TRADE</x:v>
      </x:c>
    </x:row>
    <x:row r="131">
      <x:c r="A131" s="66" t="n">
        <x:v>46167.50665509259</x:v>
      </x:c>
      <x:c r="B131" s="66" t="str">
        <x:v>MKT_1001</x:v>
      </x:c>
      <x:c r="C131" s="66" t="n">
        <x:v>46167.506944444445</x:v>
      </x:c>
      <x:c r="D131" t="n">
        <x:v>25</x:v>
      </x:c>
      <x:c r="E131" t="str">
        <x:v>YES</x:v>
      </x:c>
      <x:c r="F131" s="74" t="n">
        <x:v>0.95</x:v>
      </x:c>
      <x:c r="G131" s="74" t="n">
        <x:v>0.95</x:v>
      </x:c>
      <x:c r="H131" s="74" t="n">
        <x:v>0.968</x:v>
      </x:c>
      <x:c r="I131" s="74" t="n">
        <x:f>IF(E131="YES",H131,1-H131)</x:f>
        <x:v>0.968</x:v>
      </x:c>
      <x:c r="J131" s="76" t="n">
        <x:f>Assumptions!$C$12+Assumptions!$C$11*F131</x:f>
        <x:v>0.003</x:v>
      </x:c>
      <x:c r="K131" s="76" t="n">
        <x:f>I131-F131-J131</x:f>
        <x:v>0.015000000000000017</x:v>
      </x:c>
      <x:c r="L131" s="74" t="n">
        <x:f>MAX(0,IFERROR(K131/(1-F131),0))</x:f>
        <x:v>0.30000000000000004</x:v>
      </x:c>
      <x:c r="M131" s="74" t="n">
        <x:f>MIN(Assumptions!$C$8*L131,Assumptions!$C$5)</x:f>
        <x:v>0.005</x:v>
      </x:c>
      <x:c r="N131" s="78" t="n">
        <x:f>IF(ROW()=16,Assumptions!$C$4,V130)</x:f>
        <x:v>9970.769785847946</x:v>
      </x:c>
      <x:c r="O131" s="78" t="n">
        <x:f>IF(AND(K131&gt;IF(F131&gt;=Assumptions!$C$21,Assumptions!$C$10,Assumptions!$C$9),D131&gt;Assumptions!$C$23),N131*M131,0)</x:f>
        <x:v>49.85384892923973</x:v>
      </x:c>
      <x:c r="P131" s="78" t="n">
        <x:f>IFERROR(O131/F131,0)</x:f>
        <x:v>52.477735714989194</x:v>
      </x:c>
      <x:c r="Q131" s="78" t="n">
        <x:v>0</x:v>
      </x:c>
      <x:c r="R131" s="78" t="str">
        <x:v>Resolve</x:v>
      </x:c>
      <x:c r="S131" s="78" t="n">
        <x:f>IF(R131="Resolve",IF(IF(E131="YES",Q131,1-Q131)=1,P131*(1-F131),-O131),P131*(G131-F131))</x:f>
        <x:v>-49.85384892923973</x:v>
      </x:c>
      <x:c r="T131" s="78" t="n">
        <x:f>P131*J131</x:f>
        <x:v>0.15743320714496759</x:v>
      </x:c>
      <x:c r="U131" s="78" t="n">
        <x:f>S131-T131</x:f>
        <x:v>-50.0112821363847</x:v>
      </x:c>
      <x:c r="V131" s="78" t="n">
        <x:f>N131+U131</x:f>
        <x:v>9920.75850371156</x:v>
      </x:c>
      <x:c r="W131" s="74" t="n">
        <x:f>IFERROR(V131/MAX($V$16:V131)-1,0)</x:f>
        <x:v>-0.013452817410116058</x:v>
      </x:c>
      <x:c r="X131" t="str">
        <x:f>IF(O131&gt;0,"TRADE","NO_TRADE")</x:f>
        <x:v>TRADE</x:v>
      </x:c>
    </x:row>
    <x:row r="132">
      <x:c r="A132" s="66" t="n">
        <x:v>46167.50671296296</x:v>
      </x:c>
      <x:c r="B132" s="66" t="str">
        <x:v>MKT_1001</x:v>
      </x:c>
      <x:c r="C132" s="66" t="n">
        <x:v>46167.506944444445</x:v>
      </x:c>
      <x:c r="D132" t="n">
        <x:v>20</x:v>
      </x:c>
      <x:c r="E132" t="str">
        <x:v>YES</x:v>
      </x:c>
      <x:c r="F132" s="74" t="n">
        <x:v>0.57</x:v>
      </x:c>
      <x:c r="G132" s="74" t="n">
        <x:v>0.57</x:v>
      </x:c>
      <x:c r="H132" s="74" t="n">
        <x:v>0.582</x:v>
      </x:c>
      <x:c r="I132" s="74" t="n">
        <x:f>IF(E132="YES",H132,1-H132)</x:f>
        <x:v>0.582</x:v>
      </x:c>
      <x:c r="J132" s="76" t="n">
        <x:f>Assumptions!$C$12+Assumptions!$C$11*F132</x:f>
        <x:v>0.003</x:v>
      </x:c>
      <x:c r="K132" s="76" t="n">
        <x:f>I132-F132-J132</x:f>
        <x:v>0.009000000000000011</x:v>
      </x:c>
      <x:c r="L132" s="74" t="n">
        <x:f>MAX(0,IFERROR(K132/(1-F132),0))</x:f>
        <x:v>0.02093023255813956</x:v>
      </x:c>
      <x:c r="M132" s="74" t="n">
        <x:f>MIN(Assumptions!$C$8*L132,Assumptions!$C$5)</x:f>
        <x:v>0.005</x:v>
      </x:c>
      <x:c r="N132" s="78" t="n">
        <x:f>IF(ROW()=16,Assumptions!$C$4,V131)</x:f>
        <x:v>9920.75850371156</x:v>
      </x:c>
      <x:c r="O132" s="78" t="n">
        <x:f>IF(AND(K132&gt;IF(F132&gt;=Assumptions!$C$21,Assumptions!$C$10,Assumptions!$C$9),D132&gt;Assumptions!$C$23),N132*M132,0)</x:f>
        <x:v>49.6037925185578</x:v>
      </x:c>
      <x:c r="P132" s="78" t="n">
        <x:f>IFERROR(O132/F132,0)</x:f>
        <x:v>87.02419740097861</x:v>
      </x:c>
      <x:c r="Q132" s="78" t="n">
        <x:v>1</x:v>
      </x:c>
      <x:c r="R132" s="78" t="str">
        <x:v>Resolve</x:v>
      </x:c>
      <x:c r="S132" s="78" t="n">
        <x:f>IF(R132="Resolve",IF(IF(E132="YES",Q132,1-Q132)=1,P132*(1-F132),-O132),P132*(G132-F132))</x:f>
        <x:v>37.420404882420804</x:v>
      </x:c>
      <x:c r="T132" s="78" t="n">
        <x:f>P132*J132</x:f>
        <x:v>0.2610725922029358</x:v>
      </x:c>
      <x:c r="U132" s="78" t="n">
        <x:f>S132-T132</x:f>
        <x:v>37.15933229021787</x:v>
      </x:c>
      <x:c r="V132" s="78" t="n">
        <x:f>N132+U132</x:f>
        <x:v>9957.917836001778</x:v>
      </x:c>
      <x:c r="W132" s="74" t="n">
        <x:f>IFERROR(V132/MAX($V$16:V132)-1,0)</x:f>
        <x:v>-0.009757592436731244</x:v>
      </x:c>
      <x:c r="X132" t="str">
        <x:f>IF(O132&gt;0,"TRADE","NO_TRADE")</x:f>
        <x:v>TRADE</x:v>
      </x:c>
    </x:row>
    <x:row r="133">
      <x:c r="A133" s="66" t="n">
        <x:v>46167.50677083333</x:v>
      </x:c>
      <x:c r="B133" s="66" t="str">
        <x:v>MKT_1001</x:v>
      </x:c>
      <x:c r="C133" s="66" t="n">
        <x:v>46167.506944444445</x:v>
      </x:c>
      <x:c r="D133" t="n">
        <x:v>15</x:v>
      </x:c>
      <x:c r="E133" t="str">
        <x:v>NO</x:v>
      </x:c>
      <x:c r="F133" s="74" t="n">
        <x:v>0.68</x:v>
      </x:c>
      <x:c r="G133" s="74" t="n">
        <x:v>0.68</x:v>
      </x:c>
      <x:c r="H133" s="74" t="n">
        <x:v>0.7050000000000001</x:v>
      </x:c>
      <x:c r="I133" s="74" t="n">
        <x:f>IF(E133="YES",H133,1-H133)</x:f>
        <x:v>0.29499999999999993</x:v>
      </x:c>
      <x:c r="J133" s="76" t="n">
        <x:f>Assumptions!$C$12+Assumptions!$C$11*F133</x:f>
        <x:v>0.003</x:v>
      </x:c>
      <x:c r="K133" s="76" t="n">
        <x:f>I133-F133-J133</x:f>
        <x:v>-0.3880000000000001</x:v>
      </x:c>
      <x:c r="L133" s="74" t="n">
        <x:f>MAX(0,IFERROR(K133/(1-F133),0))</x:f>
        <x:v>0</x:v>
      </x:c>
      <x:c r="M133" s="74" t="n">
        <x:f>MIN(Assumptions!$C$8*L133,Assumptions!$C$5)</x:f>
        <x:v>0</x:v>
      </x:c>
      <x:c r="N133" s="78" t="n">
        <x:f>IF(ROW()=16,Assumptions!$C$4,V132)</x:f>
        <x:v>9957.917836001778</x:v>
      </x:c>
      <x:c r="O133" s="78" t="n">
        <x:f>IF(AND(K133&gt;IF(F133&gt;=Assumptions!$C$21,Assumptions!$C$10,Assumptions!$C$9),D133&gt;Assumptions!$C$23),N133*M133,0)</x:f>
        <x:v>0</x:v>
      </x:c>
      <x:c r="P133" s="78" t="n">
        <x:f>IFERROR(O133/F133,0)</x:f>
        <x:v>0</x:v>
      </x:c>
      <x:c r="Q133" s="78" t="n">
        <x:v>1</x:v>
      </x:c>
      <x:c r="R133" s="78" t="str">
        <x:v>Resolve</x:v>
      </x:c>
      <x:c r="S133" s="78" t="n">
        <x:f>IF(R133="Resolve",IF(IF(E133="YES",Q133,1-Q133)=1,P133*(1-F133),-O133),P133*(G133-F133))</x:f>
        <x:v>0</x:v>
      </x:c>
      <x:c r="T133" s="78" t="n">
        <x:f>P133*J133</x:f>
        <x:v>0</x:v>
      </x:c>
      <x:c r="U133" s="78" t="n">
        <x:f>S133-T133</x:f>
        <x:v>0</x:v>
      </x:c>
      <x:c r="V133" s="78" t="n">
        <x:f>N133+U133</x:f>
        <x:v>9957.917836001778</x:v>
      </x:c>
      <x:c r="W133" s="74" t="n">
        <x:f>IFERROR(V133/MAX($V$16:V133)-1,0)</x:f>
        <x:v>-0.009757592436731244</x:v>
      </x:c>
      <x:c r="X133" t="str">
        <x:f>IF(O133&gt;0,"TRADE","NO_TRADE")</x:f>
        <x:v>NO_TRADE</x:v>
      </x:c>
    </x:row>
    <x:row r="134">
      <x:c r="A134" s="66" t="n">
        <x:v>46167.50682870371</x:v>
      </x:c>
      <x:c r="B134" s="66" t="str">
        <x:v>MKT_1001</x:v>
      </x:c>
      <x:c r="C134" s="66" t="n">
        <x:v>46167.506944444445</x:v>
      </x:c>
      <x:c r="D134" t="n">
        <x:v>10</x:v>
      </x:c>
      <x:c r="E134" t="str">
        <x:v>YES</x:v>
      </x:c>
      <x:c r="F134" s="74" t="n">
        <x:v>0.91</x:v>
      </x:c>
      <x:c r="G134" s="74" t="n">
        <x:v>0.91</x:v>
      </x:c>
      <x:c r="H134" s="74" t="n">
        <x:v>0.9450000000000001</x:v>
      </x:c>
      <x:c r="I134" s="74" t="n">
        <x:f>IF(E134="YES",H134,1-H134)</x:f>
        <x:v>0.9450000000000001</x:v>
      </x:c>
      <x:c r="J134" s="76" t="n">
        <x:f>Assumptions!$C$12+Assumptions!$C$11*F134</x:f>
        <x:v>0.003</x:v>
      </x:c>
      <x:c r="K134" s="76" t="n">
        <x:f>I134-F134-J134</x:f>
        <x:v>0.03200000000000003</x:v>
      </x:c>
      <x:c r="L134" s="74" t="n">
        <x:f>MAX(0,IFERROR(K134/(1-F134),0))</x:f>
        <x:v>0.355555555555556</x:v>
      </x:c>
      <x:c r="M134" s="74" t="n">
        <x:f>MIN(Assumptions!$C$8*L134,Assumptions!$C$5)</x:f>
        <x:v>0.005</x:v>
      </x:c>
      <x:c r="N134" s="78" t="n">
        <x:f>IF(ROW()=16,Assumptions!$C$4,V133)</x:f>
        <x:v>9957.917836001778</x:v>
      </x:c>
      <x:c r="O134" s="78" t="n">
        <x:f>IF(AND(K134&gt;IF(F134&gt;=Assumptions!$C$21,Assumptions!$C$10,Assumptions!$C$9),D134&gt;Assumptions!$C$23),N134*M134,0)</x:f>
        <x:v>49.78958918000889</x:v>
      </x:c>
      <x:c r="P134" s="78" t="n">
        <x:f>IFERROR(O134/F134,0)</x:f>
        <x:v>54.71383426374603</x:v>
      </x:c>
      <x:c r="Q134" s="78" t="n">
        <x:v>1</x:v>
      </x:c>
      <x:c r="R134" s="78" t="str">
        <x:v>Resolve</x:v>
      </x:c>
      <x:c r="S134" s="78" t="n">
        <x:f>IF(R134="Resolve",IF(IF(E134="YES",Q134,1-Q134)=1,P134*(1-F134),-O134),P134*(G134-F134))</x:f>
        <x:v>4.924245083737141</x:v>
      </x:c>
      <x:c r="T134" s="78" t="n">
        <x:f>P134*J134</x:f>
        <x:v>0.1641415027912381</x:v>
      </x:c>
      <x:c r="U134" s="78" t="n">
        <x:f>S134-T134</x:f>
        <x:v>4.760103580945903</x:v>
      </x:c>
      <x:c r="V134" s="78" t="n">
        <x:f>N134+U134</x:f>
        <x:v>9962.677939582723</x:v>
      </x:c>
      <x:c r="W134" s="74" t="n">
        <x:f>IFERROR(V134/MAX($V$16:V134)-1,0)</x:f>
        <x:v>-0.009284234802346525</x:v>
      </x:c>
      <x:c r="X134" t="str">
        <x:f>IF(O134&gt;0,"TRADE","NO_TRADE")</x:f>
        <x:v>TRADE</x:v>
      </x:c>
    </x:row>
    <x:row r="135">
      <x:c r="A135" s="66" t="n">
        <x:v>46167.506886574076</x:v>
      </x:c>
      <x:c r="B135" s="66" t="str">
        <x:v>MKT_1001</x:v>
      </x:c>
      <x:c r="C135" s="66" t="n">
        <x:v>46167.506944444445</x:v>
      </x:c>
      <x:c r="D135" t="n">
        <x:v>5</x:v>
      </x:c>
      <x:c r="E135" t="str">
        <x:v>YES</x:v>
      </x:c>
      <x:c r="F135" s="74" t="n">
        <x:v>0.83</x:v>
      </x:c>
      <x:c r="G135" s="74" t="n">
        <x:v>0.83</x:v>
      </x:c>
      <x:c r="H135" s="74" t="n">
        <x:v>0.82</x:v>
      </x:c>
      <x:c r="I135" s="74" t="n">
        <x:f>IF(E135="YES",H135,1-H135)</x:f>
        <x:v>0.82</x:v>
      </x:c>
      <x:c r="J135" s="76" t="n">
        <x:f>Assumptions!$C$12+Assumptions!$C$11*F135</x:f>
        <x:v>0.003</x:v>
      </x:c>
      <x:c r="K135" s="76" t="n">
        <x:f>I135-F135-J135</x:f>
        <x:v>-0.013000000000000008</x:v>
      </x:c>
      <x:c r="L135" s="74" t="n">
        <x:f>MAX(0,IFERROR(K135/(1-F135),0))</x:f>
        <x:v>0</x:v>
      </x:c>
      <x:c r="M135" s="74" t="n">
        <x:f>MIN(Assumptions!$C$8*L135,Assumptions!$C$5)</x:f>
        <x:v>0</x:v>
      </x:c>
      <x:c r="N135" s="78" t="n">
        <x:f>IF(ROW()=16,Assumptions!$C$4,V134)</x:f>
        <x:v>9962.677939582723</x:v>
      </x:c>
      <x:c r="O135" s="78" t="n">
        <x:f>IF(AND(K135&gt;IF(F135&gt;=Assumptions!$C$21,Assumptions!$C$10,Assumptions!$C$9),D135&gt;Assumptions!$C$23),N135*M135,0)</x:f>
        <x:v>0</x:v>
      </x:c>
      <x:c r="P135" s="78" t="n">
        <x:f>IFERROR(O135/F135,0)</x:f>
        <x:v>0</x:v>
      </x:c>
      <x:c r="Q135" s="78" t="n">
        <x:v>0</x:v>
      </x:c>
      <x:c r="R135" s="78" t="str">
        <x:v>Resolve</x:v>
      </x:c>
      <x:c r="S135" s="78" t="n">
        <x:f>IF(R135="Resolve",IF(IF(E135="YES",Q135,1-Q135)=1,P135*(1-F135),-O135),P135*(G135-F135))</x:f>
        <x:v>0</x:v>
      </x:c>
      <x:c r="T135" s="78" t="n">
        <x:f>P135*J135</x:f>
        <x:v>0</x:v>
      </x:c>
      <x:c r="U135" s="78" t="n">
        <x:f>S135-T135</x:f>
        <x:v>0</x:v>
      </x:c>
      <x:c r="V135" s="78" t="n">
        <x:f>N135+U135</x:f>
        <x:v>9962.677939582723</x:v>
      </x:c>
      <x:c r="W135" s="74" t="n">
        <x:f>IFERROR(V135/MAX($V$16:V135)-1,0)</x:f>
        <x:v>-0.009284234802346525</x:v>
      </x:c>
      <x:c r="X135" t="str">
        <x:f>IF(O135&gt;0,"TRADE","NO_TRADE")</x:f>
        <x:v>NO_TRADE</x:v>
      </x:c>
    </x:row>
    <x:row r="136">
      <x:c r="A136" s="66" t="n">
        <x:v>46167.506944444445</x:v>
      </x:c>
      <x:c r="B136" s="66" t="str">
        <x:v>MKT_1002</x:v>
      </x:c>
      <x:c r="C136" s="66" t="n">
        <x:v>46167.510416666664</x:v>
      </x:c>
      <x:c r="D136" t="n">
        <x:v>300</x:v>
      </x:c>
      <x:c r="E136" t="str">
        <x:v>NO</x:v>
      </x:c>
      <x:c r="F136" s="74" t="n">
        <x:v>0.52</x:v>
      </x:c>
      <x:c r="G136" s="74" t="n">
        <x:v>0.52</x:v>
      </x:c>
      <x:c r="H136" s="74" t="n">
        <x:v>0.535</x:v>
      </x:c>
      <x:c r="I136" s="74" t="n">
        <x:f>IF(E136="YES",H136,1-H136)</x:f>
        <x:v>0.46499999999999997</x:v>
      </x:c>
      <x:c r="J136" s="76" t="n">
        <x:f>Assumptions!$C$12+Assumptions!$C$11*F136</x:f>
        <x:v>0.003</x:v>
      </x:c>
      <x:c r="K136" s="76" t="n">
        <x:f>I136-F136-J136</x:f>
        <x:v>-0.05800000000000005</x:v>
      </x:c>
      <x:c r="L136" s="74" t="n">
        <x:f>MAX(0,IFERROR(K136/(1-F136),0))</x:f>
        <x:v>0</x:v>
      </x:c>
      <x:c r="M136" s="74" t="n">
        <x:f>MIN(Assumptions!$C$8*L136,Assumptions!$C$5)</x:f>
        <x:v>0</x:v>
      </x:c>
      <x:c r="N136" s="78" t="n">
        <x:f>IF(ROW()=16,Assumptions!$C$4,V135)</x:f>
        <x:v>9962.677939582723</x:v>
      </x:c>
      <x:c r="O136" s="78" t="n">
        <x:f>IF(AND(K136&gt;IF(F136&gt;=Assumptions!$C$21,Assumptions!$C$10,Assumptions!$C$9),D136&gt;Assumptions!$C$23),N136*M136,0)</x:f>
        <x:v>0</x:v>
      </x:c>
      <x:c r="P136" s="78" t="n">
        <x:f>IFERROR(O136/F136,0)</x:f>
        <x:v>0</x:v>
      </x:c>
      <x:c r="Q136" s="78" t="n">
        <x:v>1</x:v>
      </x:c>
      <x:c r="R136" s="78" t="str">
        <x:v>Resolve</x:v>
      </x:c>
      <x:c r="S136" s="78" t="n">
        <x:f>IF(R136="Resolve",IF(IF(E136="YES",Q136,1-Q136)=1,P136*(1-F136),-O136),P136*(G136-F136))</x:f>
        <x:v>0</x:v>
      </x:c>
      <x:c r="T136" s="78" t="n">
        <x:f>P136*J136</x:f>
        <x:v>0</x:v>
      </x:c>
      <x:c r="U136" s="78" t="n">
        <x:f>S136-T136</x:f>
        <x:v>0</x:v>
      </x:c>
      <x:c r="V136" s="78" t="n">
        <x:f>N136+U136</x:f>
        <x:v>9962.677939582723</x:v>
      </x:c>
      <x:c r="W136" s="74" t="n">
        <x:f>IFERROR(V136/MAX($V$16:V136)-1,0)</x:f>
        <x:v>-0.009284234802346525</x:v>
      </x:c>
      <x:c r="X136" t="str">
        <x:f>IF(O136&gt;0,"TRADE","NO_TRADE")</x:f>
        <x:v>NO_TRADE</x:v>
      </x:c>
    </x:row>
    <x:row r="137">
      <x:c r="A137" s="66" t="n">
        <x:v>46167.507002314815</x:v>
      </x:c>
      <x:c r="B137" s="66" t="str">
        <x:v>MKT_1002</x:v>
      </x:c>
      <x:c r="C137" s="66" t="n">
        <x:v>46167.510416666664</x:v>
      </x:c>
      <x:c r="D137" t="n">
        <x:v>295</x:v>
      </x:c>
      <x:c r="E137" t="str">
        <x:v>YES</x:v>
      </x:c>
      <x:c r="F137" s="74" t="n">
        <x:v>0.61</x:v>
      </x:c>
      <x:c r="G137" s="74" t="n">
        <x:v>0.61</x:v>
      </x:c>
      <x:c r="H137" s="74" t="n">
        <x:v>0.63</x:v>
      </x:c>
      <x:c r="I137" s="74" t="n">
        <x:f>IF(E137="YES",H137,1-H137)</x:f>
        <x:v>0.63</x:v>
      </x:c>
      <x:c r="J137" s="76" t="n">
        <x:f>Assumptions!$C$12+Assumptions!$C$11*F137</x:f>
        <x:v>0.003</x:v>
      </x:c>
      <x:c r="K137" s="76" t="n">
        <x:f>I137-F137-J137</x:f>
        <x:v>0.01700000000000002</x:v>
      </x:c>
      <x:c r="L137" s="74" t="n">
        <x:f>MAX(0,IFERROR(K137/(1-F137),0))</x:f>
        <x:v>0.043589743589743636</x:v>
      </x:c>
      <x:c r="M137" s="74" t="n">
        <x:f>MIN(Assumptions!$C$8*L137,Assumptions!$C$5)</x:f>
        <x:v>0.005</x:v>
      </x:c>
      <x:c r="N137" s="78" t="n">
        <x:f>IF(ROW()=16,Assumptions!$C$4,V136)</x:f>
        <x:v>9962.677939582723</x:v>
      </x:c>
      <x:c r="O137" s="78" t="n">
        <x:f>IF(AND(K137&gt;IF(F137&gt;=Assumptions!$C$21,Assumptions!$C$10,Assumptions!$C$9),D137&gt;Assumptions!$C$23),N137*M137,0)</x:f>
        <x:v>49.81338969791362</x:v>
      </x:c>
      <x:c r="P137" s="78" t="n">
        <x:f>IFERROR(O137/F137,0)</x:f>
        <x:v>81.66129458674364</x:v>
      </x:c>
      <x:c r="Q137" s="78" t="n">
        <x:v>1</x:v>
      </x:c>
      <x:c r="R137" s="78" t="str">
        <x:v>Resolve</x:v>
      </x:c>
      <x:c r="S137" s="78" t="n">
        <x:f>IF(R137="Resolve",IF(IF(E137="YES",Q137,1-Q137)=1,P137*(1-F137),-O137),P137*(G137-F137))</x:f>
        <x:v>31.84790488883002</x:v>
      </x:c>
      <x:c r="T137" s="78" t="n">
        <x:f>P137*J137</x:f>
        <x:v>0.24498388376023092</x:v>
      </x:c>
      <x:c r="U137" s="78" t="n">
        <x:f>S137-T137</x:f>
        <x:v>31.60292100506979</x:v>
      </x:c>
      <x:c r="V137" s="78" t="n">
        <x:f>N137+U137</x:f>
        <x:v>9994.280860587793</x:v>
      </x:c>
      <x:c r="W137" s="74" t="n">
        <x:f>IFERROR(V137/MAX($V$16:V137)-1,0)</x:f>
        <x:v>-0.006141554465203258</x:v>
      </x:c>
      <x:c r="X137" t="str">
        <x:f>IF(O137&gt;0,"TRADE","NO_TRADE")</x:f>
        <x:v>TRADE</x:v>
      </x:c>
    </x:row>
    <x:row r="138">
      <x:c r="A138" s="66" t="n">
        <x:v>46167.507060185184</x:v>
      </x:c>
      <x:c r="B138" s="66" t="str">
        <x:v>MKT_1002</x:v>
      </x:c>
      <x:c r="C138" s="66" t="n">
        <x:v>46167.510416666664</x:v>
      </x:c>
      <x:c r="D138" t="n">
        <x:v>290</x:v>
      </x:c>
      <x:c r="E138" t="str">
        <x:v>YES</x:v>
      </x:c>
      <x:c r="F138" s="74" t="n">
        <x:v>0.74</x:v>
      </x:c>
      <x:c r="G138" s="74" t="n">
        <x:v>0.74</x:v>
      </x:c>
      <x:c r="H138" s="74" t="n">
        <x:v>0.735</x:v>
      </x:c>
      <x:c r="I138" s="74" t="n">
        <x:f>IF(E138="YES",H138,1-H138)</x:f>
        <x:v>0.735</x:v>
      </x:c>
      <x:c r="J138" s="76" t="n">
        <x:f>Assumptions!$C$12+Assumptions!$C$11*F138</x:f>
        <x:v>0.003</x:v>
      </x:c>
      <x:c r="K138" s="76" t="n">
        <x:f>I138-F138-J138</x:f>
        <x:v>-0.008000000000000004</x:v>
      </x:c>
      <x:c r="L138" s="74" t="n">
        <x:f>MAX(0,IFERROR(K138/(1-F138),0))</x:f>
        <x:v>0</x:v>
      </x:c>
      <x:c r="M138" s="74" t="n">
        <x:f>MIN(Assumptions!$C$8*L138,Assumptions!$C$5)</x:f>
        <x:v>0</x:v>
      </x:c>
      <x:c r="N138" s="78" t="n">
        <x:f>IF(ROW()=16,Assumptions!$C$4,V137)</x:f>
        <x:v>9994.280860587793</x:v>
      </x:c>
      <x:c r="O138" s="78" t="n">
        <x:f>IF(AND(K138&gt;IF(F138&gt;=Assumptions!$C$21,Assumptions!$C$10,Assumptions!$C$9),D138&gt;Assumptions!$C$23),N138*M138,0)</x:f>
        <x:v>0</x:v>
      </x:c>
      <x:c r="P138" s="78" t="n">
        <x:f>IFERROR(O138/F138,0)</x:f>
        <x:v>0</x:v>
      </x:c>
      <x:c r="Q138" s="78" t="n">
        <x:v>0</x:v>
      </x:c>
      <x:c r="R138" s="78" t="str">
        <x:v>Resolve</x:v>
      </x:c>
      <x:c r="S138" s="78" t="n">
        <x:f>IF(R138="Resolve",IF(IF(E138="YES",Q138,1-Q138)=1,P138*(1-F138),-O138),P138*(G138-F138))</x:f>
        <x:v>0</x:v>
      </x:c>
      <x:c r="T138" s="78" t="n">
        <x:f>P138*J138</x:f>
        <x:v>0</x:v>
      </x:c>
      <x:c r="U138" s="78" t="n">
        <x:f>S138-T138</x:f>
        <x:v>0</x:v>
      </x:c>
      <x:c r="V138" s="78" t="n">
        <x:f>N138+U138</x:f>
        <x:v>9994.280860587793</x:v>
      </x:c>
      <x:c r="W138" s="74" t="n">
        <x:f>IFERROR(V138/MAX($V$16:V138)-1,0)</x:f>
        <x:v>-0.006141554465203258</x:v>
      </x:c>
      <x:c r="X138" t="str">
        <x:f>IF(O138&gt;0,"TRADE","NO_TRADE")</x:f>
        <x:v>NO_TRADE</x:v>
      </x:c>
    </x:row>
    <x:row r="139">
      <x:c r="A139" s="66" t="n">
        <x:v>46167.50711805555</x:v>
      </x:c>
      <x:c r="B139" s="66" t="str">
        <x:v>MKT_1002</x:v>
      </x:c>
      <x:c r="C139" s="66" t="n">
        <x:v>46167.510416666664</x:v>
      </x:c>
      <x:c r="D139" t="n">
        <x:v>285</x:v>
      </x:c>
      <x:c r="E139" t="str">
        <x:v>NO</x:v>
      </x:c>
      <x:c r="F139" s="74" t="n">
        <x:v>0.88</x:v>
      </x:c>
      <x:c r="G139" s="74" t="n">
        <x:v>0.88</x:v>
      </x:c>
      <x:c r="H139" s="74" t="n">
        <x:v>0.91</x:v>
      </x:c>
      <x:c r="I139" s="74" t="n">
        <x:f>IF(E139="YES",H139,1-H139)</x:f>
        <x:v>0.08999999999999997</x:v>
      </x:c>
      <x:c r="J139" s="76" t="n">
        <x:f>Assumptions!$C$12+Assumptions!$C$11*F139</x:f>
        <x:v>0.003</x:v>
      </x:c>
      <x:c r="K139" s="76" t="n">
        <x:f>I139-F139-J139</x:f>
        <x:v>-0.793</x:v>
      </x:c>
      <x:c r="L139" s="74" t="n">
        <x:f>MAX(0,IFERROR(K139/(1-F139),0))</x:f>
        <x:v>0</x:v>
      </x:c>
      <x:c r="M139" s="74" t="n">
        <x:f>MIN(Assumptions!$C$8*L139,Assumptions!$C$5)</x:f>
        <x:v>0</x:v>
      </x:c>
      <x:c r="N139" s="78" t="n">
        <x:f>IF(ROW()=16,Assumptions!$C$4,V138)</x:f>
        <x:v>9994.280860587793</x:v>
      </x:c>
      <x:c r="O139" s="78" t="n">
        <x:f>IF(AND(K139&gt;IF(F139&gt;=Assumptions!$C$21,Assumptions!$C$10,Assumptions!$C$9),D139&gt;Assumptions!$C$23),N139*M139,0)</x:f>
        <x:v>0</x:v>
      </x:c>
      <x:c r="P139" s="78" t="n">
        <x:f>IFERROR(O139/F139,0)</x:f>
        <x:v>0</x:v>
      </x:c>
      <x:c r="Q139" s="78" t="n">
        <x:v>1</x:v>
      </x:c>
      <x:c r="R139" s="78" t="str">
        <x:v>Resolve</x:v>
      </x:c>
      <x:c r="S139" s="78" t="n">
        <x:f>IF(R139="Resolve",IF(IF(E139="YES",Q139,1-Q139)=1,P139*(1-F139),-O139),P139*(G139-F139))</x:f>
        <x:v>0</x:v>
      </x:c>
      <x:c r="T139" s="78" t="n">
        <x:f>P139*J139</x:f>
        <x:v>0</x:v>
      </x:c>
      <x:c r="U139" s="78" t="n">
        <x:f>S139-T139</x:f>
        <x:v>0</x:v>
      </x:c>
      <x:c r="V139" s="78" t="n">
        <x:f>N139+U139</x:f>
        <x:v>9994.280860587793</x:v>
      </x:c>
      <x:c r="W139" s="74" t="n">
        <x:f>IFERROR(V139/MAX($V$16:V139)-1,0)</x:f>
        <x:v>-0.006141554465203258</x:v>
      </x:c>
      <x:c r="X139" t="str">
        <x:f>IF(O139&gt;0,"TRADE","NO_TRADE")</x:f>
        <x:v>NO_TRADE</x:v>
      </x:c>
    </x:row>
    <x:row r="140">
      <x:c r="A140" s="66" t="n">
        <x:v>46167.50717592592</x:v>
      </x:c>
      <x:c r="B140" s="66" t="str">
        <x:v>MKT_1002</x:v>
      </x:c>
      <x:c r="C140" s="66" t="n">
        <x:v>46167.510416666664</x:v>
      </x:c>
      <x:c r="D140" t="n">
        <x:v>280</x:v>
      </x:c>
      <x:c r="E140" t="str">
        <x:v>YES</x:v>
      </x:c>
      <x:c r="F140" s="74" t="n">
        <x:v>0.94</x:v>
      </x:c>
      <x:c r="G140" s="74" t="n">
        <x:v>0.94</x:v>
      </x:c>
      <x:c r="H140" s="74" t="n">
        <x:v>0.98</x:v>
      </x:c>
      <x:c r="I140" s="74" t="n">
        <x:f>IF(E140="YES",H140,1-H140)</x:f>
        <x:v>0.98</x:v>
      </x:c>
      <x:c r="J140" s="76" t="n">
        <x:f>Assumptions!$C$12+Assumptions!$C$11*F140</x:f>
        <x:v>0.003</x:v>
      </x:c>
      <x:c r="K140" s="76" t="n">
        <x:f>I140-F140-J140</x:f>
        <x:v>0.03700000000000003</x:v>
      </x:c>
      <x:c r="L140" s="74" t="n">
        <x:f>MAX(0,IFERROR(K140/(1-F140),0))</x:f>
        <x:v>0.6166666666666667</x:v>
      </x:c>
      <x:c r="M140" s="74" t="n">
        <x:f>MIN(Assumptions!$C$8*L140,Assumptions!$C$5)</x:f>
        <x:v>0.005</x:v>
      </x:c>
      <x:c r="N140" s="78" t="n">
        <x:f>IF(ROW()=16,Assumptions!$C$4,V139)</x:f>
        <x:v>9994.280860587793</x:v>
      </x:c>
      <x:c r="O140" s="78" t="n">
        <x:f>IF(AND(K140&gt;IF(F140&gt;=Assumptions!$C$21,Assumptions!$C$10,Assumptions!$C$9),D140&gt;Assumptions!$C$23),N140*M140,0)</x:f>
        <x:v>49.971404302938964</x:v>
      </x:c>
      <x:c r="P140" s="78" t="n">
        <x:f>IFERROR(O140/F140,0)</x:f>
        <x:v>53.16106840738188</x:v>
      </x:c>
      <x:c r="Q140" s="78" t="n">
        <x:v>1</x:v>
      </x:c>
      <x:c r="R140" s="78" t="str">
        <x:v>Resolve</x:v>
      </x:c>
      <x:c r="S140" s="78" t="n">
        <x:f>IF(R140="Resolve",IF(IF(E140="YES",Q140,1-Q140)=1,P140*(1-F140),-O140),P140*(G140-F140))</x:f>
        <x:v>3.1896641044429157</x:v>
      </x:c>
      <x:c r="T140" s="78" t="n">
        <x:f>P140*J140</x:f>
        <x:v>0.15948320522214565</x:v>
      </x:c>
      <x:c r="U140" s="78" t="n">
        <x:f>S140-T140</x:f>
        <x:v>3.03018089922077</x:v>
      </x:c>
      <x:c r="V140" s="78" t="n">
        <x:f>N140+U140</x:f>
        <x:v>9997.311041487013</x:v>
      </x:c>
      <x:c r="W140" s="74" t="n">
        <x:f>IFERROR(V140/MAX($V$16:V140)-1,0)</x:f>
        <x:v>-0.005840225042886837</x:v>
      </x:c>
      <x:c r="X140" t="str">
        <x:f>IF(O140&gt;0,"TRADE","NO_TRADE")</x:f>
        <x:v>TRADE</x:v>
      </x:c>
    </x:row>
    <x:row r="141">
      <x:c r="A141" s="66" t="n">
        <x:v>46167.5072337963</x:v>
      </x:c>
      <x:c r="B141" s="66" t="str">
        <x:v>MKT_1002</x:v>
      </x:c>
      <x:c r="C141" s="66" t="n">
        <x:v>46167.510416666664</x:v>
      </x:c>
      <x:c r="D141" t="n">
        <x:v>275</x:v>
      </x:c>
      <x:c r="E141" t="str">
        <x:v>YES</x:v>
      </x:c>
      <x:c r="F141" s="74" t="n">
        <x:v>0.95</x:v>
      </x:c>
      <x:c r="G141" s="74" t="n">
        <x:v>0.95</x:v>
      </x:c>
      <x:c r="H141" s="74" t="n">
        <x:v>0.968</x:v>
      </x:c>
      <x:c r="I141" s="74" t="n">
        <x:f>IF(E141="YES",H141,1-H141)</x:f>
        <x:v>0.968</x:v>
      </x:c>
      <x:c r="J141" s="76" t="n">
        <x:f>Assumptions!$C$12+Assumptions!$C$11*F141</x:f>
        <x:v>0.003</x:v>
      </x:c>
      <x:c r="K141" s="76" t="n">
        <x:f>I141-F141-J141</x:f>
        <x:v>0.015000000000000017</x:v>
      </x:c>
      <x:c r="L141" s="74" t="n">
        <x:f>MAX(0,IFERROR(K141/(1-F141),0))</x:f>
        <x:v>0.30000000000000004</x:v>
      </x:c>
      <x:c r="M141" s="74" t="n">
        <x:f>MIN(Assumptions!$C$8*L141,Assumptions!$C$5)</x:f>
        <x:v>0.005</x:v>
      </x:c>
      <x:c r="N141" s="78" t="n">
        <x:f>IF(ROW()=16,Assumptions!$C$4,V140)</x:f>
        <x:v>9997.311041487013</x:v>
      </x:c>
      <x:c r="O141" s="78" t="n">
        <x:f>IF(AND(K141&gt;IF(F141&gt;=Assumptions!$C$21,Assumptions!$C$10,Assumptions!$C$9),D141&gt;Assumptions!$C$23),N141*M141,0)</x:f>
        <x:v>49.98655520743507</x:v>
      </x:c>
      <x:c r="P141" s="78" t="n">
        <x:f>IFERROR(O141/F141,0)</x:f>
        <x:v>52.617426534142176</x:v>
      </x:c>
      <x:c r="Q141" s="78" t="n">
        <x:v>1</x:v>
      </x:c>
      <x:c r="R141" s="78" t="str">
        <x:v>Resolve</x:v>
      </x:c>
      <x:c r="S141" s="78" t="n">
        <x:f>IF(R141="Resolve",IF(IF(E141="YES",Q141,1-Q141)=1,P141*(1-F141),-O141),P141*(G141-F141))</x:f>
        <x:v>2.630871326707111</x:v>
      </x:c>
      <x:c r="T141" s="78" t="n">
        <x:f>P141*J141</x:f>
        <x:v>0.15785227960242654</x:v>
      </x:c>
      <x:c r="U141" s="78" t="n">
        <x:f>S141-T141</x:f>
        <x:v>2.4730190471046845</x:v>
      </x:c>
      <x:c r="V141" s="78" t="n">
        <x:f>N141+U141</x:f>
        <x:v>9999.784060534119</x:v>
      </x:c>
      <x:c r="W141" s="74" t="n">
        <x:f>IFERROR(V141/MAX($V$16:V141)-1,0)</x:f>
        <x:v>-0.005594301309081562</x:v>
      </x:c>
      <x:c r="X141" t="str">
        <x:f>IF(O141&gt;0,"TRADE","NO_TRADE")</x:f>
        <x:v>TRADE</x:v>
      </x:c>
    </x:row>
    <x:row r="142">
      <x:c r="A142" s="66" t="n">
        <x:v>46167.50729166667</x:v>
      </x:c>
      <x:c r="B142" s="66" t="str">
        <x:v>MKT_1002</x:v>
      </x:c>
      <x:c r="C142" s="66" t="n">
        <x:v>46167.510416666664</x:v>
      </x:c>
      <x:c r="D142" t="n">
        <x:v>270</x:v>
      </x:c>
      <x:c r="E142" t="str">
        <x:v>NO</x:v>
      </x:c>
      <x:c r="F142" s="74" t="n">
        <x:v>0.57</x:v>
      </x:c>
      <x:c r="G142" s="74" t="n">
        <x:v>0.57</x:v>
      </x:c>
      <x:c r="H142" s="74" t="n">
        <x:v>0.582</x:v>
      </x:c>
      <x:c r="I142" s="74" t="n">
        <x:f>IF(E142="YES",H142,1-H142)</x:f>
        <x:v>0.41800000000000004</x:v>
      </x:c>
      <x:c r="J142" s="76" t="n">
        <x:f>Assumptions!$C$12+Assumptions!$C$11*F142</x:f>
        <x:v>0.003</x:v>
      </x:c>
      <x:c r="K142" s="76" t="n">
        <x:f>I142-F142-J142</x:f>
        <x:v>-0.15499999999999992</x:v>
      </x:c>
      <x:c r="L142" s="74" t="n">
        <x:f>MAX(0,IFERROR(K142/(1-F142),0))</x:f>
        <x:v>0</x:v>
      </x:c>
      <x:c r="M142" s="74" t="n">
        <x:f>MIN(Assumptions!$C$8*L142,Assumptions!$C$5)</x:f>
        <x:v>0</x:v>
      </x:c>
      <x:c r="N142" s="78" t="n">
        <x:f>IF(ROW()=16,Assumptions!$C$4,V141)</x:f>
        <x:v>9999.784060534119</x:v>
      </x:c>
      <x:c r="O142" s="78" t="n">
        <x:f>IF(AND(K142&gt;IF(F142&gt;=Assumptions!$C$21,Assumptions!$C$10,Assumptions!$C$9),D142&gt;Assumptions!$C$23),N142*M142,0)</x:f>
        <x:v>0</x:v>
      </x:c>
      <x:c r="P142" s="78" t="n">
        <x:f>IFERROR(O142/F142,0)</x:f>
        <x:v>0</x:v>
      </x:c>
      <x:c r="Q142" s="78" t="n">
        <x:v>0</x:v>
      </x:c>
      <x:c r="R142" s="78" t="str">
        <x:v>Resolve</x:v>
      </x:c>
      <x:c r="S142" s="78" t="n">
        <x:f>IF(R142="Resolve",IF(IF(E142="YES",Q142,1-Q142)=1,P142*(1-F142),-O142),P142*(G142-F142))</x:f>
        <x:v>0</x:v>
      </x:c>
      <x:c r="T142" s="78" t="n">
        <x:f>P142*J142</x:f>
        <x:v>0</x:v>
      </x:c>
      <x:c r="U142" s="78" t="n">
        <x:f>S142-T142</x:f>
        <x:v>0</x:v>
      </x:c>
      <x:c r="V142" s="78" t="n">
        <x:f>N142+U142</x:f>
        <x:v>9999.784060534119</x:v>
      </x:c>
      <x:c r="W142" s="74" t="n">
        <x:f>IFERROR(V142/MAX($V$16:V142)-1,0)</x:f>
        <x:v>-0.005594301309081562</x:v>
      </x:c>
      <x:c r="X142" t="str">
        <x:f>IF(O142&gt;0,"TRADE","NO_TRADE")</x:f>
        <x:v>NO_TRADE</x:v>
      </x:c>
    </x:row>
    <x:row r="143">
      <x:c r="A143" s="66" t="n">
        <x:v>46167.50734953704</x:v>
      </x:c>
      <x:c r="B143" s="66" t="str">
        <x:v>MKT_1002</x:v>
      </x:c>
      <x:c r="C143" s="66" t="n">
        <x:v>46167.510416666664</x:v>
      </x:c>
      <x:c r="D143" t="n">
        <x:v>265</x:v>
      </x:c>
      <x:c r="E143" t="str">
        <x:v>YES</x:v>
      </x:c>
      <x:c r="F143" s="74" t="n">
        <x:v>0.68</x:v>
      </x:c>
      <x:c r="G143" s="74" t="n">
        <x:v>0.68</x:v>
      </x:c>
      <x:c r="H143" s="74" t="n">
        <x:v>0.7050000000000001</x:v>
      </x:c>
      <x:c r="I143" s="74" t="n">
        <x:f>IF(E143="YES",H143,1-H143)</x:f>
        <x:v>0.7050000000000001</x:v>
      </x:c>
      <x:c r="J143" s="76" t="n">
        <x:f>Assumptions!$C$12+Assumptions!$C$11*F143</x:f>
        <x:v>0.003</x:v>
      </x:c>
      <x:c r="K143" s="76" t="n">
        <x:f>I143-F143-J143</x:f>
        <x:v>0.022000000000000023</x:v>
      </x:c>
      <x:c r="L143" s="74" t="n">
        <x:f>MAX(0,IFERROR(K143/(1-F143),0))</x:f>
        <x:v>0.06875000000000009</x:v>
      </x:c>
      <x:c r="M143" s="74" t="n">
        <x:f>MIN(Assumptions!$C$8*L143,Assumptions!$C$5)</x:f>
        <x:v>0.005</x:v>
      </x:c>
      <x:c r="N143" s="78" t="n">
        <x:f>IF(ROW()=16,Assumptions!$C$4,V142)</x:f>
        <x:v>9999.784060534119</x:v>
      </x:c>
      <x:c r="O143" s="78" t="n">
        <x:f>IF(AND(K143&gt;IF(F143&gt;=Assumptions!$C$21,Assumptions!$C$10,Assumptions!$C$9),D143&gt;Assumptions!$C$23),N143*M143,0)</x:f>
        <x:v>49.9989203026706</x:v>
      </x:c>
      <x:c r="P143" s="78" t="n">
        <x:f>IFERROR(O143/F143,0)</x:f>
        <x:v>73.52782397451558</x:v>
      </x:c>
      <x:c r="Q143" s="78" t="n">
        <x:v>1</x:v>
      </x:c>
      <x:c r="R143" s="78" t="str">
        <x:v>Resolve</x:v>
      </x:c>
      <x:c r="S143" s="78" t="n">
        <x:f>IF(R143="Resolve",IF(IF(E143="YES",Q143,1-Q143)=1,P143*(1-F143),-O143),P143*(G143-F143))</x:f>
        <x:v>23.528903671844983</x:v>
      </x:c>
      <x:c r="T143" s="78" t="n">
        <x:f>P143*J143</x:f>
        <x:v>0.22058347192354677</x:v>
      </x:c>
      <x:c r="U143" s="78" t="n">
        <x:f>S143-T143</x:f>
        <x:v>23.308320199921436</x:v>
      </x:c>
      <x:c r="V143" s="78" t="n">
        <x:f>N143+U143</x:f>
        <x:v>10023.09238073404</x:v>
      </x:c>
      <x:c r="W143" s="74" t="n">
        <x:f>IFERROR(V143/MAX($V$16:V143)-1,0)</x:f>
        <x:v>-0.003276458614338784</x:v>
      </x:c>
      <x:c r="X143" t="str">
        <x:f>IF(O143&gt;0,"TRADE","NO_TRADE")</x:f>
        <x:v>TRADE</x:v>
      </x:c>
    </x:row>
    <x:row r="144">
      <x:c r="A144" s="66" t="n">
        <x:v>46167.50740740741</x:v>
      </x:c>
      <x:c r="B144" s="66" t="str">
        <x:v>MKT_1002</x:v>
      </x:c>
      <x:c r="C144" s="66" t="n">
        <x:v>46167.510416666664</x:v>
      </x:c>
      <x:c r="D144" t="n">
        <x:v>260</x:v>
      </x:c>
      <x:c r="E144" t="str">
        <x:v>YES</x:v>
      </x:c>
      <x:c r="F144" s="74" t="n">
        <x:v>0.91</x:v>
      </x:c>
      <x:c r="G144" s="74" t="n">
        <x:v>0.91</x:v>
      </x:c>
      <x:c r="H144" s="74" t="n">
        <x:v>0.9450000000000001</x:v>
      </x:c>
      <x:c r="I144" s="74" t="n">
        <x:f>IF(E144="YES",H144,1-H144)</x:f>
        <x:v>0.9450000000000001</x:v>
      </x:c>
      <x:c r="J144" s="76" t="n">
        <x:f>Assumptions!$C$12+Assumptions!$C$11*F144</x:f>
        <x:v>0.003</x:v>
      </x:c>
      <x:c r="K144" s="76" t="n">
        <x:f>I144-F144-J144</x:f>
        <x:v>0.03200000000000003</x:v>
      </x:c>
      <x:c r="L144" s="74" t="n">
        <x:f>MAX(0,IFERROR(K144/(1-F144),0))</x:f>
        <x:v>0.355555555555556</x:v>
      </x:c>
      <x:c r="M144" s="74" t="n">
        <x:f>MIN(Assumptions!$C$8*L144,Assumptions!$C$5)</x:f>
        <x:v>0.005</x:v>
      </x:c>
      <x:c r="N144" s="78" t="n">
        <x:f>IF(ROW()=16,Assumptions!$C$4,V143)</x:f>
        <x:v>10023.09238073404</x:v>
      </x:c>
      <x:c r="O144" s="78" t="n">
        <x:f>IF(AND(K144&gt;IF(F144&gt;=Assumptions!$C$21,Assumptions!$C$10,Assumptions!$C$9),D144&gt;Assumptions!$C$23),N144*M144,0)</x:f>
        <x:v>50.1154619036702</x:v>
      </x:c>
      <x:c r="P144" s="78" t="n">
        <x:f>IFERROR(O144/F144,0)</x:f>
        <x:v>55.07193615787934</x:v>
      </x:c>
      <x:c r="Q144" s="78" t="n">
        <x:v>1</x:v>
      </x:c>
      <x:c r="R144" s="78" t="str">
        <x:v>Resolve</x:v>
      </x:c>
      <x:c r="S144" s="78" t="n">
        <x:f>IF(R144="Resolve",IF(IF(E144="YES",Q144,1-Q144)=1,P144*(1-F144),-O144),P144*(G144-F144))</x:f>
        <x:v>4.956474254209139</x:v>
      </x:c>
      <x:c r="T144" s="78" t="n">
        <x:f>P144*J144</x:f>
        <x:v>0.16521580847363804</x:v>
      </x:c>
      <x:c r="U144" s="78" t="n">
        <x:f>S144-T144</x:f>
        <x:v>4.791258445735501</x:v>
      </x:c>
      <x:c r="V144" s="78" t="n">
        <x:f>N144+U144</x:f>
        <x:v>10027.883639179776</x:v>
      </x:c>
      <x:c r="W144" s="74" t="n">
        <x:f>IFERROR(V144/MAX($V$16:V144)-1,0)</x:f>
        <x:v>-0.0028000028555444922</x:v>
      </x:c>
      <x:c r="X144" t="str">
        <x:f>IF(O144&gt;0,"TRADE","NO_TRADE")</x:f>
        <x:v>TRADE</x:v>
      </x:c>
    </x:row>
    <x:row r="145">
      <x:c r="A145" s="66" t="n">
        <x:v>46167.50746527778</x:v>
      </x:c>
      <x:c r="B145" s="66" t="str">
        <x:v>MKT_1002</x:v>
      </x:c>
      <x:c r="C145" s="66" t="n">
        <x:v>46167.510416666664</x:v>
      </x:c>
      <x:c r="D145" t="n">
        <x:v>255</x:v>
      </x:c>
      <x:c r="E145" t="str">
        <x:v>NO</x:v>
      </x:c>
      <x:c r="F145" s="74" t="n">
        <x:v>0.83</x:v>
      </x:c>
      <x:c r="G145" s="74" t="n">
        <x:v>0.83</x:v>
      </x:c>
      <x:c r="H145" s="74" t="n">
        <x:v>0.82</x:v>
      </x:c>
      <x:c r="I145" s="74" t="n">
        <x:f>IF(E145="YES",H145,1-H145)</x:f>
        <x:v>0.18000000000000005</x:v>
      </x:c>
      <x:c r="J145" s="76" t="n">
        <x:f>Assumptions!$C$12+Assumptions!$C$11*F145</x:f>
        <x:v>0.003</x:v>
      </x:c>
      <x:c r="K145" s="76" t="n">
        <x:f>I145-F145-J145</x:f>
        <x:v>-0.6529999999999999</x:v>
      </x:c>
      <x:c r="L145" s="74" t="n">
        <x:f>MAX(0,IFERROR(K145/(1-F145),0))</x:f>
        <x:v>0</x:v>
      </x:c>
      <x:c r="M145" s="74" t="n">
        <x:f>MIN(Assumptions!$C$8*L145,Assumptions!$C$5)</x:f>
        <x:v>0</x:v>
      </x:c>
      <x:c r="N145" s="78" t="n">
        <x:f>IF(ROW()=16,Assumptions!$C$4,V144)</x:f>
        <x:v>10027.883639179776</x:v>
      </x:c>
      <x:c r="O145" s="78" t="n">
        <x:f>IF(AND(K145&gt;IF(F145&gt;=Assumptions!$C$21,Assumptions!$C$10,Assumptions!$C$9),D145&gt;Assumptions!$C$23),N145*M145,0)</x:f>
        <x:v>0</x:v>
      </x:c>
      <x:c r="P145" s="78" t="n">
        <x:f>IFERROR(O145/F145,0)</x:f>
        <x:v>0</x:v>
      </x:c>
      <x:c r="Q145" s="78" t="n">
        <x:v>0</x:v>
      </x:c>
      <x:c r="R145" s="78" t="str">
        <x:v>Resolve</x:v>
      </x:c>
      <x:c r="S145" s="78" t="n">
        <x:f>IF(R145="Resolve",IF(IF(E145="YES",Q145,1-Q145)=1,P145*(1-F145),-O145),P145*(G145-F145))</x:f>
        <x:v>0</x:v>
      </x:c>
      <x:c r="T145" s="78" t="n">
        <x:f>P145*J145</x:f>
        <x:v>0</x:v>
      </x:c>
      <x:c r="U145" s="78" t="n">
        <x:f>S145-T145</x:f>
        <x:v>0</x:v>
      </x:c>
      <x:c r="V145" s="78" t="n">
        <x:f>N145+U145</x:f>
        <x:v>10027.883639179776</x:v>
      </x:c>
      <x:c r="W145" s="74" t="n">
        <x:f>IFERROR(V145/MAX($V$16:V145)-1,0)</x:f>
        <x:v>-0.0028000028555444922</x:v>
      </x:c>
      <x:c r="X145" t="str">
        <x:f>IF(O145&gt;0,"TRADE","NO_TRADE")</x:f>
        <x:v>NO_TRADE</x:v>
      </x:c>
    </x:row>
    <x:row r="146">
      <x:c r="A146" s="66" t="n">
        <x:v>46167.507523148146</x:v>
      </x:c>
      <x:c r="B146" s="66" t="str">
        <x:v>MKT_1002</x:v>
      </x:c>
      <x:c r="C146" s="66" t="n">
        <x:v>46167.510416666664</x:v>
      </x:c>
      <x:c r="D146" t="n">
        <x:v>250</x:v>
      </x:c>
      <x:c r="E146" t="str">
        <x:v>YES</x:v>
      </x:c>
      <x:c r="F146" s="74" t="n">
        <x:v>0.52</x:v>
      </x:c>
      <x:c r="G146" s="74" t="n">
        <x:v>0.52</x:v>
      </x:c>
      <x:c r="H146" s="74" t="n">
        <x:v>0.535</x:v>
      </x:c>
      <x:c r="I146" s="74" t="n">
        <x:f>IF(E146="YES",H146,1-H146)</x:f>
        <x:v>0.535</x:v>
      </x:c>
      <x:c r="J146" s="76" t="n">
        <x:f>Assumptions!$C$12+Assumptions!$C$11*F146</x:f>
        <x:v>0.003</x:v>
      </x:c>
      <x:c r="K146" s="76" t="n">
        <x:f>I146-F146-J146</x:f>
        <x:v>0.012000000000000014</x:v>
      </x:c>
      <x:c r="L146" s="74" t="n">
        <x:f>MAX(0,IFERROR(K146/(1-F146),0))</x:f>
        <x:v>0.02500000000000003</x:v>
      </x:c>
      <x:c r="M146" s="74" t="n">
        <x:f>MIN(Assumptions!$C$8*L146,Assumptions!$C$5)</x:f>
        <x:v>0.005</x:v>
      </x:c>
      <x:c r="N146" s="78" t="n">
        <x:f>IF(ROW()=16,Assumptions!$C$4,V145)</x:f>
        <x:v>10027.883639179776</x:v>
      </x:c>
      <x:c r="O146" s="78" t="n">
        <x:f>IF(AND(K146&gt;IF(F146&gt;=Assumptions!$C$21,Assumptions!$C$10,Assumptions!$C$9),D146&gt;Assumptions!$C$23),N146*M146,0)</x:f>
        <x:v>50.139418195898884</x:v>
      </x:c>
      <x:c r="P146" s="78" t="n">
        <x:f>IFERROR(O146/F146,0)</x:f>
        <x:v>96.42195806903631</x:v>
      </x:c>
      <x:c r="Q146" s="78" t="n">
        <x:v>1</x:v>
      </x:c>
      <x:c r="R146" s="78" t="str">
        <x:v>Resolve</x:v>
      </x:c>
      <x:c r="S146" s="78" t="n">
        <x:f>IF(R146="Resolve",IF(IF(E146="YES",Q146,1-Q146)=1,P146*(1-F146),-O146),P146*(G146-F146))</x:f>
        <x:v>46.282539873137424</x:v>
      </x:c>
      <x:c r="T146" s="78" t="n">
        <x:f>P146*J146</x:f>
        <x:v>0.2892658742071089</x:v>
      </x:c>
      <x:c r="U146" s="78" t="n">
        <x:f>S146-T146</x:f>
        <x:v>45.99327399893031</x:v>
      </x:c>
      <x:c r="V146" s="78" t="n">
        <x:f>N146+U146</x:f>
        <x:v>10073.876913178707</x:v>
      </x:c>
      <x:c r="W146" s="74" t="n">
        <x:f>IFERROR(V146/MAX($V$16:V146)-1,0)</x:f>
        <x:v>0</x:v>
      </x:c>
      <x:c r="X146" t="str">
        <x:f>IF(O146&gt;0,"TRADE","NO_TRADE")</x:f>
        <x:v>TRADE</x:v>
      </x:c>
    </x:row>
    <x:row r="147">
      <x:c r="A147" s="66" t="n">
        <x:v>46167.507581018515</x:v>
      </x:c>
      <x:c r="B147" s="66" t="str">
        <x:v>MKT_1002</x:v>
      </x:c>
      <x:c r="C147" s="66" t="n">
        <x:v>46167.510416666664</x:v>
      </x:c>
      <x:c r="D147" t="n">
        <x:v>245</x:v>
      </x:c>
      <x:c r="E147" t="str">
        <x:v>YES</x:v>
      </x:c>
      <x:c r="F147" s="74" t="n">
        <x:v>0.61</x:v>
      </x:c>
      <x:c r="G147" s="74" t="n">
        <x:v>0.61</x:v>
      </x:c>
      <x:c r="H147" s="74" t="n">
        <x:v>0.63</x:v>
      </x:c>
      <x:c r="I147" s="74" t="n">
        <x:f>IF(E147="YES",H147,1-H147)</x:f>
        <x:v>0.63</x:v>
      </x:c>
      <x:c r="J147" s="76" t="n">
        <x:f>Assumptions!$C$12+Assumptions!$C$11*F147</x:f>
        <x:v>0.003</x:v>
      </x:c>
      <x:c r="K147" s="76" t="n">
        <x:f>I147-F147-J147</x:f>
        <x:v>0.01700000000000002</x:v>
      </x:c>
      <x:c r="L147" s="74" t="n">
        <x:f>MAX(0,IFERROR(K147/(1-F147),0))</x:f>
        <x:v>0.043589743589743636</x:v>
      </x:c>
      <x:c r="M147" s="74" t="n">
        <x:f>MIN(Assumptions!$C$8*L147,Assumptions!$C$5)</x:f>
        <x:v>0.005</x:v>
      </x:c>
      <x:c r="N147" s="78" t="n">
        <x:f>IF(ROW()=16,Assumptions!$C$4,V146)</x:f>
        <x:v>10073.876913178707</x:v>
      </x:c>
      <x:c r="O147" s="78" t="n">
        <x:f>IF(AND(K147&gt;IF(F147&gt;=Assumptions!$C$21,Assumptions!$C$10,Assumptions!$C$9),D147&gt;Assumptions!$C$23),N147*M147,0)</x:f>
        <x:v>50.36938456589353</x:v>
      </x:c>
      <x:c r="P147" s="78" t="n">
        <x:f>IFERROR(O147/F147,0)</x:f>
        <x:v>82.57276158343203</x:v>
      </x:c>
      <x:c r="Q147" s="78" t="n">
        <x:v>1</x:v>
      </x:c>
      <x:c r="R147" s="78" t="str">
        <x:v>Resolve</x:v>
      </x:c>
      <x:c r="S147" s="78" t="n">
        <x:f>IF(R147="Resolve",IF(IF(E147="YES",Q147,1-Q147)=1,P147*(1-F147),-O147),P147*(G147-F147))</x:f>
        <x:v>32.20337701753849</x:v>
      </x:c>
      <x:c r="T147" s="78" t="n">
        <x:f>P147*J147</x:f>
        <x:v>0.24771828475029609</x:v>
      </x:c>
      <x:c r="U147" s="78" t="n">
        <x:f>S147-T147</x:f>
        <x:v>31.955658732788198</x:v>
      </x:c>
      <x:c r="V147" s="78" t="n">
        <x:f>N147+U147</x:f>
        <x:v>10105.832571911495</x:v>
      </x:c>
      <x:c r="W147" s="74" t="n">
        <x:f>IFERROR(V147/MAX($V$16:V147)-1,0)</x:f>
        <x:v>0</x:v>
      </x:c>
      <x:c r="X147" t="str">
        <x:f>IF(O147&gt;0,"TRADE","NO_TRADE")</x:f>
        <x:v>TRADE</x:v>
      </x:c>
    </x:row>
    <x:row r="148">
      <x:c r="A148" s="66" t="n">
        <x:v>46167.50763888889</x:v>
      </x:c>
      <x:c r="B148" s="66" t="str">
        <x:v>MKT_1002</x:v>
      </x:c>
      <x:c r="C148" s="66" t="n">
        <x:v>46167.510416666664</x:v>
      </x:c>
      <x:c r="D148" t="n">
        <x:v>240</x:v>
      </x:c>
      <x:c r="E148" t="str">
        <x:v>NO</x:v>
      </x:c>
      <x:c r="F148" s="74" t="n">
        <x:v>0.74</x:v>
      </x:c>
      <x:c r="G148" s="74" t="n">
        <x:v>0.74</x:v>
      </x:c>
      <x:c r="H148" s="74" t="n">
        <x:v>0.735</x:v>
      </x:c>
      <x:c r="I148" s="74" t="n">
        <x:f>IF(E148="YES",H148,1-H148)</x:f>
        <x:v>0.265</x:v>
      </x:c>
      <x:c r="J148" s="76" t="n">
        <x:f>Assumptions!$C$12+Assumptions!$C$11*F148</x:f>
        <x:v>0.003</x:v>
      </x:c>
      <x:c r="K148" s="76" t="n">
        <x:f>I148-F148-J148</x:f>
        <x:v>-0.478</x:v>
      </x:c>
      <x:c r="L148" s="74" t="n">
        <x:f>MAX(0,IFERROR(K148/(1-F148),0))</x:f>
        <x:v>0</x:v>
      </x:c>
      <x:c r="M148" s="74" t="n">
        <x:f>MIN(Assumptions!$C$8*L148,Assumptions!$C$5)</x:f>
        <x:v>0</x:v>
      </x:c>
      <x:c r="N148" s="78" t="n">
        <x:f>IF(ROW()=16,Assumptions!$C$4,V147)</x:f>
        <x:v>10105.832571911495</x:v>
      </x:c>
      <x:c r="O148" s="78" t="n">
        <x:f>IF(AND(K148&gt;IF(F148&gt;=Assumptions!$C$21,Assumptions!$C$10,Assumptions!$C$9),D148&gt;Assumptions!$C$23),N148*M148,0)</x:f>
        <x:v>0</x:v>
      </x:c>
      <x:c r="P148" s="78" t="n">
        <x:f>IFERROR(O148/F148,0)</x:f>
        <x:v>0</x:v>
      </x:c>
      <x:c r="Q148" s="78" t="n">
        <x:v>1</x:v>
      </x:c>
      <x:c r="R148" s="78" t="str">
        <x:v>Resolve</x:v>
      </x:c>
      <x:c r="S148" s="78" t="n">
        <x:f>IF(R148="Resolve",IF(IF(E148="YES",Q148,1-Q148)=1,P148*(1-F148),-O148),P148*(G148-F148))</x:f>
        <x:v>0</x:v>
      </x:c>
      <x:c r="T148" s="78" t="n">
        <x:f>P148*J148</x:f>
        <x:v>0</x:v>
      </x:c>
      <x:c r="U148" s="78" t="n">
        <x:f>S148-T148</x:f>
        <x:v>0</x:v>
      </x:c>
      <x:c r="V148" s="78" t="n">
        <x:f>N148+U148</x:f>
        <x:v>10105.832571911495</x:v>
      </x:c>
      <x:c r="W148" s="74" t="n">
        <x:f>IFERROR(V148/MAX($V$16:V148)-1,0)</x:f>
        <x:v>0</x:v>
      </x:c>
      <x:c r="X148" t="str">
        <x:f>IF(O148&gt;0,"TRADE","NO_TRADE")</x:f>
        <x:v>NO_TRADE</x:v>
      </x:c>
    </x:row>
    <x:row r="149">
      <x:c r="A149" s="66" t="n">
        <x:v>46167.50769675926</x:v>
      </x:c>
      <x:c r="B149" s="66" t="str">
        <x:v>MKT_1002</x:v>
      </x:c>
      <x:c r="C149" s="66" t="n">
        <x:v>46167.510416666664</x:v>
      </x:c>
      <x:c r="D149" t="n">
        <x:v>235</x:v>
      </x:c>
      <x:c r="E149" t="str">
        <x:v>YES</x:v>
      </x:c>
      <x:c r="F149" s="74" t="n">
        <x:v>0.88</x:v>
      </x:c>
      <x:c r="G149" s="74" t="n">
        <x:v>0.88</x:v>
      </x:c>
      <x:c r="H149" s="74" t="n">
        <x:v>0.91</x:v>
      </x:c>
      <x:c r="I149" s="74" t="n">
        <x:f>IF(E149="YES",H149,1-H149)</x:f>
        <x:v>0.91</x:v>
      </x:c>
      <x:c r="J149" s="76" t="n">
        <x:f>Assumptions!$C$12+Assumptions!$C$11*F149</x:f>
        <x:v>0.003</x:v>
      </x:c>
      <x:c r="K149" s="76" t="n">
        <x:f>I149-F149-J149</x:f>
        <x:v>0.027000000000000027</x:v>
      </x:c>
      <x:c r="L149" s="74" t="n">
        <x:f>MAX(0,IFERROR(K149/(1-F149),0))</x:f>
        <x:v>0.22500000000000023</x:v>
      </x:c>
      <x:c r="M149" s="74" t="n">
        <x:f>MIN(Assumptions!$C$8*L149,Assumptions!$C$5)</x:f>
        <x:v>0.005</x:v>
      </x:c>
      <x:c r="N149" s="78" t="n">
        <x:f>IF(ROW()=16,Assumptions!$C$4,V148)</x:f>
        <x:v>10105.832571911495</x:v>
      </x:c>
      <x:c r="O149" s="78" t="n">
        <x:f>IF(AND(K149&gt;IF(F149&gt;=Assumptions!$C$21,Assumptions!$C$10,Assumptions!$C$9),D149&gt;Assumptions!$C$23),N149*M149,0)</x:f>
        <x:v>50.529162859557474</x:v>
      </x:c>
      <x:c r="P149" s="78" t="n">
        <x:f>IFERROR(O149/F149,0)</x:f>
        <x:v>57.419503249497126</x:v>
      </x:c>
      <x:c r="Q149" s="78" t="n">
        <x:v>0</x:v>
      </x:c>
      <x:c r="R149" s="78" t="str">
        <x:v>Resolve</x:v>
      </x:c>
      <x:c r="S149" s="78" t="n">
        <x:f>IF(R149="Resolve",IF(IF(E149="YES",Q149,1-Q149)=1,P149*(1-F149),-O149),P149*(G149-F149))</x:f>
        <x:v>-50.529162859557474</x:v>
      </x:c>
      <x:c r="T149" s="78" t="n">
        <x:f>P149*J149</x:f>
        <x:v>0.17225850974849138</x:v>
      </x:c>
      <x:c r="U149" s="78" t="n">
        <x:f>S149-T149</x:f>
        <x:v>-50.70142136930596</x:v>
      </x:c>
      <x:c r="V149" s="78" t="n">
        <x:f>N149+U149</x:f>
        <x:v>10055.131150542189</x:v>
      </x:c>
      <x:c r="W149" s="74" t="n">
        <x:f>IFERROR(V149/MAX($V$16:V149)-1,0)</x:f>
        <x:v>-0.005017045454545399</x:v>
      </x:c>
      <x:c r="X149" t="str">
        <x:f>IF(O149&gt;0,"TRADE","NO_TRADE")</x:f>
        <x:v>TRADE</x:v>
      </x:c>
    </x:row>
    <x:row r="150">
      <x:c r="A150" s="66" t="n">
        <x:v>46167.50775462963</x:v>
      </x:c>
      <x:c r="B150" s="66" t="str">
        <x:v>MKT_1002</x:v>
      </x:c>
      <x:c r="C150" s="66" t="n">
        <x:v>46167.510416666664</x:v>
      </x:c>
      <x:c r="D150" t="n">
        <x:v>230</x:v>
      </x:c>
      <x:c r="E150" t="str">
        <x:v>YES</x:v>
      </x:c>
      <x:c r="F150" s="74" t="n">
        <x:v>0.94</x:v>
      </x:c>
      <x:c r="G150" s="74" t="n">
        <x:v>0.94</x:v>
      </x:c>
      <x:c r="H150" s="74" t="n">
        <x:v>0.98</x:v>
      </x:c>
      <x:c r="I150" s="74" t="n">
        <x:f>IF(E150="YES",H150,1-H150)</x:f>
        <x:v>0.98</x:v>
      </x:c>
      <x:c r="J150" s="76" t="n">
        <x:f>Assumptions!$C$12+Assumptions!$C$11*F150</x:f>
        <x:v>0.003</x:v>
      </x:c>
      <x:c r="K150" s="76" t="n">
        <x:f>I150-F150-J150</x:f>
        <x:v>0.03700000000000003</x:v>
      </x:c>
      <x:c r="L150" s="74" t="n">
        <x:f>MAX(0,IFERROR(K150/(1-F150),0))</x:f>
        <x:v>0.6166666666666667</x:v>
      </x:c>
      <x:c r="M150" s="74" t="n">
        <x:f>MIN(Assumptions!$C$8*L150,Assumptions!$C$5)</x:f>
        <x:v>0.005</x:v>
      </x:c>
      <x:c r="N150" s="78" t="n">
        <x:f>IF(ROW()=16,Assumptions!$C$4,V149)</x:f>
        <x:v>10055.131150542189</x:v>
      </x:c>
      <x:c r="O150" s="78" t="n">
        <x:f>IF(AND(K150&gt;IF(F150&gt;=Assumptions!$C$21,Assumptions!$C$10,Assumptions!$C$9),D150&gt;Assumptions!$C$23),N150*M150,0)</x:f>
        <x:v>50.275655752710946</x:v>
      </x:c>
      <x:c r="P150" s="78" t="n">
        <x:f>IFERROR(O150/F150,0)</x:f>
        <x:v>53.48474016245846</x:v>
      </x:c>
      <x:c r="Q150" s="78" t="n">
        <x:v>1</x:v>
      </x:c>
      <x:c r="R150" s="78" t="str">
        <x:v>Resolve</x:v>
      </x:c>
      <x:c r="S150" s="78" t="n">
        <x:f>IF(R150="Resolve",IF(IF(E150="YES",Q150,1-Q150)=1,P150*(1-F150),-O150),P150*(G150-F150))</x:f>
        <x:v>3.2090844097475104</x:v>
      </x:c>
      <x:c r="T150" s="78" t="n">
        <x:f>P150*J150</x:f>
        <x:v>0.16045422048737537</x:v>
      </x:c>
      <x:c r="U150" s="78" t="n">
        <x:f>S150-T150</x:f>
        <x:v>3.048630189260135</x:v>
      </x:c>
      <x:c r="V150" s="78" t="n">
        <x:f>N150+U150</x:f>
        <x:v>10058.179780731449</x:v>
      </x:c>
      <x:c r="W150" s="74" t="n">
        <x:f>IFERROR(V150/MAX($V$16:V150)-1,0)</x:f>
        <x:v>-0.004715375090667329</x:v>
      </x:c>
      <x:c r="X150" t="str">
        <x:f>IF(O150&gt;0,"TRADE","NO_TRADE")</x:f>
        <x:v>TRADE</x:v>
      </x:c>
    </x:row>
    <x:row r="151">
      <x:c r="A151" s="66" t="n">
        <x:v>46167.5078125</x:v>
      </x:c>
      <x:c r="B151" s="66" t="str">
        <x:v>MKT_1002</x:v>
      </x:c>
      <x:c r="C151" s="66" t="n">
        <x:v>46167.510416666664</x:v>
      </x:c>
      <x:c r="D151" t="n">
        <x:v>225</x:v>
      </x:c>
      <x:c r="E151" t="str">
        <x:v>NO</x:v>
      </x:c>
      <x:c r="F151" s="74" t="n">
        <x:v>0.95</x:v>
      </x:c>
      <x:c r="G151" s="74" t="n">
        <x:v>0.95</x:v>
      </x:c>
      <x:c r="H151" s="74" t="n">
        <x:v>0.968</x:v>
      </x:c>
      <x:c r="I151" s="74" t="n">
        <x:f>IF(E151="YES",H151,1-H151)</x:f>
        <x:v>0.03200000000000003</x:v>
      </x:c>
      <x:c r="J151" s="76" t="n">
        <x:f>Assumptions!$C$12+Assumptions!$C$11*F151</x:f>
        <x:v>0.003</x:v>
      </x:c>
      <x:c r="K151" s="76" t="n">
        <x:f>I151-F151-J151</x:f>
        <x:v>-0.9209999999999999</x:v>
      </x:c>
      <x:c r="L151" s="74" t="n">
        <x:f>MAX(0,IFERROR(K151/(1-F151),0))</x:f>
        <x:v>0</x:v>
      </x:c>
      <x:c r="M151" s="74" t="n">
        <x:f>MIN(Assumptions!$C$8*L151,Assumptions!$C$5)</x:f>
        <x:v>0</x:v>
      </x:c>
      <x:c r="N151" s="78" t="n">
        <x:f>IF(ROW()=16,Assumptions!$C$4,V150)</x:f>
        <x:v>10058.179780731449</x:v>
      </x:c>
      <x:c r="O151" s="78" t="n">
        <x:f>IF(AND(K151&gt;IF(F151&gt;=Assumptions!$C$21,Assumptions!$C$10,Assumptions!$C$9),D151&gt;Assumptions!$C$23),N151*M151,0)</x:f>
        <x:v>0</x:v>
      </x:c>
      <x:c r="P151" s="78" t="n">
        <x:f>IFERROR(O151/F151,0)</x:f>
        <x:v>0</x:v>
      </x:c>
      <x:c r="Q151" s="78" t="n">
        <x:v>1</x:v>
      </x:c>
      <x:c r="R151" s="78" t="str">
        <x:v>Resolve</x:v>
      </x:c>
      <x:c r="S151" s="78" t="n">
        <x:f>IF(R151="Resolve",IF(IF(E151="YES",Q151,1-Q151)=1,P151*(1-F151),-O151),P151*(G151-F151))</x:f>
        <x:v>0</x:v>
      </x:c>
      <x:c r="T151" s="78" t="n">
        <x:f>P151*J151</x:f>
        <x:v>0</x:v>
      </x:c>
      <x:c r="U151" s="78" t="n">
        <x:f>S151-T151</x:f>
        <x:v>0</x:v>
      </x:c>
      <x:c r="V151" s="78" t="n">
        <x:f>N151+U151</x:f>
        <x:v>10058.179780731449</x:v>
      </x:c>
      <x:c r="W151" s="74" t="n">
        <x:f>IFERROR(V151/MAX($V$16:V151)-1,0)</x:f>
        <x:v>-0.004715375090667329</x:v>
      </x:c>
      <x:c r="X151" t="str">
        <x:f>IF(O151&gt;0,"TRADE","NO_TRADE")</x:f>
        <x:v>NO_TRADE</x:v>
      </x:c>
    </x:row>
    <x:row r="152">
      <x:c r="A152" s="66" t="n">
        <x:v>46167.50787037037</x:v>
      </x:c>
      <x:c r="B152" s="66" t="str">
        <x:v>MKT_1002</x:v>
      </x:c>
      <x:c r="C152" s="66" t="n">
        <x:v>46167.510416666664</x:v>
      </x:c>
      <x:c r="D152" t="n">
        <x:v>220</x:v>
      </x:c>
      <x:c r="E152" t="str">
        <x:v>YES</x:v>
      </x:c>
      <x:c r="F152" s="74" t="n">
        <x:v>0.57</x:v>
      </x:c>
      <x:c r="G152" s="74" t="n">
        <x:v>0.57</x:v>
      </x:c>
      <x:c r="H152" s="74" t="n">
        <x:v>0.582</x:v>
      </x:c>
      <x:c r="I152" s="74" t="n">
        <x:f>IF(E152="YES",H152,1-H152)</x:f>
        <x:v>0.582</x:v>
      </x:c>
      <x:c r="J152" s="76" t="n">
        <x:f>Assumptions!$C$12+Assumptions!$C$11*F152</x:f>
        <x:v>0.003</x:v>
      </x:c>
      <x:c r="K152" s="76" t="n">
        <x:f>I152-F152-J152</x:f>
        <x:v>0.009000000000000011</x:v>
      </x:c>
      <x:c r="L152" s="74" t="n">
        <x:f>MAX(0,IFERROR(K152/(1-F152),0))</x:f>
        <x:v>0.02093023255813956</x:v>
      </x:c>
      <x:c r="M152" s="74" t="n">
        <x:f>MIN(Assumptions!$C$8*L152,Assumptions!$C$5)</x:f>
        <x:v>0.005</x:v>
      </x:c>
      <x:c r="N152" s="78" t="n">
        <x:f>IF(ROW()=16,Assumptions!$C$4,V151)</x:f>
        <x:v>10058.179780731449</x:v>
      </x:c>
      <x:c r="O152" s="78" t="n">
        <x:f>IF(AND(K152&gt;IF(F152&gt;=Assumptions!$C$21,Assumptions!$C$10,Assumptions!$C$9),D152&gt;Assumptions!$C$23),N152*M152,0)</x:f>
        <x:v>50.290898903657244</x:v>
      </x:c>
      <x:c r="P152" s="78" t="n">
        <x:f>IFERROR(O152/F152,0)</x:f>
        <x:v>88.22964719939868</x:v>
      </x:c>
      <x:c r="Q152" s="78" t="n">
        <x:v>0</x:v>
      </x:c>
      <x:c r="R152" s="78" t="str">
        <x:v>Resolve</x:v>
      </x:c>
      <x:c r="S152" s="78" t="n">
        <x:f>IF(R152="Resolve",IF(IF(E152="YES",Q152,1-Q152)=1,P152*(1-F152),-O152),P152*(G152-F152))</x:f>
        <x:v>-50.290898903657244</x:v>
      </x:c>
      <x:c r="T152" s="78" t="n">
        <x:f>P152*J152</x:f>
        <x:v>0.26468894159819606</x:v>
      </x:c>
      <x:c r="U152" s="78" t="n">
        <x:f>S152-T152</x:f>
        <x:v>-50.55558784525544</x:v>
      </x:c>
      <x:c r="V152" s="78" t="n">
        <x:f>N152+U152</x:f>
        <x:v>10007.624192886193</x:v>
      </x:c>
      <x:c r="W152" s="74" t="n">
        <x:f>IFERROR(V152/MAX($V$16:V152)-1,0)</x:f>
        <x:v>-0.009717989915869585</x:v>
      </x:c>
      <x:c r="X152" t="str">
        <x:f>IF(O152&gt;0,"TRADE","NO_TRADE")</x:f>
        <x:v>TRADE</x:v>
      </x:c>
    </x:row>
    <x:row r="153">
      <x:c r="A153" s="66" t="n">
        <x:v>46167.50792824074</x:v>
      </x:c>
      <x:c r="B153" s="66" t="str">
        <x:v>MKT_1002</x:v>
      </x:c>
      <x:c r="C153" s="66" t="n">
        <x:v>46167.510416666664</x:v>
      </x:c>
      <x:c r="D153" t="n">
        <x:v>215</x:v>
      </x:c>
      <x:c r="E153" t="str">
        <x:v>YES</x:v>
      </x:c>
      <x:c r="F153" s="74" t="n">
        <x:v>0.68</x:v>
      </x:c>
      <x:c r="G153" s="74" t="n">
        <x:v>0.68</x:v>
      </x:c>
      <x:c r="H153" s="74" t="n">
        <x:v>0.7050000000000001</x:v>
      </x:c>
      <x:c r="I153" s="74" t="n">
        <x:f>IF(E153="YES",H153,1-H153)</x:f>
        <x:v>0.7050000000000001</x:v>
      </x:c>
      <x:c r="J153" s="76" t="n">
        <x:f>Assumptions!$C$12+Assumptions!$C$11*F153</x:f>
        <x:v>0.003</x:v>
      </x:c>
      <x:c r="K153" s="76" t="n">
        <x:f>I153-F153-J153</x:f>
        <x:v>0.022000000000000023</x:v>
      </x:c>
      <x:c r="L153" s="74" t="n">
        <x:f>MAX(0,IFERROR(K153/(1-F153),0))</x:f>
        <x:v>0.06875000000000009</x:v>
      </x:c>
      <x:c r="M153" s="74" t="n">
        <x:f>MIN(Assumptions!$C$8*L153,Assumptions!$C$5)</x:f>
        <x:v>0.005</x:v>
      </x:c>
      <x:c r="N153" s="78" t="n">
        <x:f>IF(ROW()=16,Assumptions!$C$4,V152)</x:f>
        <x:v>10007.624192886193</x:v>
      </x:c>
      <x:c r="O153" s="78" t="n">
        <x:f>IF(AND(K153&gt;IF(F153&gt;=Assumptions!$C$21,Assumptions!$C$10,Assumptions!$C$9),D153&gt;Assumptions!$C$23),N153*M153,0)</x:f>
        <x:v>50.038120964430966</x:v>
      </x:c>
      <x:c r="P153" s="78" t="n">
        <x:f>IFERROR(O153/F153,0)</x:f>
        <x:v>73.58547200651613</x:v>
      </x:c>
      <x:c r="Q153" s="78" t="n">
        <x:v>1</x:v>
      </x:c>
      <x:c r="R153" s="78" t="str">
        <x:v>Resolve</x:v>
      </x:c>
      <x:c r="S153" s="78" t="n">
        <x:f>IF(R153="Resolve",IF(IF(E153="YES",Q153,1-Q153)=1,P153*(1-F153),-O153),P153*(G153-F153))</x:f>
        <x:v>23.547351042085158</x:v>
      </x:c>
      <x:c r="T153" s="78" t="n">
        <x:f>P153*J153</x:f>
        <x:v>0.22075641601954837</x:v>
      </x:c>
      <x:c r="U153" s="78" t="n">
        <x:f>S153-T153</x:f>
        <x:v>23.32659462606561</x:v>
      </x:c>
      <x:c r="V153" s="78" t="n">
        <x:f>N153+U153</x:f>
        <x:v>10030.950787512258</x:v>
      </x:c>
      <x:c r="W153" s="74" t="n">
        <x:f>IFERROR(V153/MAX($V$16:V153)-1,0)</x:f>
        <x:v>-0.007409759054129328</x:v>
      </x:c>
      <x:c r="X153" t="str">
        <x:f>IF(O153&gt;0,"TRADE","NO_TRADE")</x:f>
        <x:v>TRADE</x:v>
      </x:c>
    </x:row>
    <x:row r="154">
      <x:c r="A154" s="66" t="n">
        <x:v>46167.50798611111</x:v>
      </x:c>
      <x:c r="B154" s="66" t="str">
        <x:v>MKT_1002</x:v>
      </x:c>
      <x:c r="C154" s="66" t="n">
        <x:v>46167.510416666664</x:v>
      </x:c>
      <x:c r="D154" t="n">
        <x:v>210</x:v>
      </x:c>
      <x:c r="E154" t="str">
        <x:v>NO</x:v>
      </x:c>
      <x:c r="F154" s="74" t="n">
        <x:v>0.91</x:v>
      </x:c>
      <x:c r="G154" s="74" t="n">
        <x:v>0.91</x:v>
      </x:c>
      <x:c r="H154" s="74" t="n">
        <x:v>0.9450000000000001</x:v>
      </x:c>
      <x:c r="I154" s="74" t="n">
        <x:f>IF(E154="YES",H154,1-H154)</x:f>
        <x:v>0.05499999999999994</x:v>
      </x:c>
      <x:c r="J154" s="76" t="n">
        <x:f>Assumptions!$C$12+Assumptions!$C$11*F154</x:f>
        <x:v>0.003</x:v>
      </x:c>
      <x:c r="K154" s="76" t="n">
        <x:f>I154-F154-J154</x:f>
        <x:v>-0.8580000000000001</x:v>
      </x:c>
      <x:c r="L154" s="74" t="n">
        <x:f>MAX(0,IFERROR(K154/(1-F154),0))</x:f>
        <x:v>0</x:v>
      </x:c>
      <x:c r="M154" s="74" t="n">
        <x:f>MIN(Assumptions!$C$8*L154,Assumptions!$C$5)</x:f>
        <x:v>0</x:v>
      </x:c>
      <x:c r="N154" s="78" t="n">
        <x:f>IF(ROW()=16,Assumptions!$C$4,V153)</x:f>
        <x:v>10030.950787512258</x:v>
      </x:c>
      <x:c r="O154" s="78" t="n">
        <x:f>IF(AND(K154&gt;IF(F154&gt;=Assumptions!$C$21,Assumptions!$C$10,Assumptions!$C$9),D154&gt;Assumptions!$C$23),N154*M154,0)</x:f>
        <x:v>0</x:v>
      </x:c>
      <x:c r="P154" s="78" t="n">
        <x:f>IFERROR(O154/F154,0)</x:f>
        <x:v>0</x:v>
      </x:c>
      <x:c r="Q154" s="78" t="n">
        <x:v>1</x:v>
      </x:c>
      <x:c r="R154" s="78" t="str">
        <x:v>Resolve</x:v>
      </x:c>
      <x:c r="S154" s="78" t="n">
        <x:f>IF(R154="Resolve",IF(IF(E154="YES",Q154,1-Q154)=1,P154*(1-F154),-O154),P154*(G154-F154))</x:f>
        <x:v>0</x:v>
      </x:c>
      <x:c r="T154" s="78" t="n">
        <x:f>P154*J154</x:f>
        <x:v>0</x:v>
      </x:c>
      <x:c r="U154" s="78" t="n">
        <x:f>S154-T154</x:f>
        <x:v>0</x:v>
      </x:c>
      <x:c r="V154" s="78" t="n">
        <x:f>N154+U154</x:f>
        <x:v>10030.950787512258</x:v>
      </x:c>
      <x:c r="W154" s="74" t="n">
        <x:f>IFERROR(V154/MAX($V$16:V154)-1,0)</x:f>
        <x:v>-0.007409759054129328</x:v>
      </x:c>
      <x:c r="X154" t="str">
        <x:f>IF(O154&gt;0,"TRADE","NO_TRADE")</x:f>
        <x:v>NO_TRADE</x:v>
      </x:c>
    </x:row>
    <x:row r="155">
      <x:c r="A155" s="66" t="n">
        <x:v>46167.508043981485</x:v>
      </x:c>
      <x:c r="B155" s="66" t="str">
        <x:v>MKT_1002</x:v>
      </x:c>
      <x:c r="C155" s="66" t="n">
        <x:v>46167.510416666664</x:v>
      </x:c>
      <x:c r="D155" t="n">
        <x:v>205</x:v>
      </x:c>
      <x:c r="E155" t="str">
        <x:v>YES</x:v>
      </x:c>
      <x:c r="F155" s="74" t="n">
        <x:v>0.83</x:v>
      </x:c>
      <x:c r="G155" s="74" t="n">
        <x:v>0.83</x:v>
      </x:c>
      <x:c r="H155" s="74" t="n">
        <x:v>0.82</x:v>
      </x:c>
      <x:c r="I155" s="74" t="n">
        <x:f>IF(E155="YES",H155,1-H155)</x:f>
        <x:v>0.82</x:v>
      </x:c>
      <x:c r="J155" s="76" t="n">
        <x:f>Assumptions!$C$12+Assumptions!$C$11*F155</x:f>
        <x:v>0.003</x:v>
      </x:c>
      <x:c r="K155" s="76" t="n">
        <x:f>I155-F155-J155</x:f>
        <x:v>-0.013000000000000008</x:v>
      </x:c>
      <x:c r="L155" s="74" t="n">
        <x:f>MAX(0,IFERROR(K155/(1-F155),0))</x:f>
        <x:v>0</x:v>
      </x:c>
      <x:c r="M155" s="74" t="n">
        <x:f>MIN(Assumptions!$C$8*L155,Assumptions!$C$5)</x:f>
        <x:v>0</x:v>
      </x:c>
      <x:c r="N155" s="78" t="n">
        <x:f>IF(ROW()=16,Assumptions!$C$4,V154)</x:f>
        <x:v>10030.950787512258</x:v>
      </x:c>
      <x:c r="O155" s="78" t="n">
        <x:f>IF(AND(K155&gt;IF(F155&gt;=Assumptions!$C$21,Assumptions!$C$10,Assumptions!$C$9),D155&gt;Assumptions!$C$23),N155*M155,0)</x:f>
        <x:v>0</x:v>
      </x:c>
      <x:c r="P155" s="78" t="n">
        <x:f>IFERROR(O155/F155,0)</x:f>
        <x:v>0</x:v>
      </x:c>
      <x:c r="Q155" s="78" t="n">
        <x:v>1</x:v>
      </x:c>
      <x:c r="R155" s="78" t="str">
        <x:v>Resolve</x:v>
      </x:c>
      <x:c r="S155" s="78" t="n">
        <x:f>IF(R155="Resolve",IF(IF(E155="YES",Q155,1-Q155)=1,P155*(1-F155),-O155),P155*(G155-F155))</x:f>
        <x:v>0</x:v>
      </x:c>
      <x:c r="T155" s="78" t="n">
        <x:f>P155*J155</x:f>
        <x:v>0</x:v>
      </x:c>
      <x:c r="U155" s="78" t="n">
        <x:f>S155-T155</x:f>
        <x:v>0</x:v>
      </x:c>
      <x:c r="V155" s="78" t="n">
        <x:f>N155+U155</x:f>
        <x:v>10030.950787512258</x:v>
      </x:c>
      <x:c r="W155" s="74" t="n">
        <x:f>IFERROR(V155/MAX($V$16:V155)-1,0)</x:f>
        <x:v>-0.007409759054129328</x:v>
      </x:c>
      <x:c r="X155" t="str">
        <x:f>IF(O155&gt;0,"TRADE","NO_TRADE")</x:f>
        <x:v>NO_TRADE</x:v>
      </x:c>
    </x:row>
    <x:row r="156">
      <x:c r="A156" s="66" t="n">
        <x:v>46167.508101851854</x:v>
      </x:c>
      <x:c r="B156" s="66" t="str">
        <x:v>MKT_1002</x:v>
      </x:c>
      <x:c r="C156" s="66" t="n">
        <x:v>46167.510416666664</x:v>
      </x:c>
      <x:c r="D156" t="n">
        <x:v>200</x:v>
      </x:c>
      <x:c r="E156" t="str">
        <x:v>YES</x:v>
      </x:c>
      <x:c r="F156" s="74" t="n">
        <x:v>0.52</x:v>
      </x:c>
      <x:c r="G156" s="74" t="n">
        <x:v>0.52</x:v>
      </x:c>
      <x:c r="H156" s="74" t="n">
        <x:v>0.535</x:v>
      </x:c>
      <x:c r="I156" s="74" t="n">
        <x:f>IF(E156="YES",H156,1-H156)</x:f>
        <x:v>0.535</x:v>
      </x:c>
      <x:c r="J156" s="76" t="n">
        <x:f>Assumptions!$C$12+Assumptions!$C$11*F156</x:f>
        <x:v>0.003</x:v>
      </x:c>
      <x:c r="K156" s="76" t="n">
        <x:f>I156-F156-J156</x:f>
        <x:v>0.012000000000000014</x:v>
      </x:c>
      <x:c r="L156" s="74" t="n">
        <x:f>MAX(0,IFERROR(K156/(1-F156),0))</x:f>
        <x:v>0.02500000000000003</x:v>
      </x:c>
      <x:c r="M156" s="74" t="n">
        <x:f>MIN(Assumptions!$C$8*L156,Assumptions!$C$5)</x:f>
        <x:v>0.005</x:v>
      </x:c>
      <x:c r="N156" s="78" t="n">
        <x:f>IF(ROW()=16,Assumptions!$C$4,V155)</x:f>
        <x:v>10030.950787512258</x:v>
      </x:c>
      <x:c r="O156" s="78" t="n">
        <x:f>IF(AND(K156&gt;IF(F156&gt;=Assumptions!$C$21,Assumptions!$C$10,Assumptions!$C$9),D156&gt;Assumptions!$C$23),N156*M156,0)</x:f>
        <x:v>50.15475393756129</x:v>
      </x:c>
      <x:c r="P156" s="78" t="n">
        <x:f>IFERROR(O156/F156,0)</x:f>
        <x:v>96.45144987992555</x:v>
      </x:c>
      <x:c r="Q156" s="78" t="n">
        <x:v>0</x:v>
      </x:c>
      <x:c r="R156" s="78" t="str">
        <x:v>Resolve</x:v>
      </x:c>
      <x:c r="S156" s="78" t="n">
        <x:f>IF(R156="Resolve",IF(IF(E156="YES",Q156,1-Q156)=1,P156*(1-F156),-O156),P156*(G156-F156))</x:f>
        <x:v>-50.15475393756129</x:v>
      </x:c>
      <x:c r="T156" s="78" t="n">
        <x:f>P156*J156</x:f>
        <x:v>0.28935434963977663</x:v>
      </x:c>
      <x:c r="U156" s="78" t="n">
        <x:f>S156-T156</x:f>
        <x:v>-50.44410828720107</x:v>
      </x:c>
      <x:c r="V156" s="78" t="n">
        <x:f>N156+U156</x:f>
        <x:v>9980.506679225056</x:v>
      </x:c>
      <x:c r="W156" s="74" t="n">
        <x:f>IFERROR(V156/MAX($V$16:V156)-1,0)</x:f>
        <x:v>-0.012401342669655313</x:v>
      </x:c>
      <x:c r="X156" t="str">
        <x:f>IF(O156&gt;0,"TRADE","NO_TRADE")</x:f>
        <x:v>TRADE</x:v>
      </x:c>
    </x:row>
    <x:row r="157">
      <x:c r="A157" s="66" t="n">
        <x:v>46167.50815972222</x:v>
      </x:c>
      <x:c r="B157" s="66" t="str">
        <x:v>MKT_1002</x:v>
      </x:c>
      <x:c r="C157" s="66" t="n">
        <x:v>46167.510416666664</x:v>
      </x:c>
      <x:c r="D157" t="n">
        <x:v>195</x:v>
      </x:c>
      <x:c r="E157" t="str">
        <x:v>NO</x:v>
      </x:c>
      <x:c r="F157" s="74" t="n">
        <x:v>0.61</x:v>
      </x:c>
      <x:c r="G157" s="74" t="n">
        <x:v>0.61</x:v>
      </x:c>
      <x:c r="H157" s="74" t="n">
        <x:v>0.63</x:v>
      </x:c>
      <x:c r="I157" s="74" t="n">
        <x:f>IF(E157="YES",H157,1-H157)</x:f>
        <x:v>0.37</x:v>
      </x:c>
      <x:c r="J157" s="76" t="n">
        <x:f>Assumptions!$C$12+Assumptions!$C$11*F157</x:f>
        <x:v>0.003</x:v>
      </x:c>
      <x:c r="K157" s="76" t="n">
        <x:f>I157-F157-J157</x:f>
        <x:v>-0.243</x:v>
      </x:c>
      <x:c r="L157" s="74" t="n">
        <x:f>MAX(0,IFERROR(K157/(1-F157),0))</x:f>
        <x:v>0</x:v>
      </x:c>
      <x:c r="M157" s="74" t="n">
        <x:f>MIN(Assumptions!$C$8*L157,Assumptions!$C$5)</x:f>
        <x:v>0</x:v>
      </x:c>
      <x:c r="N157" s="78" t="n">
        <x:f>IF(ROW()=16,Assumptions!$C$4,V156)</x:f>
        <x:v>9980.506679225056</x:v>
      </x:c>
      <x:c r="O157" s="78" t="n">
        <x:f>IF(AND(K157&gt;IF(F157&gt;=Assumptions!$C$21,Assumptions!$C$10,Assumptions!$C$9),D157&gt;Assumptions!$C$23),N157*M157,0)</x:f>
        <x:v>0</x:v>
      </x:c>
      <x:c r="P157" s="78" t="n">
        <x:f>IFERROR(O157/F157,0)</x:f>
        <x:v>0</x:v>
      </x:c>
      <x:c r="Q157" s="78" t="n">
        <x:v>1</x:v>
      </x:c>
      <x:c r="R157" s="78" t="str">
        <x:v>Resolve</x:v>
      </x:c>
      <x:c r="S157" s="78" t="n">
        <x:f>IF(R157="Resolve",IF(IF(E157="YES",Q157,1-Q157)=1,P157*(1-F157),-O157),P157*(G157-F157))</x:f>
        <x:v>0</x:v>
      </x:c>
      <x:c r="T157" s="78" t="n">
        <x:f>P157*J157</x:f>
        <x:v>0</x:v>
      </x:c>
      <x:c r="U157" s="78" t="n">
        <x:f>S157-T157</x:f>
        <x:v>0</x:v>
      </x:c>
      <x:c r="V157" s="78" t="n">
        <x:f>N157+U157</x:f>
        <x:v>9980.506679225056</x:v>
      </x:c>
      <x:c r="W157" s="74" t="n">
        <x:f>IFERROR(V157/MAX($V$16:V157)-1,0)</x:f>
        <x:v>-0.012401342669655313</x:v>
      </x:c>
      <x:c r="X157" t="str">
        <x:f>IF(O157&gt;0,"TRADE","NO_TRADE")</x:f>
        <x:v>NO_TRADE</x:v>
      </x:c>
    </x:row>
    <x:row r="158">
      <x:c r="A158" s="66" t="n">
        <x:v>46167.50821759259</x:v>
      </x:c>
      <x:c r="B158" s="66" t="str">
        <x:v>MKT_1002</x:v>
      </x:c>
      <x:c r="C158" s="66" t="n">
        <x:v>46167.510416666664</x:v>
      </x:c>
      <x:c r="D158" t="n">
        <x:v>190</x:v>
      </x:c>
      <x:c r="E158" t="str">
        <x:v>YES</x:v>
      </x:c>
      <x:c r="F158" s="74" t="n">
        <x:v>0.74</x:v>
      </x:c>
      <x:c r="G158" s="74" t="n">
        <x:v>0.74</x:v>
      </x:c>
      <x:c r="H158" s="74" t="n">
        <x:v>0.735</x:v>
      </x:c>
      <x:c r="I158" s="74" t="n">
        <x:f>IF(E158="YES",H158,1-H158)</x:f>
        <x:v>0.735</x:v>
      </x:c>
      <x:c r="J158" s="76" t="n">
        <x:f>Assumptions!$C$12+Assumptions!$C$11*F158</x:f>
        <x:v>0.003</x:v>
      </x:c>
      <x:c r="K158" s="76" t="n">
        <x:f>I158-F158-J158</x:f>
        <x:v>-0.008000000000000004</x:v>
      </x:c>
      <x:c r="L158" s="74" t="n">
        <x:f>MAX(0,IFERROR(K158/(1-F158),0))</x:f>
        <x:v>0</x:v>
      </x:c>
      <x:c r="M158" s="74" t="n">
        <x:f>MIN(Assumptions!$C$8*L158,Assumptions!$C$5)</x:f>
        <x:v>0</x:v>
      </x:c>
      <x:c r="N158" s="78" t="n">
        <x:f>IF(ROW()=16,Assumptions!$C$4,V157)</x:f>
        <x:v>9980.506679225056</x:v>
      </x:c>
      <x:c r="O158" s="78" t="n">
        <x:f>IF(AND(K158&gt;IF(F158&gt;=Assumptions!$C$21,Assumptions!$C$10,Assumptions!$C$9),D158&gt;Assumptions!$C$23),N158*M158,0)</x:f>
        <x:v>0</x:v>
      </x:c>
      <x:c r="P158" s="78" t="n">
        <x:f>IFERROR(O158/F158,0)</x:f>
        <x:v>0</x:v>
      </x:c>
      <x:c r="Q158" s="78" t="n">
        <x:v>1</x:v>
      </x:c>
      <x:c r="R158" s="78" t="str">
        <x:v>Resolve</x:v>
      </x:c>
      <x:c r="S158" s="78" t="n">
        <x:f>IF(R158="Resolve",IF(IF(E158="YES",Q158,1-Q158)=1,P158*(1-F158),-O158),P158*(G158-F158))</x:f>
        <x:v>0</x:v>
      </x:c>
      <x:c r="T158" s="78" t="n">
        <x:f>P158*J158</x:f>
        <x:v>0</x:v>
      </x:c>
      <x:c r="U158" s="78" t="n">
        <x:f>S158-T158</x:f>
        <x:v>0</x:v>
      </x:c>
      <x:c r="V158" s="78" t="n">
        <x:f>N158+U158</x:f>
        <x:v>9980.506679225056</x:v>
      </x:c>
      <x:c r="W158" s="74" t="n">
        <x:f>IFERROR(V158/MAX($V$16:V158)-1,0)</x:f>
        <x:v>-0.012401342669655313</x:v>
      </x:c>
      <x:c r="X158" t="str">
        <x:f>IF(O158&gt;0,"TRADE","NO_TRADE")</x:f>
        <x:v>NO_TRADE</x:v>
      </x:c>
    </x:row>
    <x:row r="159">
      <x:c r="A159" s="66" t="n">
        <x:v>46167.50827546296</x:v>
      </x:c>
      <x:c r="B159" s="66" t="str">
        <x:v>MKT_1002</x:v>
      </x:c>
      <x:c r="C159" s="66" t="n">
        <x:v>46167.510416666664</x:v>
      </x:c>
      <x:c r="D159" t="n">
        <x:v>185</x:v>
      </x:c>
      <x:c r="E159" t="str">
        <x:v>YES</x:v>
      </x:c>
      <x:c r="F159" s="74" t="n">
        <x:v>0.88</x:v>
      </x:c>
      <x:c r="G159" s="74" t="n">
        <x:v>0.88</x:v>
      </x:c>
      <x:c r="H159" s="74" t="n">
        <x:v>0.91</x:v>
      </x:c>
      <x:c r="I159" s="74" t="n">
        <x:f>IF(E159="YES",H159,1-H159)</x:f>
        <x:v>0.91</x:v>
      </x:c>
      <x:c r="J159" s="76" t="n">
        <x:f>Assumptions!$C$12+Assumptions!$C$11*F159</x:f>
        <x:v>0.003</x:v>
      </x:c>
      <x:c r="K159" s="76" t="n">
        <x:f>I159-F159-J159</x:f>
        <x:v>0.027000000000000027</x:v>
      </x:c>
      <x:c r="L159" s="74" t="n">
        <x:f>MAX(0,IFERROR(K159/(1-F159),0))</x:f>
        <x:v>0.22500000000000023</x:v>
      </x:c>
      <x:c r="M159" s="74" t="n">
        <x:f>MIN(Assumptions!$C$8*L159,Assumptions!$C$5)</x:f>
        <x:v>0.005</x:v>
      </x:c>
      <x:c r="N159" s="78" t="n">
        <x:f>IF(ROW()=16,Assumptions!$C$4,V158)</x:f>
        <x:v>9980.506679225056</x:v>
      </x:c>
      <x:c r="O159" s="78" t="n">
        <x:f>IF(AND(K159&gt;IF(F159&gt;=Assumptions!$C$21,Assumptions!$C$10,Assumptions!$C$9),D159&gt;Assumptions!$C$23),N159*M159,0)</x:f>
        <x:v>49.902533396125285</x:v>
      </x:c>
      <x:c r="P159" s="78" t="n">
        <x:f>IFERROR(O159/F159,0)</x:f>
        <x:v>56.70742431377873</x:v>
      </x:c>
      <x:c r="Q159" s="78" t="n">
        <x:v>0</x:v>
      </x:c>
      <x:c r="R159" s="78" t="str">
        <x:v>Resolve</x:v>
      </x:c>
      <x:c r="S159" s="78" t="n">
        <x:f>IF(R159="Resolve",IF(IF(E159="YES",Q159,1-Q159)=1,P159*(1-F159),-O159),P159*(G159-F159))</x:f>
        <x:v>-49.902533396125285</x:v>
      </x:c>
      <x:c r="T159" s="78" t="n">
        <x:f>P159*J159</x:f>
        <x:v>0.1701222729413362</x:v>
      </x:c>
      <x:c r="U159" s="78" t="n">
        <x:f>S159-T159</x:f>
        <x:v>-50.07265566906662</x:v>
      </x:c>
      <x:c r="V159" s="78" t="n">
        <x:f>N159+U159</x:f>
        <x:v>9930.43402355599</x:v>
      </x:c>
      <x:c r="W159" s="74" t="n">
        <x:f>IFERROR(V159/MAX($V$16:V159)-1,0)</x:f>
        <x:v>-0.017356170024329654</x:v>
      </x:c>
      <x:c r="X159" t="str">
        <x:f>IF(O159&gt;0,"TRADE","NO_TRADE")</x:f>
        <x:v>TRADE</x:v>
      </x:c>
    </x:row>
    <x:row r="160">
      <x:c r="A160" s="66" t="n">
        <x:v>46167.50833333333</x:v>
      </x:c>
      <x:c r="B160" s="66" t="str">
        <x:v>MKT_1002</x:v>
      </x:c>
      <x:c r="C160" s="66" t="n">
        <x:v>46167.510416666664</x:v>
      </x:c>
      <x:c r="D160" t="n">
        <x:v>180</x:v>
      </x:c>
      <x:c r="E160" t="str">
        <x:v>NO</x:v>
      </x:c>
      <x:c r="F160" s="74" t="n">
        <x:v>0.94</x:v>
      </x:c>
      <x:c r="G160" s="74" t="n">
        <x:v>0.94</x:v>
      </x:c>
      <x:c r="H160" s="74" t="n">
        <x:v>0.98</x:v>
      </x:c>
      <x:c r="I160" s="74" t="n">
        <x:f>IF(E160="YES",H160,1-H160)</x:f>
        <x:v>0.020000000000000018</x:v>
      </x:c>
      <x:c r="J160" s="76" t="n">
        <x:f>Assumptions!$C$12+Assumptions!$C$11*F160</x:f>
        <x:v>0.003</x:v>
      </x:c>
      <x:c r="K160" s="76" t="n">
        <x:f>I160-F160-J160</x:f>
        <x:v>-0.9229999999999999</x:v>
      </x:c>
      <x:c r="L160" s="74" t="n">
        <x:f>MAX(0,IFERROR(K160/(1-F160),0))</x:f>
        <x:v>0</x:v>
      </x:c>
      <x:c r="M160" s="74" t="n">
        <x:f>MIN(Assumptions!$C$8*L160,Assumptions!$C$5)</x:f>
        <x:v>0</x:v>
      </x:c>
      <x:c r="N160" s="78" t="n">
        <x:f>IF(ROW()=16,Assumptions!$C$4,V159)</x:f>
        <x:v>9930.43402355599</x:v>
      </x:c>
      <x:c r="O160" s="78" t="n">
        <x:f>IF(AND(K160&gt;IF(F160&gt;=Assumptions!$C$21,Assumptions!$C$10,Assumptions!$C$9),D160&gt;Assumptions!$C$23),N160*M160,0)</x:f>
        <x:v>0</x:v>
      </x:c>
      <x:c r="P160" s="78" t="n">
        <x:f>IFERROR(O160/F160,0)</x:f>
        <x:v>0</x:v>
      </x:c>
      <x:c r="Q160" s="78" t="n">
        <x:v>1</x:v>
      </x:c>
      <x:c r="R160" s="78" t="str">
        <x:v>Resolve</x:v>
      </x:c>
      <x:c r="S160" s="78" t="n">
        <x:f>IF(R160="Resolve",IF(IF(E160="YES",Q160,1-Q160)=1,P160*(1-F160),-O160),P160*(G160-F160))</x:f>
        <x:v>0</x:v>
      </x:c>
      <x:c r="T160" s="78" t="n">
        <x:f>P160*J160</x:f>
        <x:v>0</x:v>
      </x:c>
      <x:c r="U160" s="78" t="n">
        <x:f>S160-T160</x:f>
        <x:v>0</x:v>
      </x:c>
      <x:c r="V160" s="78" t="n">
        <x:f>N160+U160</x:f>
        <x:v>9930.43402355599</x:v>
      </x:c>
      <x:c r="W160" s="74" t="n">
        <x:f>IFERROR(V160/MAX($V$16:V160)-1,0)</x:f>
        <x:v>-0.017356170024329654</x:v>
      </x:c>
      <x:c r="X160" t="str">
        <x:f>IF(O160&gt;0,"TRADE","NO_TRADE")</x:f>
        <x:v>NO_TRADE</x:v>
      </x:c>
    </x:row>
    <x:row r="161">
      <x:c r="A161" s="66" t="n">
        <x:v>46167.5083912037</x:v>
      </x:c>
      <x:c r="B161" s="66" t="str">
        <x:v>MKT_1002</x:v>
      </x:c>
      <x:c r="C161" s="66" t="n">
        <x:v>46167.510416666664</x:v>
      </x:c>
      <x:c r="D161" t="n">
        <x:v>175</x:v>
      </x:c>
      <x:c r="E161" t="str">
        <x:v>YES</x:v>
      </x:c>
      <x:c r="F161" s="74" t="n">
        <x:v>0.95</x:v>
      </x:c>
      <x:c r="G161" s="74" t="n">
        <x:v>0.95</x:v>
      </x:c>
      <x:c r="H161" s="74" t="n">
        <x:v>0.968</x:v>
      </x:c>
      <x:c r="I161" s="74" t="n">
        <x:f>IF(E161="YES",H161,1-H161)</x:f>
        <x:v>0.968</x:v>
      </x:c>
      <x:c r="J161" s="76" t="n">
        <x:f>Assumptions!$C$12+Assumptions!$C$11*F161</x:f>
        <x:v>0.003</x:v>
      </x:c>
      <x:c r="K161" s="76" t="n">
        <x:f>I161-F161-J161</x:f>
        <x:v>0.015000000000000017</x:v>
      </x:c>
      <x:c r="L161" s="74" t="n">
        <x:f>MAX(0,IFERROR(K161/(1-F161),0))</x:f>
        <x:v>0.30000000000000004</x:v>
      </x:c>
      <x:c r="M161" s="74" t="n">
        <x:f>MIN(Assumptions!$C$8*L161,Assumptions!$C$5)</x:f>
        <x:v>0.005</x:v>
      </x:c>
      <x:c r="N161" s="78" t="n">
        <x:f>IF(ROW()=16,Assumptions!$C$4,V160)</x:f>
        <x:v>9930.43402355599</x:v>
      </x:c>
      <x:c r="O161" s="78" t="n">
        <x:f>IF(AND(K161&gt;IF(F161&gt;=Assumptions!$C$21,Assumptions!$C$10,Assumptions!$C$9),D161&gt;Assumptions!$C$23),N161*M161,0)</x:f>
        <x:v>49.65217011777995</x:v>
      </x:c>
      <x:c r="P161" s="78" t="n">
        <x:f>IFERROR(O161/F161,0)</x:f>
        <x:v>52.265442229242055</x:v>
      </x:c>
      <x:c r="Q161" s="78" t="n">
        <x:v>1</x:v>
      </x:c>
      <x:c r="R161" s="78" t="str">
        <x:v>Resolve</x:v>
      </x:c>
      <x:c r="S161" s="78" t="n">
        <x:f>IF(R161="Resolve",IF(IF(E161="YES",Q161,1-Q161)=1,P161*(1-F161),-O161),P161*(G161-F161))</x:f>
        <x:v>2.613272111462105</x:v>
      </x:c>
      <x:c r="T161" s="78" t="n">
        <x:f>P161*J161</x:f>
        <x:v>0.15679632668772617</x:v>
      </x:c>
      <x:c r="U161" s="78" t="n">
        <x:f>S161-T161</x:f>
        <x:v>2.456475784774379</x:v>
      </x:c>
      <x:c r="V161" s="78" t="n">
        <x:f>N161+U161</x:f>
        <x:v>9932.890499340765</x:v>
      </x:c>
      <x:c r="W161" s="74" t="n">
        <x:f>IFERROR(V161/MAX($V$16:V161)-1,0)</x:f>
        <x:v>-0.017113094971651366</x:v>
      </x:c>
      <x:c r="X161" t="str">
        <x:f>IF(O161&gt;0,"TRADE","NO_TRADE")</x:f>
        <x:v>TRADE</x:v>
      </x:c>
    </x:row>
    <x:row r="162">
      <x:c r="A162" s="66" t="n">
        <x:v>46167.50844907408</x:v>
      </x:c>
      <x:c r="B162" s="66" t="str">
        <x:v>MKT_1002</x:v>
      </x:c>
      <x:c r="C162" s="66" t="n">
        <x:v>46167.510416666664</x:v>
      </x:c>
      <x:c r="D162" t="n">
        <x:v>170</x:v>
      </x:c>
      <x:c r="E162" t="str">
        <x:v>YES</x:v>
      </x:c>
      <x:c r="F162" s="74" t="n">
        <x:v>0.57</x:v>
      </x:c>
      <x:c r="G162" s="74" t="n">
        <x:v>0.57</x:v>
      </x:c>
      <x:c r="H162" s="74" t="n">
        <x:v>0.582</x:v>
      </x:c>
      <x:c r="I162" s="74" t="n">
        <x:f>IF(E162="YES",H162,1-H162)</x:f>
        <x:v>0.582</x:v>
      </x:c>
      <x:c r="J162" s="76" t="n">
        <x:f>Assumptions!$C$12+Assumptions!$C$11*F162</x:f>
        <x:v>0.003</x:v>
      </x:c>
      <x:c r="K162" s="76" t="n">
        <x:f>I162-F162-J162</x:f>
        <x:v>0.009000000000000011</x:v>
      </x:c>
      <x:c r="L162" s="74" t="n">
        <x:f>MAX(0,IFERROR(K162/(1-F162),0))</x:f>
        <x:v>0.02093023255813956</x:v>
      </x:c>
      <x:c r="M162" s="74" t="n">
        <x:f>MIN(Assumptions!$C$8*L162,Assumptions!$C$5)</x:f>
        <x:v>0.005</x:v>
      </x:c>
      <x:c r="N162" s="78" t="n">
        <x:f>IF(ROW()=16,Assumptions!$C$4,V161)</x:f>
        <x:v>9932.890499340765</x:v>
      </x:c>
      <x:c r="O162" s="78" t="n">
        <x:f>IF(AND(K162&gt;IF(F162&gt;=Assumptions!$C$21,Assumptions!$C$10,Assumptions!$C$9),D162&gt;Assumptions!$C$23),N162*M162,0)</x:f>
        <x:v>49.664452496703824</x:v>
      </x:c>
      <x:c r="P162" s="78" t="n">
        <x:f>IFERROR(O162/F162,0)</x:f>
        <x:v>87.13061841526988</x:v>
      </x:c>
      <x:c r="Q162" s="78" t="n">
        <x:v>1</x:v>
      </x:c>
      <x:c r="R162" s="78" t="str">
        <x:v>Resolve</x:v>
      </x:c>
      <x:c r="S162" s="78" t="n">
        <x:f>IF(R162="Resolve",IF(IF(E162="YES",Q162,1-Q162)=1,P162*(1-F162),-O162),P162*(G162-F162))</x:f>
        <x:v>37.466165918566055</x:v>
      </x:c>
      <x:c r="T162" s="78" t="n">
        <x:f>P162*J162</x:f>
        <x:v>0.26139185524580966</x:v>
      </x:c>
      <x:c r="U162" s="78" t="n">
        <x:f>S162-T162</x:f>
        <x:v>37.204774063320244</x:v>
      </x:c>
      <x:c r="V162" s="78" t="n">
        <x:f>N162+U162</x:f>
        <x:v>9970.095273404086</x:v>
      </x:c>
      <x:c r="W162" s="74" t="n">
        <x:f>IFERROR(V162/MAX($V$16:V162)-1,0)</x:f>
        <x:v>-0.013431579985273223</x:v>
      </x:c>
      <x:c r="X162" t="str">
        <x:f>IF(O162&gt;0,"TRADE","NO_TRADE")</x:f>
        <x:v>TRADE</x:v>
      </x:c>
    </x:row>
    <x:row r="163">
      <x:c r="A163" s="66" t="n">
        <x:v>46167.50850694445</x:v>
      </x:c>
      <x:c r="B163" s="66" t="str">
        <x:v>MKT_1002</x:v>
      </x:c>
      <x:c r="C163" s="66" t="n">
        <x:v>46167.510416666664</x:v>
      </x:c>
      <x:c r="D163" t="n">
        <x:v>165</x:v>
      </x:c>
      <x:c r="E163" t="str">
        <x:v>NO</x:v>
      </x:c>
      <x:c r="F163" s="74" t="n">
        <x:v>0.68</x:v>
      </x:c>
      <x:c r="G163" s="74" t="n">
        <x:v>0.68</x:v>
      </x:c>
      <x:c r="H163" s="74" t="n">
        <x:v>0.7050000000000001</x:v>
      </x:c>
      <x:c r="I163" s="74" t="n">
        <x:f>IF(E163="YES",H163,1-H163)</x:f>
        <x:v>0.29499999999999993</x:v>
      </x:c>
      <x:c r="J163" s="76" t="n">
        <x:f>Assumptions!$C$12+Assumptions!$C$11*F163</x:f>
        <x:v>0.003</x:v>
      </x:c>
      <x:c r="K163" s="76" t="n">
        <x:f>I163-F163-J163</x:f>
        <x:v>-0.3880000000000001</x:v>
      </x:c>
      <x:c r="L163" s="74" t="n">
        <x:f>MAX(0,IFERROR(K163/(1-F163),0))</x:f>
        <x:v>0</x:v>
      </x:c>
      <x:c r="M163" s="74" t="n">
        <x:f>MIN(Assumptions!$C$8*L163,Assumptions!$C$5)</x:f>
        <x:v>0</x:v>
      </x:c>
      <x:c r="N163" s="78" t="n">
        <x:f>IF(ROW()=16,Assumptions!$C$4,V162)</x:f>
        <x:v>9970.095273404086</x:v>
      </x:c>
      <x:c r="O163" s="78" t="n">
        <x:f>IF(AND(K163&gt;IF(F163&gt;=Assumptions!$C$21,Assumptions!$C$10,Assumptions!$C$9),D163&gt;Assumptions!$C$23),N163*M163,0)</x:f>
        <x:v>0</x:v>
      </x:c>
      <x:c r="P163" s="78" t="n">
        <x:f>IFERROR(O163/F163,0)</x:f>
        <x:v>0</x:v>
      </x:c>
      <x:c r="Q163" s="78" t="n">
        <x:v>0</x:v>
      </x:c>
      <x:c r="R163" s="78" t="str">
        <x:v>Resolve</x:v>
      </x:c>
      <x:c r="S163" s="78" t="n">
        <x:f>IF(R163="Resolve",IF(IF(E163="YES",Q163,1-Q163)=1,P163*(1-F163),-O163),P163*(G163-F163))</x:f>
        <x:v>0</x:v>
      </x:c>
      <x:c r="T163" s="78" t="n">
        <x:f>P163*J163</x:f>
        <x:v>0</x:v>
      </x:c>
      <x:c r="U163" s="78" t="n">
        <x:f>S163-T163</x:f>
        <x:v>0</x:v>
      </x:c>
      <x:c r="V163" s="78" t="n">
        <x:f>N163+U163</x:f>
        <x:v>9970.095273404086</x:v>
      </x:c>
      <x:c r="W163" s="74" t="n">
        <x:f>IFERROR(V163/MAX($V$16:V163)-1,0)</x:f>
        <x:v>-0.013431579985273223</x:v>
      </x:c>
      <x:c r="X163" t="str">
        <x:f>IF(O163&gt;0,"TRADE","NO_TRADE")</x:f>
        <x:v>NO_TRADE</x:v>
      </x:c>
    </x:row>
    <x:row r="164">
      <x:c r="A164" s="66" t="n">
        <x:v>46167.508564814816</x:v>
      </x:c>
      <x:c r="B164" s="66" t="str">
        <x:v>MKT_1002</x:v>
      </x:c>
      <x:c r="C164" s="66" t="n">
        <x:v>46167.510416666664</x:v>
      </x:c>
      <x:c r="D164" t="n">
        <x:v>160</x:v>
      </x:c>
      <x:c r="E164" t="str">
        <x:v>YES</x:v>
      </x:c>
      <x:c r="F164" s="74" t="n">
        <x:v>0.91</x:v>
      </x:c>
      <x:c r="G164" s="74" t="n">
        <x:v>0.91</x:v>
      </x:c>
      <x:c r="H164" s="74" t="n">
        <x:v>0.9450000000000001</x:v>
      </x:c>
      <x:c r="I164" s="74" t="n">
        <x:f>IF(E164="YES",H164,1-H164)</x:f>
        <x:v>0.9450000000000001</x:v>
      </x:c>
      <x:c r="J164" s="76" t="n">
        <x:f>Assumptions!$C$12+Assumptions!$C$11*F164</x:f>
        <x:v>0.003</x:v>
      </x:c>
      <x:c r="K164" s="76" t="n">
        <x:f>I164-F164-J164</x:f>
        <x:v>0.03200000000000003</x:v>
      </x:c>
      <x:c r="L164" s="74" t="n">
        <x:f>MAX(0,IFERROR(K164/(1-F164),0))</x:f>
        <x:v>0.355555555555556</x:v>
      </x:c>
      <x:c r="M164" s="74" t="n">
        <x:f>MIN(Assumptions!$C$8*L164,Assumptions!$C$5)</x:f>
        <x:v>0.005</x:v>
      </x:c>
      <x:c r="N164" s="78" t="n">
        <x:f>IF(ROW()=16,Assumptions!$C$4,V163)</x:f>
        <x:v>9970.095273404086</x:v>
      </x:c>
      <x:c r="O164" s="78" t="n">
        <x:f>IF(AND(K164&gt;IF(F164&gt;=Assumptions!$C$21,Assumptions!$C$10,Assumptions!$C$9),D164&gt;Assumptions!$C$23),N164*M164,0)</x:f>
        <x:v>49.85047636702043</x:v>
      </x:c>
      <x:c r="P164" s="78" t="n">
        <x:f>IFERROR(O164/F164,0)</x:f>
        <x:v>54.780743260462</x:v>
      </x:c>
      <x:c r="Q164" s="78" t="n">
        <x:v>1</x:v>
      </x:c>
      <x:c r="R164" s="78" t="str">
        <x:v>Resolve</x:v>
      </x:c>
      <x:c r="S164" s="78" t="n">
        <x:f>IF(R164="Resolve",IF(IF(E164="YES",Q164,1-Q164)=1,P164*(1-F164),-O164),P164*(G164-F164))</x:f>
        <x:v>4.930266893441579</x:v>
      </x:c>
      <x:c r="T164" s="78" t="n">
        <x:f>P164*J164</x:f>
        <x:v>0.16434222978138602</x:v>
      </x:c>
      <x:c r="U164" s="78" t="n">
        <x:f>S164-T164</x:f>
        <x:v>4.765924663660193</x:v>
      </x:c>
      <x:c r="V164" s="78" t="n">
        <x:f>N164+U164</x:f>
        <x:v>9974.861198067745</x:v>
      </x:c>
      <x:c r="W164" s="74" t="n">
        <x:f>IFERROR(V164/MAX($V$16:V164)-1,0)</x:f>
        <x:v>-0.01295997859768383</x:v>
      </x:c>
      <x:c r="X164" t="str">
        <x:f>IF(O164&gt;0,"TRADE","NO_TRADE")</x:f>
        <x:v>TRADE</x:v>
      </x:c>
    </x:row>
    <x:row r="165">
      <x:c r="A165" s="66" t="n">
        <x:v>46167.508622685185</x:v>
      </x:c>
      <x:c r="B165" s="66" t="str">
        <x:v>MKT_1002</x:v>
      </x:c>
      <x:c r="C165" s="66" t="n">
        <x:v>46167.510416666664</x:v>
      </x:c>
      <x:c r="D165" t="n">
        <x:v>155</x:v>
      </x:c>
      <x:c r="E165" t="str">
        <x:v>YES</x:v>
      </x:c>
      <x:c r="F165" s="74" t="n">
        <x:v>0.83</x:v>
      </x:c>
      <x:c r="G165" s="74" t="n">
        <x:v>0.83</x:v>
      </x:c>
      <x:c r="H165" s="74" t="n">
        <x:v>0.82</x:v>
      </x:c>
      <x:c r="I165" s="74" t="n">
        <x:f>IF(E165="YES",H165,1-H165)</x:f>
        <x:v>0.82</x:v>
      </x:c>
      <x:c r="J165" s="76" t="n">
        <x:f>Assumptions!$C$12+Assumptions!$C$11*F165</x:f>
        <x:v>0.003</x:v>
      </x:c>
      <x:c r="K165" s="76" t="n">
        <x:f>I165-F165-J165</x:f>
        <x:v>-0.013000000000000008</x:v>
      </x:c>
      <x:c r="L165" s="74" t="n">
        <x:f>MAX(0,IFERROR(K165/(1-F165),0))</x:f>
        <x:v>0</x:v>
      </x:c>
      <x:c r="M165" s="74" t="n">
        <x:f>MIN(Assumptions!$C$8*L165,Assumptions!$C$5)</x:f>
        <x:v>0</x:v>
      </x:c>
      <x:c r="N165" s="78" t="n">
        <x:f>IF(ROW()=16,Assumptions!$C$4,V164)</x:f>
        <x:v>9974.861198067745</x:v>
      </x:c>
      <x:c r="O165" s="78" t="n">
        <x:f>IF(AND(K165&gt;IF(F165&gt;=Assumptions!$C$21,Assumptions!$C$10,Assumptions!$C$9),D165&gt;Assumptions!$C$23),N165*M165,0)</x:f>
        <x:v>0</x:v>
      </x:c>
      <x:c r="P165" s="78" t="n">
        <x:f>IFERROR(O165/F165,0)</x:f>
        <x:v>0</x:v>
      </x:c>
      <x:c r="Q165" s="78" t="n">
        <x:v>1</x:v>
      </x:c>
      <x:c r="R165" s="78" t="str">
        <x:v>Resolve</x:v>
      </x:c>
      <x:c r="S165" s="78" t="n">
        <x:f>IF(R165="Resolve",IF(IF(E165="YES",Q165,1-Q165)=1,P165*(1-F165),-O165),P165*(G165-F165))</x:f>
        <x:v>0</x:v>
      </x:c>
      <x:c r="T165" s="78" t="n">
        <x:f>P165*J165</x:f>
        <x:v>0</x:v>
      </x:c>
      <x:c r="U165" s="78" t="n">
        <x:f>S165-T165</x:f>
        <x:v>0</x:v>
      </x:c>
      <x:c r="V165" s="78" t="n">
        <x:f>N165+U165</x:f>
        <x:v>9974.861198067745</x:v>
      </x:c>
      <x:c r="W165" s="74" t="n">
        <x:f>IFERROR(V165/MAX($V$16:V165)-1,0)</x:f>
        <x:v>-0.01295997859768383</x:v>
      </x:c>
      <x:c r="X165" t="str">
        <x:f>IF(O165&gt;0,"TRADE","NO_TRADE")</x:f>
        <x:v>NO_TRADE</x:v>
      </x:c>
    </x:row>
    <x:row r="166">
      <x:c r="A166" s="66" t="n">
        <x:v>46167.508680555555</x:v>
      </x:c>
      <x:c r="B166" s="66" t="str">
        <x:v>MKT_1002</x:v>
      </x:c>
      <x:c r="C166" s="66" t="n">
        <x:v>46167.510416666664</x:v>
      </x:c>
      <x:c r="D166" t="n">
        <x:v>150</x:v>
      </x:c>
      <x:c r="E166" t="str">
        <x:v>NO</x:v>
      </x:c>
      <x:c r="F166" s="74" t="n">
        <x:v>0.52</x:v>
      </x:c>
      <x:c r="G166" s="74" t="n">
        <x:v>0.52</x:v>
      </x:c>
      <x:c r="H166" s="74" t="n">
        <x:v>0.535</x:v>
      </x:c>
      <x:c r="I166" s="74" t="n">
        <x:f>IF(E166="YES",H166,1-H166)</x:f>
        <x:v>0.46499999999999997</x:v>
      </x:c>
      <x:c r="J166" s="76" t="n">
        <x:f>Assumptions!$C$12+Assumptions!$C$11*F166</x:f>
        <x:v>0.003</x:v>
      </x:c>
      <x:c r="K166" s="76" t="n">
        <x:f>I166-F166-J166</x:f>
        <x:v>-0.05800000000000005</x:v>
      </x:c>
      <x:c r="L166" s="74" t="n">
        <x:f>MAX(0,IFERROR(K166/(1-F166),0))</x:f>
        <x:v>0</x:v>
      </x:c>
      <x:c r="M166" s="74" t="n">
        <x:f>MIN(Assumptions!$C$8*L166,Assumptions!$C$5)</x:f>
        <x:v>0</x:v>
      </x:c>
      <x:c r="N166" s="78" t="n">
        <x:f>IF(ROW()=16,Assumptions!$C$4,V165)</x:f>
        <x:v>9974.861198067745</x:v>
      </x:c>
      <x:c r="O166" s="78" t="n">
        <x:f>IF(AND(K166&gt;IF(F166&gt;=Assumptions!$C$21,Assumptions!$C$10,Assumptions!$C$9),D166&gt;Assumptions!$C$23),N166*M166,0)</x:f>
        <x:v>0</x:v>
      </x:c>
      <x:c r="P166" s="78" t="n">
        <x:f>IFERROR(O166/F166,0)</x:f>
        <x:v>0</x:v>
      </x:c>
      <x:c r="Q166" s="78" t="n">
        <x:v>0</x:v>
      </x:c>
      <x:c r="R166" s="78" t="str">
        <x:v>Resolve</x:v>
      </x:c>
      <x:c r="S166" s="78" t="n">
        <x:f>IF(R166="Resolve",IF(IF(E166="YES",Q166,1-Q166)=1,P166*(1-F166),-O166),P166*(G166-F166))</x:f>
        <x:v>0</x:v>
      </x:c>
      <x:c r="T166" s="78" t="n">
        <x:f>P166*J166</x:f>
        <x:v>0</x:v>
      </x:c>
      <x:c r="U166" s="78" t="n">
        <x:f>S166-T166</x:f>
        <x:v>0</x:v>
      </x:c>
      <x:c r="V166" s="78" t="n">
        <x:f>N166+U166</x:f>
        <x:v>9974.861198067745</x:v>
      </x:c>
      <x:c r="W166" s="74" t="n">
        <x:f>IFERROR(V166/MAX($V$16:V166)-1,0)</x:f>
        <x:v>-0.01295997859768383</x:v>
      </x:c>
      <x:c r="X166" t="str">
        <x:f>IF(O166&gt;0,"TRADE","NO_TRADE")</x:f>
        <x:v>NO_TRADE</x:v>
      </x:c>
    </x:row>
    <x:row r="167">
      <x:c r="A167" s="66" t="n">
        <x:v>46167.508738425924</x:v>
      </x:c>
      <x:c r="B167" s="66" t="str">
        <x:v>MKT_1002</x:v>
      </x:c>
      <x:c r="C167" s="66" t="n">
        <x:v>46167.510416666664</x:v>
      </x:c>
      <x:c r="D167" t="n">
        <x:v>145</x:v>
      </x:c>
      <x:c r="E167" t="str">
        <x:v>YES</x:v>
      </x:c>
      <x:c r="F167" s="74" t="n">
        <x:v>0.61</x:v>
      </x:c>
      <x:c r="G167" s="74" t="n">
        <x:v>0.61</x:v>
      </x:c>
      <x:c r="H167" s="74" t="n">
        <x:v>0.63</x:v>
      </x:c>
      <x:c r="I167" s="74" t="n">
        <x:f>IF(E167="YES",H167,1-H167)</x:f>
        <x:v>0.63</x:v>
      </x:c>
      <x:c r="J167" s="76" t="n">
        <x:f>Assumptions!$C$12+Assumptions!$C$11*F167</x:f>
        <x:v>0.003</x:v>
      </x:c>
      <x:c r="K167" s="76" t="n">
        <x:f>I167-F167-J167</x:f>
        <x:v>0.01700000000000002</x:v>
      </x:c>
      <x:c r="L167" s="74" t="n">
        <x:f>MAX(0,IFERROR(K167/(1-F167),0))</x:f>
        <x:v>0.043589743589743636</x:v>
      </x:c>
      <x:c r="M167" s="74" t="n">
        <x:f>MIN(Assumptions!$C$8*L167,Assumptions!$C$5)</x:f>
        <x:v>0.005</x:v>
      </x:c>
      <x:c r="N167" s="78" t="n">
        <x:f>IF(ROW()=16,Assumptions!$C$4,V166)</x:f>
        <x:v>9974.861198067745</x:v>
      </x:c>
      <x:c r="O167" s="78" t="n">
        <x:f>IF(AND(K167&gt;IF(F167&gt;=Assumptions!$C$21,Assumptions!$C$10,Assumptions!$C$9),D167&gt;Assumptions!$C$23),N167*M167,0)</x:f>
        <x:v>49.874305990338726</x:v>
      </x:c>
      <x:c r="P167" s="78" t="n">
        <x:f>IFERROR(O167/F167,0)</x:f>
        <x:v>81.76115736121103</x:v>
      </x:c>
      <x:c r="Q167" s="78" t="n">
        <x:v>1</x:v>
      </x:c>
      <x:c r="R167" s="78" t="str">
        <x:v>Resolve</x:v>
      </x:c>
      <x:c r="S167" s="78" t="n">
        <x:f>IF(R167="Resolve",IF(IF(E167="YES",Q167,1-Q167)=1,P167*(1-F167),-O167),P167*(G167-F167))</x:f>
        <x:v>31.886851370872304</x:v>
      </x:c>
      <x:c r="T167" s="78" t="n">
        <x:f>P167*J167</x:f>
        <x:v>0.2452834720836331</x:v>
      </x:c>
      <x:c r="U167" s="78" t="n">
        <x:f>S167-T167</x:f>
        <x:v>31.641567898788672</x:v>
      </x:c>
      <x:c r="V167" s="78" t="n">
        <x:f>N167+U167</x:f>
        <x:v>10006.502765966534</x:v>
      </x:c>
      <x:c r="W167" s="74" t="n">
        <x:f>IFERROR(V167/MAX($V$16:V167)-1,0)</x:f>
        <x:v>-0.009828958201924087</x:v>
      </x:c>
      <x:c r="X167" t="str">
        <x:f>IF(O167&gt;0,"TRADE","NO_TRADE")</x:f>
        <x:v>TRADE</x:v>
      </x:c>
    </x:row>
    <x:row r="168">
      <x:c r="A168" s="66" t="n">
        <x:v>46167.50879629629</x:v>
      </x:c>
      <x:c r="B168" s="66" t="str">
        <x:v>MKT_1002</x:v>
      </x:c>
      <x:c r="C168" s="66" t="n">
        <x:v>46167.510416666664</x:v>
      </x:c>
      <x:c r="D168" t="n">
        <x:v>140</x:v>
      </x:c>
      <x:c r="E168" t="str">
        <x:v>YES</x:v>
      </x:c>
      <x:c r="F168" s="74" t="n">
        <x:v>0.74</x:v>
      </x:c>
      <x:c r="G168" s="74" t="n">
        <x:v>0.74</x:v>
      </x:c>
      <x:c r="H168" s="74" t="n">
        <x:v>0.735</x:v>
      </x:c>
      <x:c r="I168" s="74" t="n">
        <x:f>IF(E168="YES",H168,1-H168)</x:f>
        <x:v>0.735</x:v>
      </x:c>
      <x:c r="J168" s="76" t="n">
        <x:f>Assumptions!$C$12+Assumptions!$C$11*F168</x:f>
        <x:v>0.003</x:v>
      </x:c>
      <x:c r="K168" s="76" t="n">
        <x:f>I168-F168-J168</x:f>
        <x:v>-0.008000000000000004</x:v>
      </x:c>
      <x:c r="L168" s="74" t="n">
        <x:f>MAX(0,IFERROR(K168/(1-F168),0))</x:f>
        <x:v>0</x:v>
      </x:c>
      <x:c r="M168" s="74" t="n">
        <x:f>MIN(Assumptions!$C$8*L168,Assumptions!$C$5)</x:f>
        <x:v>0</x:v>
      </x:c>
      <x:c r="N168" s="78" t="n">
        <x:f>IF(ROW()=16,Assumptions!$C$4,V167)</x:f>
        <x:v>10006.502765966534</x:v>
      </x:c>
      <x:c r="O168" s="78" t="n">
        <x:f>IF(AND(K168&gt;IF(F168&gt;=Assumptions!$C$21,Assumptions!$C$10,Assumptions!$C$9),D168&gt;Assumptions!$C$23),N168*M168,0)</x:f>
        <x:v>0</x:v>
      </x:c>
      <x:c r="P168" s="78" t="n">
        <x:f>IFERROR(O168/F168,0)</x:f>
        <x:v>0</x:v>
      </x:c>
      <x:c r="Q168" s="78" t="n">
        <x:v>1</x:v>
      </x:c>
      <x:c r="R168" s="78" t="str">
        <x:v>Resolve</x:v>
      </x:c>
      <x:c r="S168" s="78" t="n">
        <x:f>IF(R168="Resolve",IF(IF(E168="YES",Q168,1-Q168)=1,P168*(1-F168),-O168),P168*(G168-F168))</x:f>
        <x:v>0</x:v>
      </x:c>
      <x:c r="T168" s="78" t="n">
        <x:f>P168*J168</x:f>
        <x:v>0</x:v>
      </x:c>
      <x:c r="U168" s="78" t="n">
        <x:f>S168-T168</x:f>
        <x:v>0</x:v>
      </x:c>
      <x:c r="V168" s="78" t="n">
        <x:f>N168+U168</x:f>
        <x:v>10006.502765966534</x:v>
      </x:c>
      <x:c r="W168" s="74" t="n">
        <x:f>IFERROR(V168/MAX($V$16:V168)-1,0)</x:f>
        <x:v>-0.009828958201924087</x:v>
      </x:c>
      <x:c r="X168" t="str">
        <x:f>IF(O168&gt;0,"TRADE","NO_TRADE")</x:f>
        <x:v>NO_TRADE</x:v>
      </x:c>
    </x:row>
    <x:row r="169">
      <x:c r="A169" s="66" t="n">
        <x:v>46167.50885416667</x:v>
      </x:c>
      <x:c r="B169" s="66" t="str">
        <x:v>MKT_1002</x:v>
      </x:c>
      <x:c r="C169" s="66" t="n">
        <x:v>46167.510416666664</x:v>
      </x:c>
      <x:c r="D169" t="n">
        <x:v>135</x:v>
      </x:c>
      <x:c r="E169" t="str">
        <x:v>NO</x:v>
      </x:c>
      <x:c r="F169" s="74" t="n">
        <x:v>0.88</x:v>
      </x:c>
      <x:c r="G169" s="74" t="n">
        <x:v>0.88</x:v>
      </x:c>
      <x:c r="H169" s="74" t="n">
        <x:v>0.91</x:v>
      </x:c>
      <x:c r="I169" s="74" t="n">
        <x:f>IF(E169="YES",H169,1-H169)</x:f>
        <x:v>0.08999999999999997</x:v>
      </x:c>
      <x:c r="J169" s="76" t="n">
        <x:f>Assumptions!$C$12+Assumptions!$C$11*F169</x:f>
        <x:v>0.003</x:v>
      </x:c>
      <x:c r="K169" s="76" t="n">
        <x:f>I169-F169-J169</x:f>
        <x:v>-0.793</x:v>
      </x:c>
      <x:c r="L169" s="74" t="n">
        <x:f>MAX(0,IFERROR(K169/(1-F169),0))</x:f>
        <x:v>0</x:v>
      </x:c>
      <x:c r="M169" s="74" t="n">
        <x:f>MIN(Assumptions!$C$8*L169,Assumptions!$C$5)</x:f>
        <x:v>0</x:v>
      </x:c>
      <x:c r="N169" s="78" t="n">
        <x:f>IF(ROW()=16,Assumptions!$C$4,V168)</x:f>
        <x:v>10006.502765966534</x:v>
      </x:c>
      <x:c r="O169" s="78" t="n">
        <x:f>IF(AND(K169&gt;IF(F169&gt;=Assumptions!$C$21,Assumptions!$C$10,Assumptions!$C$9),D169&gt;Assumptions!$C$23),N169*M169,0)</x:f>
        <x:v>0</x:v>
      </x:c>
      <x:c r="P169" s="78" t="n">
        <x:f>IFERROR(O169/F169,0)</x:f>
        <x:v>0</x:v>
      </x:c>
      <x:c r="Q169" s="78" t="n">
        <x:v>1</x:v>
      </x:c>
      <x:c r="R169" s="78" t="str">
        <x:v>Resolve</x:v>
      </x:c>
      <x:c r="S169" s="78" t="n">
        <x:f>IF(R169="Resolve",IF(IF(E169="YES",Q169,1-Q169)=1,P169*(1-F169),-O169),P169*(G169-F169))</x:f>
        <x:v>0</x:v>
      </x:c>
      <x:c r="T169" s="78" t="n">
        <x:f>P169*J169</x:f>
        <x:v>0</x:v>
      </x:c>
      <x:c r="U169" s="78" t="n">
        <x:f>S169-T169</x:f>
        <x:v>0</x:v>
      </x:c>
      <x:c r="V169" s="78" t="n">
        <x:f>N169+U169</x:f>
        <x:v>10006.502765966534</x:v>
      </x:c>
      <x:c r="W169" s="74" t="n">
        <x:f>IFERROR(V169/MAX($V$16:V169)-1,0)</x:f>
        <x:v>-0.009828958201924087</x:v>
      </x:c>
      <x:c r="X169" t="str">
        <x:f>IF(O169&gt;0,"TRADE","NO_TRADE")</x:f>
        <x:v>NO_TRADE</x:v>
      </x:c>
    </x:row>
    <x:row r="170">
      <x:c r="A170" s="66" t="n">
        <x:v>46167.50891203704</x:v>
      </x:c>
      <x:c r="B170" s="66" t="str">
        <x:v>MKT_1002</x:v>
      </x:c>
      <x:c r="C170" s="66" t="n">
        <x:v>46167.510416666664</x:v>
      </x:c>
      <x:c r="D170" t="n">
        <x:v>130</x:v>
      </x:c>
      <x:c r="E170" t="str">
        <x:v>YES</x:v>
      </x:c>
      <x:c r="F170" s="74" t="n">
        <x:v>0.94</x:v>
      </x:c>
      <x:c r="G170" s="74" t="n">
        <x:v>0.94</x:v>
      </x:c>
      <x:c r="H170" s="74" t="n">
        <x:v>0.98</x:v>
      </x:c>
      <x:c r="I170" s="74" t="n">
        <x:f>IF(E170="YES",H170,1-H170)</x:f>
        <x:v>0.98</x:v>
      </x:c>
      <x:c r="J170" s="76" t="n">
        <x:f>Assumptions!$C$12+Assumptions!$C$11*F170</x:f>
        <x:v>0.003</x:v>
      </x:c>
      <x:c r="K170" s="76" t="n">
        <x:f>I170-F170-J170</x:f>
        <x:v>0.03700000000000003</x:v>
      </x:c>
      <x:c r="L170" s="74" t="n">
        <x:f>MAX(0,IFERROR(K170/(1-F170),0))</x:f>
        <x:v>0.6166666666666667</x:v>
      </x:c>
      <x:c r="M170" s="74" t="n">
        <x:f>MIN(Assumptions!$C$8*L170,Assumptions!$C$5)</x:f>
        <x:v>0.005</x:v>
      </x:c>
      <x:c r="N170" s="78" t="n">
        <x:f>IF(ROW()=16,Assumptions!$C$4,V169)</x:f>
        <x:v>10006.502765966534</x:v>
      </x:c>
      <x:c r="O170" s="78" t="n">
        <x:f>IF(AND(K170&gt;IF(F170&gt;=Assumptions!$C$21,Assumptions!$C$10,Assumptions!$C$9),D170&gt;Assumptions!$C$23),N170*M170,0)</x:f>
        <x:v>50.03251382983267</x:v>
      </x:c>
      <x:c r="P170" s="78" t="n">
        <x:f>IFERROR(O170/F170,0)</x:f>
        <x:v>53.226078542375184</x:v>
      </x:c>
      <x:c r="Q170" s="78" t="n">
        <x:v>0</x:v>
      </x:c>
      <x:c r="R170" s="78" t="str">
        <x:v>Resolve</x:v>
      </x:c>
      <x:c r="S170" s="78" t="n">
        <x:f>IF(R170="Resolve",IF(IF(E170="YES",Q170,1-Q170)=1,P170*(1-F170),-O170),P170*(G170-F170))</x:f>
        <x:v>-50.03251382983267</x:v>
      </x:c>
      <x:c r="T170" s="78" t="n">
        <x:f>P170*J170</x:f>
        <x:v>0.15967823562712555</x:v>
      </x:c>
      <x:c r="U170" s="78" t="n">
        <x:f>S170-T170</x:f>
        <x:v>-50.1921920654598</x:v>
      </x:c>
      <x:c r="V170" s="78" t="n">
        <x:f>N170+U170</x:f>
        <x:v>9956.310573901073</x:v>
      </x:c>
      <x:c r="W170" s="74" t="n">
        <x:f>IFERROR(V170/MAX($V$16:V170)-1,0)</x:f>
        <x:v>-0.014795614012645286</x:v>
      </x:c>
      <x:c r="X170" t="str">
        <x:f>IF(O170&gt;0,"TRADE","NO_TRADE")</x:f>
        <x:v>TRADE</x:v>
      </x:c>
    </x:row>
    <x:row r="171">
      <x:c r="A171" s="66" t="n">
        <x:v>46167.50896990741</x:v>
      </x:c>
      <x:c r="B171" s="66" t="str">
        <x:v>MKT_1002</x:v>
      </x:c>
      <x:c r="C171" s="66" t="n">
        <x:v>46167.510416666664</x:v>
      </x:c>
      <x:c r="D171" t="n">
        <x:v>125</x:v>
      </x:c>
      <x:c r="E171" t="str">
        <x:v>YES</x:v>
      </x:c>
      <x:c r="F171" s="74" t="n">
        <x:v>0.95</x:v>
      </x:c>
      <x:c r="G171" s="74" t="n">
        <x:v>0.95</x:v>
      </x:c>
      <x:c r="H171" s="74" t="n">
        <x:v>0.968</x:v>
      </x:c>
      <x:c r="I171" s="74" t="n">
        <x:f>IF(E171="YES",H171,1-H171)</x:f>
        <x:v>0.968</x:v>
      </x:c>
      <x:c r="J171" s="76" t="n">
        <x:f>Assumptions!$C$12+Assumptions!$C$11*F171</x:f>
        <x:v>0.003</x:v>
      </x:c>
      <x:c r="K171" s="76" t="n">
        <x:f>I171-F171-J171</x:f>
        <x:v>0.015000000000000017</x:v>
      </x:c>
      <x:c r="L171" s="74" t="n">
        <x:f>MAX(0,IFERROR(K171/(1-F171),0))</x:f>
        <x:v>0.30000000000000004</x:v>
      </x:c>
      <x:c r="M171" s="74" t="n">
        <x:f>MIN(Assumptions!$C$8*L171,Assumptions!$C$5)</x:f>
        <x:v>0.005</x:v>
      </x:c>
      <x:c r="N171" s="78" t="n">
        <x:f>IF(ROW()=16,Assumptions!$C$4,V170)</x:f>
        <x:v>9956.310573901073</x:v>
      </x:c>
      <x:c r="O171" s="78" t="n">
        <x:f>IF(AND(K171&gt;IF(F171&gt;=Assumptions!$C$21,Assumptions!$C$10,Assumptions!$C$9),D171&gt;Assumptions!$C$23),N171*M171,0)</x:f>
        <x:v>49.78155286950537</x:v>
      </x:c>
      <x:c r="P171" s="78" t="n">
        <x:f>IFERROR(O171/F171,0)</x:f>
        <x:v>52.40163459947934</x:v>
      </x:c>
      <x:c r="Q171" s="78" t="n">
        <x:v>1</x:v>
      </x:c>
      <x:c r="R171" s="78" t="str">
        <x:v>Resolve</x:v>
      </x:c>
      <x:c r="S171" s="78" t="n">
        <x:f>IF(R171="Resolve",IF(IF(E171="YES",Q171,1-Q171)=1,P171*(1-F171),-O171),P171*(G171-F171))</x:f>
        <x:v>2.620081729973969</x:v>
      </x:c>
      <x:c r="T171" s="78" t="n">
        <x:f>P171*J171</x:f>
        <x:v>0.15720490379843802</x:v>
      </x:c>
      <x:c r="U171" s="78" t="n">
        <x:f>S171-T171</x:f>
        <x:v>2.462876826175531</x:v>
      </x:c>
      <x:c r="V171" s="78" t="n">
        <x:f>N171+U171</x:f>
        <x:v>9958.773450727249</x:v>
      </x:c>
      <x:c r="W171" s="74" t="n">
        <x:f>IFERROR(V171/MAX($V$16:V171)-1,0)</x:f>
        <x:v>-0.014551905559269551</x:v>
      </x:c>
      <x:c r="X171" t="str">
        <x:f>IF(O171&gt;0,"TRADE","NO_TRADE")</x:f>
        <x:v>TRADE</x:v>
      </x:c>
    </x:row>
    <x:row r="172">
      <x:c r="A172" s="66" t="n">
        <x:v>46167.50902777778</x:v>
      </x:c>
      <x:c r="B172" s="66" t="str">
        <x:v>MKT_1002</x:v>
      </x:c>
      <x:c r="C172" s="66" t="n">
        <x:v>46167.510416666664</x:v>
      </x:c>
      <x:c r="D172" t="n">
        <x:v>120</x:v>
      </x:c>
      <x:c r="E172" t="str">
        <x:v>NO</x:v>
      </x:c>
      <x:c r="F172" s="74" t="n">
        <x:v>0.57</x:v>
      </x:c>
      <x:c r="G172" s="74" t="n">
        <x:v>0.57</x:v>
      </x:c>
      <x:c r="H172" s="74" t="n">
        <x:v>0.582</x:v>
      </x:c>
      <x:c r="I172" s="74" t="n">
        <x:f>IF(E172="YES",H172,1-H172)</x:f>
        <x:v>0.41800000000000004</x:v>
      </x:c>
      <x:c r="J172" s="76" t="n">
        <x:f>Assumptions!$C$12+Assumptions!$C$11*F172</x:f>
        <x:v>0.003</x:v>
      </x:c>
      <x:c r="K172" s="76" t="n">
        <x:f>I172-F172-J172</x:f>
        <x:v>-0.15499999999999992</x:v>
      </x:c>
      <x:c r="L172" s="74" t="n">
        <x:f>MAX(0,IFERROR(K172/(1-F172),0))</x:f>
        <x:v>0</x:v>
      </x:c>
      <x:c r="M172" s="74" t="n">
        <x:f>MIN(Assumptions!$C$8*L172,Assumptions!$C$5)</x:f>
        <x:v>0</x:v>
      </x:c>
      <x:c r="N172" s="78" t="n">
        <x:f>IF(ROW()=16,Assumptions!$C$4,V171)</x:f>
        <x:v>9958.773450727249</x:v>
      </x:c>
      <x:c r="O172" s="78" t="n">
        <x:f>IF(AND(K172&gt;IF(F172&gt;=Assumptions!$C$21,Assumptions!$C$10,Assumptions!$C$9),D172&gt;Assumptions!$C$23),N172*M172,0)</x:f>
        <x:v>0</x:v>
      </x:c>
      <x:c r="P172" s="78" t="n">
        <x:f>IFERROR(O172/F172,0)</x:f>
        <x:v>0</x:v>
      </x:c>
      <x:c r="Q172" s="78" t="n">
        <x:v>1</x:v>
      </x:c>
      <x:c r="R172" s="78" t="str">
        <x:v>Resolve</x:v>
      </x:c>
      <x:c r="S172" s="78" t="n">
        <x:f>IF(R172="Resolve",IF(IF(E172="YES",Q172,1-Q172)=1,P172*(1-F172),-O172),P172*(G172-F172))</x:f>
        <x:v>0</x:v>
      </x:c>
      <x:c r="T172" s="78" t="n">
        <x:f>P172*J172</x:f>
        <x:v>0</x:v>
      </x:c>
      <x:c r="U172" s="78" t="n">
        <x:f>S172-T172</x:f>
        <x:v>0</x:v>
      </x:c>
      <x:c r="V172" s="78" t="n">
        <x:f>N172+U172</x:f>
        <x:v>9958.773450727249</x:v>
      </x:c>
      <x:c r="W172" s="74" t="n">
        <x:f>IFERROR(V172/MAX($V$16:V172)-1,0)</x:f>
        <x:v>-0.014551905559269551</x:v>
      </x:c>
      <x:c r="X172" t="str">
        <x:f>IF(O172&gt;0,"TRADE","NO_TRADE")</x:f>
        <x:v>NO_TRADE</x:v>
      </x:c>
    </x:row>
    <x:row r="173">
      <x:c r="A173" s="66" t="n">
        <x:v>46167.50908564815</x:v>
      </x:c>
      <x:c r="B173" s="66" t="str">
        <x:v>MKT_1002</x:v>
      </x:c>
      <x:c r="C173" s="66" t="n">
        <x:v>46167.510416666664</x:v>
      </x:c>
      <x:c r="D173" t="n">
        <x:v>115</x:v>
      </x:c>
      <x:c r="E173" t="str">
        <x:v>YES</x:v>
      </x:c>
      <x:c r="F173" s="74" t="n">
        <x:v>0.68</x:v>
      </x:c>
      <x:c r="G173" s="74" t="n">
        <x:v>0.68</x:v>
      </x:c>
      <x:c r="H173" s="74" t="n">
        <x:v>0.7050000000000001</x:v>
      </x:c>
      <x:c r="I173" s="74" t="n">
        <x:f>IF(E173="YES",H173,1-H173)</x:f>
        <x:v>0.7050000000000001</x:v>
      </x:c>
      <x:c r="J173" s="76" t="n">
        <x:f>Assumptions!$C$12+Assumptions!$C$11*F173</x:f>
        <x:v>0.003</x:v>
      </x:c>
      <x:c r="K173" s="76" t="n">
        <x:f>I173-F173-J173</x:f>
        <x:v>0.022000000000000023</x:v>
      </x:c>
      <x:c r="L173" s="74" t="n">
        <x:f>MAX(0,IFERROR(K173/(1-F173),0))</x:f>
        <x:v>0.06875000000000009</x:v>
      </x:c>
      <x:c r="M173" s="74" t="n">
        <x:f>MIN(Assumptions!$C$8*L173,Assumptions!$C$5)</x:f>
        <x:v>0.005</x:v>
      </x:c>
      <x:c r="N173" s="78" t="n">
        <x:f>IF(ROW()=16,Assumptions!$C$4,V172)</x:f>
        <x:v>9958.773450727249</x:v>
      </x:c>
      <x:c r="O173" s="78" t="n">
        <x:f>IF(AND(K173&gt;IF(F173&gt;=Assumptions!$C$21,Assumptions!$C$10,Assumptions!$C$9),D173&gt;Assumptions!$C$23),N173*M173,0)</x:f>
        <x:v>49.79386725363624</x:v>
      </x:c>
      <x:c r="P173" s="78" t="n">
        <x:f>IFERROR(O173/F173,0)</x:f>
        <x:v>73.22627537299446</x:v>
      </x:c>
      <x:c r="Q173" s="78" t="n">
        <x:v>0</x:v>
      </x:c>
      <x:c r="R173" s="78" t="str">
        <x:v>Resolve</x:v>
      </x:c>
      <x:c r="S173" s="78" t="n">
        <x:f>IF(R173="Resolve",IF(IF(E173="YES",Q173,1-Q173)=1,P173*(1-F173),-O173),P173*(G173-F173))</x:f>
        <x:v>-49.79386725363624</x:v>
      </x:c>
      <x:c r="T173" s="78" t="n">
        <x:f>P173*J173</x:f>
        <x:v>0.2196788261189834</x:v>
      </x:c>
      <x:c r="U173" s="78" t="n">
        <x:f>S173-T173</x:f>
        <x:v>-50.01354607975523</x:v>
      </x:c>
      <x:c r="V173" s="78" t="n">
        <x:f>N173+U173</x:f>
        <x:v>9908.759904647493</x:v>
      </x:c>
      <x:c r="W173" s="74" t="n">
        <x:f>IFERROR(V173/MAX($V$16:V173)-1,0)</x:f>
        <x:v>-0.019500883857085816</x:v>
      </x:c>
      <x:c r="X173" t="str">
        <x:f>IF(O173&gt;0,"TRADE","NO_TRADE")</x:f>
        <x:v>TRADE</x:v>
      </x:c>
    </x:row>
    <x:row r="174">
      <x:c r="A174" s="66" t="n">
        <x:v>46167.50914351852</x:v>
      </x:c>
      <x:c r="B174" s="66" t="str">
        <x:v>MKT_1002</x:v>
      </x:c>
      <x:c r="C174" s="66" t="n">
        <x:v>46167.510416666664</x:v>
      </x:c>
      <x:c r="D174" t="n">
        <x:v>110</x:v>
      </x:c>
      <x:c r="E174" t="str">
        <x:v>YES</x:v>
      </x:c>
      <x:c r="F174" s="74" t="n">
        <x:v>0.91</x:v>
      </x:c>
      <x:c r="G174" s="74" t="n">
        <x:v>0.91</x:v>
      </x:c>
      <x:c r="H174" s="74" t="n">
        <x:v>0.9450000000000001</x:v>
      </x:c>
      <x:c r="I174" s="74" t="n">
        <x:f>IF(E174="YES",H174,1-H174)</x:f>
        <x:v>0.9450000000000001</x:v>
      </x:c>
      <x:c r="J174" s="76" t="n">
        <x:f>Assumptions!$C$12+Assumptions!$C$11*F174</x:f>
        <x:v>0.003</x:v>
      </x:c>
      <x:c r="K174" s="76" t="n">
        <x:f>I174-F174-J174</x:f>
        <x:v>0.03200000000000003</x:v>
      </x:c>
      <x:c r="L174" s="74" t="n">
        <x:f>MAX(0,IFERROR(K174/(1-F174),0))</x:f>
        <x:v>0.355555555555556</x:v>
      </x:c>
      <x:c r="M174" s="74" t="n">
        <x:f>MIN(Assumptions!$C$8*L174,Assumptions!$C$5)</x:f>
        <x:v>0.005</x:v>
      </x:c>
      <x:c r="N174" s="78" t="n">
        <x:f>IF(ROW()=16,Assumptions!$C$4,V173)</x:f>
        <x:v>9908.759904647493</x:v>
      </x:c>
      <x:c r="O174" s="78" t="n">
        <x:f>IF(AND(K174&gt;IF(F174&gt;=Assumptions!$C$21,Assumptions!$C$10,Assumptions!$C$9),D174&gt;Assumptions!$C$23),N174*M174,0)</x:f>
        <x:v>49.54379952323747</x:v>
      </x:c>
      <x:c r="P174" s="78" t="n">
        <x:f>IFERROR(O174/F174,0)</x:f>
        <x:v>54.44373573982139</x:v>
      </x:c>
      <x:c r="Q174" s="78" t="n">
        <x:v>1</x:v>
      </x:c>
      <x:c r="R174" s="78" t="str">
        <x:v>Resolve</x:v>
      </x:c>
      <x:c r="S174" s="78" t="n">
        <x:f>IF(R174="Resolve",IF(IF(E174="YES",Q174,1-Q174)=1,P174*(1-F174),-O174),P174*(G174-F174))</x:f>
        <x:v>4.8999362165839235</x:v>
      </x:c>
      <x:c r="T174" s="78" t="n">
        <x:f>P174*J174</x:f>
        <x:v>0.16333120721946418</x:v>
      </x:c>
      <x:c r="U174" s="78" t="n">
        <x:f>S174-T174</x:f>
        <x:v>4.736605009364459</x:v>
      </x:c>
      <x:c r="V174" s="78" t="n">
        <x:f>N174+U174</x:f>
        <x:v>9913.496509656858</x:v>
      </x:c>
      <x:c r="W174" s="74" t="n">
        <x:f>IFERROR(V174/MAX($V$16:V174)-1,0)</x:f>
        <x:v>-0.019032183730138486</x:v>
      </x:c>
      <x:c r="X174" t="str">
        <x:f>IF(O174&gt;0,"TRADE","NO_TRADE")</x:f>
        <x:v>TRADE</x:v>
      </x:c>
    </x:row>
    <x:row r="175">
      <x:c r="A175" s="66" t="n">
        <x:v>46167.509201388886</x:v>
      </x:c>
      <x:c r="B175" s="66" t="str">
        <x:v>MKT_1002</x:v>
      </x:c>
      <x:c r="C175" s="66" t="n">
        <x:v>46167.510416666664</x:v>
      </x:c>
      <x:c r="D175" t="n">
        <x:v>105</x:v>
      </x:c>
      <x:c r="E175" t="str">
        <x:v>NO</x:v>
      </x:c>
      <x:c r="F175" s="74" t="n">
        <x:v>0.83</x:v>
      </x:c>
      <x:c r="G175" s="74" t="n">
        <x:v>0.83</x:v>
      </x:c>
      <x:c r="H175" s="74" t="n">
        <x:v>0.82</x:v>
      </x:c>
      <x:c r="I175" s="74" t="n">
        <x:f>IF(E175="YES",H175,1-H175)</x:f>
        <x:v>0.18000000000000005</x:v>
      </x:c>
      <x:c r="J175" s="76" t="n">
        <x:f>Assumptions!$C$12+Assumptions!$C$11*F175</x:f>
        <x:v>0.003</x:v>
      </x:c>
      <x:c r="K175" s="76" t="n">
        <x:f>I175-F175-J175</x:f>
        <x:v>-0.6529999999999999</x:v>
      </x:c>
      <x:c r="L175" s="74" t="n">
        <x:f>MAX(0,IFERROR(K175/(1-F175),0))</x:f>
        <x:v>0</x:v>
      </x:c>
      <x:c r="M175" s="74" t="n">
        <x:f>MIN(Assumptions!$C$8*L175,Assumptions!$C$5)</x:f>
        <x:v>0</x:v>
      </x:c>
      <x:c r="N175" s="78" t="n">
        <x:f>IF(ROW()=16,Assumptions!$C$4,V174)</x:f>
        <x:v>9913.496509656858</x:v>
      </x:c>
      <x:c r="O175" s="78" t="n">
        <x:f>IF(AND(K175&gt;IF(F175&gt;=Assumptions!$C$21,Assumptions!$C$10,Assumptions!$C$9),D175&gt;Assumptions!$C$23),N175*M175,0)</x:f>
        <x:v>0</x:v>
      </x:c>
      <x:c r="P175" s="78" t="n">
        <x:f>IFERROR(O175/F175,0)</x:f>
        <x:v>0</x:v>
      </x:c>
      <x:c r="Q175" s="78" t="n">
        <x:v>1</x:v>
      </x:c>
      <x:c r="R175" s="78" t="str">
        <x:v>Resolve</x:v>
      </x:c>
      <x:c r="S175" s="78" t="n">
        <x:f>IF(R175="Resolve",IF(IF(E175="YES",Q175,1-Q175)=1,P175*(1-F175),-O175),P175*(G175-F175))</x:f>
        <x:v>0</x:v>
      </x:c>
      <x:c r="T175" s="78" t="n">
        <x:f>P175*J175</x:f>
        <x:v>0</x:v>
      </x:c>
      <x:c r="U175" s="78" t="n">
        <x:f>S175-T175</x:f>
        <x:v>0</x:v>
      </x:c>
      <x:c r="V175" s="78" t="n">
        <x:f>N175+U175</x:f>
        <x:v>9913.496509656858</x:v>
      </x:c>
      <x:c r="W175" s="74" t="n">
        <x:f>IFERROR(V175/MAX($V$16:V175)-1,0)</x:f>
        <x:v>-0.019032183730138486</x:v>
      </x:c>
      <x:c r="X175" t="str">
        <x:f>IF(O175&gt;0,"TRADE","NO_TRADE")</x:f>
        <x:v>NO_TRADE</x:v>
      </x:c>
    </x:row>
    <x:row r="176">
      <x:c r="A176" s="66" t="n">
        <x:v>46167.50925925926</x:v>
      </x:c>
      <x:c r="B176" s="66" t="str">
        <x:v>MKT_1002</x:v>
      </x:c>
      <x:c r="C176" s="66" t="n">
        <x:v>46167.510416666664</x:v>
      </x:c>
      <x:c r="D176" t="n">
        <x:v>100</x:v>
      </x:c>
      <x:c r="E176" t="str">
        <x:v>YES</x:v>
      </x:c>
      <x:c r="F176" s="74" t="n">
        <x:v>0.52</x:v>
      </x:c>
      <x:c r="G176" s="74" t="n">
        <x:v>0.52</x:v>
      </x:c>
      <x:c r="H176" s="74" t="n">
        <x:v>0.535</x:v>
      </x:c>
      <x:c r="I176" s="74" t="n">
        <x:f>IF(E176="YES",H176,1-H176)</x:f>
        <x:v>0.535</x:v>
      </x:c>
      <x:c r="J176" s="76" t="n">
        <x:f>Assumptions!$C$12+Assumptions!$C$11*F176</x:f>
        <x:v>0.003</x:v>
      </x:c>
      <x:c r="K176" s="76" t="n">
        <x:f>I176-F176-J176</x:f>
        <x:v>0.012000000000000014</x:v>
      </x:c>
      <x:c r="L176" s="74" t="n">
        <x:f>MAX(0,IFERROR(K176/(1-F176),0))</x:f>
        <x:v>0.02500000000000003</x:v>
      </x:c>
      <x:c r="M176" s="74" t="n">
        <x:f>MIN(Assumptions!$C$8*L176,Assumptions!$C$5)</x:f>
        <x:v>0.005</x:v>
      </x:c>
      <x:c r="N176" s="78" t="n">
        <x:f>IF(ROW()=16,Assumptions!$C$4,V175)</x:f>
        <x:v>9913.496509656858</x:v>
      </x:c>
      <x:c r="O176" s="78" t="n">
        <x:f>IF(AND(K176&gt;IF(F176&gt;=Assumptions!$C$21,Assumptions!$C$10,Assumptions!$C$9),D176&gt;Assumptions!$C$23),N176*M176,0)</x:f>
        <x:v>49.56748254828429</x:v>
      </x:c>
      <x:c r="P176" s="78" t="n">
        <x:f>IFERROR(O176/F176,0)</x:f>
        <x:v>95.32208182362363</x:v>
      </x:c>
      <x:c r="Q176" s="78" t="n">
        <x:v>1</x:v>
      </x:c>
      <x:c r="R176" s="78" t="str">
        <x:v>Resolve</x:v>
      </x:c>
      <x:c r="S176" s="78" t="n">
        <x:f>IF(R176="Resolve",IF(IF(E176="YES",Q176,1-Q176)=1,P176*(1-F176),-O176),P176*(G176-F176))</x:f>
        <x:v>45.754599275339345</x:v>
      </x:c>
      <x:c r="T176" s="78" t="n">
        <x:f>P176*J176</x:f>
        <x:v>0.2859662454708709</x:v>
      </x:c>
      <x:c r="U176" s="78" t="n">
        <x:f>S176-T176</x:f>
        <x:v>45.46863302986847</x:v>
      </x:c>
      <x:c r="V176" s="78" t="n">
        <x:f>N176+U176</x:f>
        <x:v>9958.965142686726</x:v>
      </x:c>
      <x:c r="W176" s="74" t="n">
        <x:f>IFERROR(V176/MAX($V$16:V176)-1,0)</x:f>
        <x:v>-0.014532937111285338</x:v>
      </x:c>
      <x:c r="X176" t="str">
        <x:f>IF(O176&gt;0,"TRADE","NO_TRADE")</x:f>
        <x:v>TRADE</x:v>
      </x:c>
    </x:row>
    <x:row r="177">
      <x:c r="A177" s="66" t="n">
        <x:v>46167.50931712963</x:v>
      </x:c>
      <x:c r="B177" s="66" t="str">
        <x:v>MKT_1002</x:v>
      </x:c>
      <x:c r="C177" s="66" t="n">
        <x:v>46167.510416666664</x:v>
      </x:c>
      <x:c r="D177" t="n">
        <x:v>95</x:v>
      </x:c>
      <x:c r="E177" t="str">
        <x:v>YES</x:v>
      </x:c>
      <x:c r="F177" s="74" t="n">
        <x:v>0.61</x:v>
      </x:c>
      <x:c r="G177" s="74" t="n">
        <x:v>0.61</x:v>
      </x:c>
      <x:c r="H177" s="74" t="n">
        <x:v>0.63</x:v>
      </x:c>
      <x:c r="I177" s="74" t="n">
        <x:f>IF(E177="YES",H177,1-H177)</x:f>
        <x:v>0.63</x:v>
      </x:c>
      <x:c r="J177" s="76" t="n">
        <x:f>Assumptions!$C$12+Assumptions!$C$11*F177</x:f>
        <x:v>0.003</x:v>
      </x:c>
      <x:c r="K177" s="76" t="n">
        <x:f>I177-F177-J177</x:f>
        <x:v>0.01700000000000002</x:v>
      </x:c>
      <x:c r="L177" s="74" t="n">
        <x:f>MAX(0,IFERROR(K177/(1-F177),0))</x:f>
        <x:v>0.043589743589743636</x:v>
      </x:c>
      <x:c r="M177" s="74" t="n">
        <x:f>MIN(Assumptions!$C$8*L177,Assumptions!$C$5)</x:f>
        <x:v>0.005</x:v>
      </x:c>
      <x:c r="N177" s="78" t="n">
        <x:f>IF(ROW()=16,Assumptions!$C$4,V176)</x:f>
        <x:v>9958.965142686726</x:v>
      </x:c>
      <x:c r="O177" s="78" t="n">
        <x:f>IF(AND(K177&gt;IF(F177&gt;=Assumptions!$C$21,Assumptions!$C$10,Assumptions!$C$9),D177&gt;Assumptions!$C$23),N177*M177,0)</x:f>
        <x:v>49.79482571343363</x:v>
      </x:c>
      <x:c r="P177" s="78" t="n">
        <x:f>IFERROR(O177/F177,0)</x:f>
        <x:v>81.63086182530104</x:v>
      </x:c>
      <x:c r="Q177" s="78" t="n">
        <x:v>0</x:v>
      </x:c>
      <x:c r="R177" s="78" t="str">
        <x:v>Resolve</x:v>
      </x:c>
      <x:c r="S177" s="78" t="n">
        <x:f>IF(R177="Resolve",IF(IF(E177="YES",Q177,1-Q177)=1,P177*(1-F177),-O177),P177*(G177-F177))</x:f>
        <x:v>-49.79482571343363</x:v>
      </x:c>
      <x:c r="T177" s="78" t="n">
        <x:f>P177*J177</x:f>
        <x:v>0.24489258547590312</x:v>
      </x:c>
      <x:c r="U177" s="78" t="n">
        <x:f>S177-T177</x:f>
        <x:v>-50.039718298909534</x:v>
      </x:c>
      <x:c r="V177" s="78" t="n">
        <x:f>N177+U177</x:f>
        <x:v>9908.925424387817</x:v>
      </x:c>
      <x:c r="W177" s="74" t="n">
        <x:f>IFERROR(V177/MAX($V$16:V177)-1,0)</x:f>
        <x:v>-0.01948450522235723</x:v>
      </x:c>
      <x:c r="X177" t="str">
        <x:f>IF(O177&gt;0,"TRADE","NO_TRADE")</x:f>
        <x:v>TRADE</x:v>
      </x:c>
    </x:row>
    <x:row r="178">
      <x:c r="A178" s="66" t="n">
        <x:v>46167.509375</x:v>
      </x:c>
      <x:c r="B178" s="66" t="str">
        <x:v>MKT_1002</x:v>
      </x:c>
      <x:c r="C178" s="66" t="n">
        <x:v>46167.510416666664</x:v>
      </x:c>
      <x:c r="D178" t="n">
        <x:v>90</x:v>
      </x:c>
      <x:c r="E178" t="str">
        <x:v>NO</x:v>
      </x:c>
      <x:c r="F178" s="74" t="n">
        <x:v>0.74</x:v>
      </x:c>
      <x:c r="G178" s="74" t="n">
        <x:v>0.74</x:v>
      </x:c>
      <x:c r="H178" s="74" t="n">
        <x:v>0.735</x:v>
      </x:c>
      <x:c r="I178" s="74" t="n">
        <x:f>IF(E178="YES",H178,1-H178)</x:f>
        <x:v>0.265</x:v>
      </x:c>
      <x:c r="J178" s="76" t="n">
        <x:f>Assumptions!$C$12+Assumptions!$C$11*F178</x:f>
        <x:v>0.003</x:v>
      </x:c>
      <x:c r="K178" s="76" t="n">
        <x:f>I178-F178-J178</x:f>
        <x:v>-0.478</x:v>
      </x:c>
      <x:c r="L178" s="74" t="n">
        <x:f>MAX(0,IFERROR(K178/(1-F178),0))</x:f>
        <x:v>0</x:v>
      </x:c>
      <x:c r="M178" s="74" t="n">
        <x:f>MIN(Assumptions!$C$8*L178,Assumptions!$C$5)</x:f>
        <x:v>0</x:v>
      </x:c>
      <x:c r="N178" s="78" t="n">
        <x:f>IF(ROW()=16,Assumptions!$C$4,V177)</x:f>
        <x:v>9908.925424387817</x:v>
      </x:c>
      <x:c r="O178" s="78" t="n">
        <x:f>IF(AND(K178&gt;IF(F178&gt;=Assumptions!$C$21,Assumptions!$C$10,Assumptions!$C$9),D178&gt;Assumptions!$C$23),N178*M178,0)</x:f>
        <x:v>0</x:v>
      </x:c>
      <x:c r="P178" s="78" t="n">
        <x:f>IFERROR(O178/F178,0)</x:f>
        <x:v>0</x:v>
      </x:c>
      <x:c r="Q178" s="78" t="n">
        <x:v>1</x:v>
      </x:c>
      <x:c r="R178" s="78" t="str">
        <x:v>Resolve</x:v>
      </x:c>
      <x:c r="S178" s="78" t="n">
        <x:f>IF(R178="Resolve",IF(IF(E178="YES",Q178,1-Q178)=1,P178*(1-F178),-O178),P178*(G178-F178))</x:f>
        <x:v>0</x:v>
      </x:c>
      <x:c r="T178" s="78" t="n">
        <x:f>P178*J178</x:f>
        <x:v>0</x:v>
      </x:c>
      <x:c r="U178" s="78" t="n">
        <x:f>S178-T178</x:f>
        <x:v>0</x:v>
      </x:c>
      <x:c r="V178" s="78" t="n">
        <x:f>N178+U178</x:f>
        <x:v>9908.925424387817</x:v>
      </x:c>
      <x:c r="W178" s="74" t="n">
        <x:f>IFERROR(V178/MAX($V$16:V178)-1,0)</x:f>
        <x:v>-0.01948450522235723</x:v>
      </x:c>
      <x:c r="X178" t="str">
        <x:f>IF(O178&gt;0,"TRADE","NO_TRADE")</x:f>
        <x:v>NO_TRADE</x:v>
      </x:c>
    </x:row>
    <x:row r="179">
      <x:c r="A179" s="66" t="n">
        <x:v>46167.50943287037</x:v>
      </x:c>
      <x:c r="B179" s="66" t="str">
        <x:v>MKT_1002</x:v>
      </x:c>
      <x:c r="C179" s="66" t="n">
        <x:v>46167.510416666664</x:v>
      </x:c>
      <x:c r="D179" t="n">
        <x:v>85</x:v>
      </x:c>
      <x:c r="E179" t="str">
        <x:v>YES</x:v>
      </x:c>
      <x:c r="F179" s="74" t="n">
        <x:v>0.88</x:v>
      </x:c>
      <x:c r="G179" s="74" t="n">
        <x:v>0.88</x:v>
      </x:c>
      <x:c r="H179" s="74" t="n">
        <x:v>0.91</x:v>
      </x:c>
      <x:c r="I179" s="74" t="n">
        <x:f>IF(E179="YES",H179,1-H179)</x:f>
        <x:v>0.91</x:v>
      </x:c>
      <x:c r="J179" s="76" t="n">
        <x:f>Assumptions!$C$12+Assumptions!$C$11*F179</x:f>
        <x:v>0.003</x:v>
      </x:c>
      <x:c r="K179" s="76" t="n">
        <x:f>I179-F179-J179</x:f>
        <x:v>0.027000000000000027</x:v>
      </x:c>
      <x:c r="L179" s="74" t="n">
        <x:f>MAX(0,IFERROR(K179/(1-F179),0))</x:f>
        <x:v>0.22500000000000023</x:v>
      </x:c>
      <x:c r="M179" s="74" t="n">
        <x:f>MIN(Assumptions!$C$8*L179,Assumptions!$C$5)</x:f>
        <x:v>0.005</x:v>
      </x:c>
      <x:c r="N179" s="78" t="n">
        <x:f>IF(ROW()=16,Assumptions!$C$4,V178)</x:f>
        <x:v>9908.925424387817</x:v>
      </x:c>
      <x:c r="O179" s="78" t="n">
        <x:f>IF(AND(K179&gt;IF(F179&gt;=Assumptions!$C$21,Assumptions!$C$10,Assumptions!$C$9),D179&gt;Assumptions!$C$23),N179*M179,0)</x:f>
        <x:v>49.54462712193909</x:v>
      </x:c>
      <x:c r="P179" s="78" t="n">
        <x:f>IFERROR(O179/F179,0)</x:f>
        <x:v>56.30071263856714</x:v>
      </x:c>
      <x:c r="Q179" s="78" t="n">
        <x:v>1</x:v>
      </x:c>
      <x:c r="R179" s="78" t="str">
        <x:v>Resolve</x:v>
      </x:c>
      <x:c r="S179" s="78" t="n">
        <x:f>IF(R179="Resolve",IF(IF(E179="YES",Q179,1-Q179)=1,P179*(1-F179),-O179),P179*(G179-F179))</x:f>
        <x:v>6.7560855166280565</x:v>
      </x:c>
      <x:c r="T179" s="78" t="n">
        <x:f>P179*J179</x:f>
        <x:v>0.16890213791570144</x:v>
      </x:c>
      <x:c r="U179" s="78" t="n">
        <x:f>S179-T179</x:f>
        <x:v>6.587183378712355</x:v>
      </x:c>
      <x:c r="V179" s="78" t="n">
        <x:f>N179+U179</x:f>
        <x:v>9915.51260776653</x:v>
      </x:c>
      <x:c r="W179" s="74" t="n">
        <x:f>IFERROR(V179/MAX($V$16:V179)-1,0)</x:f>
        <x:v>-0.018832685262760718</x:v>
      </x:c>
      <x:c r="X179" t="str">
        <x:f>IF(O179&gt;0,"TRADE","NO_TRADE")</x:f>
        <x:v>TRADE</x:v>
      </x:c>
    </x:row>
    <x:row r="180">
      <x:c r="A180" s="66" t="n">
        <x:v>46167.50949074074</x:v>
      </x:c>
      <x:c r="B180" s="66" t="str">
        <x:v>MKT_1002</x:v>
      </x:c>
      <x:c r="C180" s="66" t="n">
        <x:v>46167.510416666664</x:v>
      </x:c>
      <x:c r="D180" t="n">
        <x:v>80</x:v>
      </x:c>
      <x:c r="E180" t="str">
        <x:v>YES</x:v>
      </x:c>
      <x:c r="F180" s="74" t="n">
        <x:v>0.94</x:v>
      </x:c>
      <x:c r="G180" s="74" t="n">
        <x:v>0.94</x:v>
      </x:c>
      <x:c r="H180" s="74" t="n">
        <x:v>0.98</x:v>
      </x:c>
      <x:c r="I180" s="74" t="n">
        <x:f>IF(E180="YES",H180,1-H180)</x:f>
        <x:v>0.98</x:v>
      </x:c>
      <x:c r="J180" s="76" t="n">
        <x:f>Assumptions!$C$12+Assumptions!$C$11*F180</x:f>
        <x:v>0.003</x:v>
      </x:c>
      <x:c r="K180" s="76" t="n">
        <x:f>I180-F180-J180</x:f>
        <x:v>0.03700000000000003</x:v>
      </x:c>
      <x:c r="L180" s="74" t="n">
        <x:f>MAX(0,IFERROR(K180/(1-F180),0))</x:f>
        <x:v>0.6166666666666667</x:v>
      </x:c>
      <x:c r="M180" s="74" t="n">
        <x:f>MIN(Assumptions!$C$8*L180,Assumptions!$C$5)</x:f>
        <x:v>0.005</x:v>
      </x:c>
      <x:c r="N180" s="78" t="n">
        <x:f>IF(ROW()=16,Assumptions!$C$4,V179)</x:f>
        <x:v>9915.51260776653</x:v>
      </x:c>
      <x:c r="O180" s="78" t="n">
        <x:f>IF(AND(K180&gt;IF(F180&gt;=Assumptions!$C$21,Assumptions!$C$10,Assumptions!$C$9),D180&gt;Assumptions!$C$23),N180*M180,0)</x:f>
        <x:v>49.57756303883265</x:v>
      </x:c>
      <x:c r="P180" s="78" t="n">
        <x:f>IFERROR(O180/F180,0)</x:f>
        <x:v>52.742088339183674</x:v>
      </x:c>
      <x:c r="Q180" s="78" t="n">
        <x:v>0</x:v>
      </x:c>
      <x:c r="R180" s="78" t="str">
        <x:v>Resolve</x:v>
      </x:c>
      <x:c r="S180" s="78" t="n">
        <x:f>IF(R180="Resolve",IF(IF(E180="YES",Q180,1-Q180)=1,P180*(1-F180),-O180),P180*(G180-F180))</x:f>
        <x:v>-49.57756303883265</x:v>
      </x:c>
      <x:c r="T180" s="78" t="n">
        <x:f>P180*J180</x:f>
        <x:v>0.15822626501755102</x:v>
      </x:c>
      <x:c r="U180" s="78" t="n">
        <x:f>S180-T180</x:f>
        <x:v>-49.735789303850204</x:v>
      </x:c>
      <x:c r="V180" s="78" t="n">
        <x:f>N180+U180</x:f>
        <x:v>9865.77681846268</x:v>
      </x:c>
      <x:c r="W180" s="74" t="n">
        <x:f>IFERROR(V180/MAX($V$16:V180)-1,0)</x:f>
        <x:v>-0.023754178761682065</x:v>
      </x:c>
      <x:c r="X180" t="str">
        <x:f>IF(O180&gt;0,"TRADE","NO_TRADE")</x:f>
        <x:v>TRADE</x:v>
      </x:c>
    </x:row>
    <x:row r="181">
      <x:c r="A181" s="66" t="n">
        <x:v>46167.50954861111</x:v>
      </x:c>
      <x:c r="B181" s="66" t="str">
        <x:v>MKT_1002</x:v>
      </x:c>
      <x:c r="C181" s="66" t="n">
        <x:v>46167.510416666664</x:v>
      </x:c>
      <x:c r="D181" t="n">
        <x:v>75</x:v>
      </x:c>
      <x:c r="E181" t="str">
        <x:v>NO</x:v>
      </x:c>
      <x:c r="F181" s="74" t="n">
        <x:v>0.95</x:v>
      </x:c>
      <x:c r="G181" s="74" t="n">
        <x:v>0.95</x:v>
      </x:c>
      <x:c r="H181" s="74" t="n">
        <x:v>0.968</x:v>
      </x:c>
      <x:c r="I181" s="74" t="n">
        <x:f>IF(E181="YES",H181,1-H181)</x:f>
        <x:v>0.03200000000000003</x:v>
      </x:c>
      <x:c r="J181" s="76" t="n">
        <x:f>Assumptions!$C$12+Assumptions!$C$11*F181</x:f>
        <x:v>0.003</x:v>
      </x:c>
      <x:c r="K181" s="76" t="n">
        <x:f>I181-F181-J181</x:f>
        <x:v>-0.9209999999999999</x:v>
      </x:c>
      <x:c r="L181" s="74" t="n">
        <x:f>MAX(0,IFERROR(K181/(1-F181),0))</x:f>
        <x:v>0</x:v>
      </x:c>
      <x:c r="M181" s="74" t="n">
        <x:f>MIN(Assumptions!$C$8*L181,Assumptions!$C$5)</x:f>
        <x:v>0</x:v>
      </x:c>
      <x:c r="N181" s="78" t="n">
        <x:f>IF(ROW()=16,Assumptions!$C$4,V180)</x:f>
        <x:v>9865.77681846268</x:v>
      </x:c>
      <x:c r="O181" s="78" t="n">
        <x:f>IF(AND(K181&gt;IF(F181&gt;=Assumptions!$C$21,Assumptions!$C$10,Assumptions!$C$9),D181&gt;Assumptions!$C$23),N181*M181,0)</x:f>
        <x:v>0</x:v>
      </x:c>
      <x:c r="P181" s="78" t="n">
        <x:f>IFERROR(O181/F181,0)</x:f>
        <x:v>0</x:v>
      </x:c>
      <x:c r="Q181" s="78" t="n">
        <x:v>1</x:v>
      </x:c>
      <x:c r="R181" s="78" t="str">
        <x:v>Resolve</x:v>
      </x:c>
      <x:c r="S181" s="78" t="n">
        <x:f>IF(R181="Resolve",IF(IF(E181="YES",Q181,1-Q181)=1,P181*(1-F181),-O181),P181*(G181-F181))</x:f>
        <x:v>0</x:v>
      </x:c>
      <x:c r="T181" s="78" t="n">
        <x:f>P181*J181</x:f>
        <x:v>0</x:v>
      </x:c>
      <x:c r="U181" s="78" t="n">
        <x:f>S181-T181</x:f>
        <x:v>0</x:v>
      </x:c>
      <x:c r="V181" s="78" t="n">
        <x:f>N181+U181</x:f>
        <x:v>9865.77681846268</x:v>
      </x:c>
      <x:c r="W181" s="74" t="n">
        <x:f>IFERROR(V181/MAX($V$16:V181)-1,0)</x:f>
        <x:v>-0.023754178761682065</x:v>
      </x:c>
      <x:c r="X181" t="str">
        <x:f>IF(O181&gt;0,"TRADE","NO_TRADE")</x:f>
        <x:v>NO_TRADE</x:v>
      </x:c>
    </x:row>
    <x:row r="182">
      <x:c r="A182" s="66" t="n">
        <x:v>46167.50960648148</x:v>
      </x:c>
      <x:c r="B182" s="66" t="str">
        <x:v>MKT_1002</x:v>
      </x:c>
      <x:c r="C182" s="66" t="n">
        <x:v>46167.510416666664</x:v>
      </x:c>
      <x:c r="D182" t="n">
        <x:v>70</x:v>
      </x:c>
      <x:c r="E182" t="str">
        <x:v>YES</x:v>
      </x:c>
      <x:c r="F182" s="74" t="n">
        <x:v>0.57</x:v>
      </x:c>
      <x:c r="G182" s="74" t="n">
        <x:v>0.57</x:v>
      </x:c>
      <x:c r="H182" s="74" t="n">
        <x:v>0.582</x:v>
      </x:c>
      <x:c r="I182" s="74" t="n">
        <x:f>IF(E182="YES",H182,1-H182)</x:f>
        <x:v>0.582</x:v>
      </x:c>
      <x:c r="J182" s="76" t="n">
        <x:f>Assumptions!$C$12+Assumptions!$C$11*F182</x:f>
        <x:v>0.003</x:v>
      </x:c>
      <x:c r="K182" s="76" t="n">
        <x:f>I182-F182-J182</x:f>
        <x:v>0.009000000000000011</x:v>
      </x:c>
      <x:c r="L182" s="74" t="n">
        <x:f>MAX(0,IFERROR(K182/(1-F182),0))</x:f>
        <x:v>0.02093023255813956</x:v>
      </x:c>
      <x:c r="M182" s="74" t="n">
        <x:f>MIN(Assumptions!$C$8*L182,Assumptions!$C$5)</x:f>
        <x:v>0.005</x:v>
      </x:c>
      <x:c r="N182" s="78" t="n">
        <x:f>IF(ROW()=16,Assumptions!$C$4,V181)</x:f>
        <x:v>9865.77681846268</x:v>
      </x:c>
      <x:c r="O182" s="78" t="n">
        <x:f>IF(AND(K182&gt;IF(F182&gt;=Assumptions!$C$21,Assumptions!$C$10,Assumptions!$C$9),D182&gt;Assumptions!$C$23),N182*M182,0)</x:f>
        <x:v>49.3288840923134</x:v>
      </x:c>
      <x:c r="P182" s="78" t="n">
        <x:f>IFERROR(O182/F182,0)</x:f>
        <x:v>86.54190191633931</x:v>
      </x:c>
      <x:c r="Q182" s="78" t="n">
        <x:v>1</x:v>
      </x:c>
      <x:c r="R182" s="78" t="str">
        <x:v>Resolve</x:v>
      </x:c>
      <x:c r="S182" s="78" t="n">
        <x:f>IF(R182="Resolve",IF(IF(E182="YES",Q182,1-Q182)=1,P182*(1-F182),-O182),P182*(G182-F182))</x:f>
        <x:v>37.21301782402591</x:v>
      </x:c>
      <x:c r="T182" s="78" t="n">
        <x:f>P182*J182</x:f>
        <x:v>0.25962570574901794</x:v>
      </x:c>
      <x:c r="U182" s="78" t="n">
        <x:f>S182-T182</x:f>
        <x:v>36.953392118276895</x:v>
      </x:c>
      <x:c r="V182" s="78" t="n">
        <x:f>N182+U182</x:f>
        <x:v>9902.730210580958</x:v>
      </x:c>
      <x:c r="W182" s="74" t="n">
        <x:f>IFERROR(V182/MAX($V$16:V182)-1,0)</x:f>
        <x:v>-0.020097538711955965</x:v>
      </x:c>
      <x:c r="X182" t="str">
        <x:f>IF(O182&gt;0,"TRADE","NO_TRADE")</x:f>
        <x:v>TRADE</x:v>
      </x:c>
    </x:row>
    <x:row r="183">
      <x:c r="A183" s="66" t="n">
        <x:v>46167.509664351855</x:v>
      </x:c>
      <x:c r="B183" s="66" t="str">
        <x:v>MKT_1002</x:v>
      </x:c>
      <x:c r="C183" s="66" t="n">
        <x:v>46167.510416666664</x:v>
      </x:c>
      <x:c r="D183" t="n">
        <x:v>65</x:v>
      </x:c>
      <x:c r="E183" t="str">
        <x:v>YES</x:v>
      </x:c>
      <x:c r="F183" s="74" t="n">
        <x:v>0.68</x:v>
      </x:c>
      <x:c r="G183" s="74" t="n">
        <x:v>0.68</x:v>
      </x:c>
      <x:c r="H183" s="74" t="n">
        <x:v>0.7050000000000001</x:v>
      </x:c>
      <x:c r="I183" s="74" t="n">
        <x:f>IF(E183="YES",H183,1-H183)</x:f>
        <x:v>0.7050000000000001</x:v>
      </x:c>
      <x:c r="J183" s="76" t="n">
        <x:f>Assumptions!$C$12+Assumptions!$C$11*F183</x:f>
        <x:v>0.003</x:v>
      </x:c>
      <x:c r="K183" s="76" t="n">
        <x:f>I183-F183-J183</x:f>
        <x:v>0.022000000000000023</x:v>
      </x:c>
      <x:c r="L183" s="74" t="n">
        <x:f>MAX(0,IFERROR(K183/(1-F183),0))</x:f>
        <x:v>0.06875000000000009</x:v>
      </x:c>
      <x:c r="M183" s="74" t="n">
        <x:f>MIN(Assumptions!$C$8*L183,Assumptions!$C$5)</x:f>
        <x:v>0.005</x:v>
      </x:c>
      <x:c r="N183" s="78" t="n">
        <x:f>IF(ROW()=16,Assumptions!$C$4,V182)</x:f>
        <x:v>9902.730210580958</x:v>
      </x:c>
      <x:c r="O183" s="78" t="n">
        <x:f>IF(AND(K183&gt;IF(F183&gt;=Assumptions!$C$21,Assumptions!$C$10,Assumptions!$C$9),D183&gt;Assumptions!$C$23),N183*M183,0)</x:f>
        <x:v>49.51365105290479</x:v>
      </x:c>
      <x:c r="P183" s="78" t="n">
        <x:f>IFERROR(O183/F183,0)</x:f>
        <x:v>72.81419272485998</x:v>
      </x:c>
      <x:c r="Q183" s="78" t="n">
        <x:v>1</x:v>
      </x:c>
      <x:c r="R183" s="78" t="str">
        <x:v>Resolve</x:v>
      </x:c>
      <x:c r="S183" s="78" t="n">
        <x:f>IF(R183="Resolve",IF(IF(E183="YES",Q183,1-Q183)=1,P183*(1-F183),-O183),P183*(G183-F183))</x:f>
        <x:v>23.30054167195519</x:v>
      </x:c>
      <x:c r="T183" s="78" t="n">
        <x:f>P183*J183</x:f>
        <x:v>0.21844257817457993</x:v>
      </x:c>
      <x:c r="U183" s="78" t="n">
        <x:f>S183-T183</x:f>
        <x:v>23.08209909378061</x:v>
      </x:c>
      <x:c r="V183" s="78" t="n">
        <x:f>N183+U183</x:f>
        <x:v>9925.812309674739</x:v>
      </x:c>
      <x:c r="W183" s="74" t="n">
        <x:f>IFERROR(V183/MAX($V$16:V183)-1,0)</x:f>
        <x:v>-0.01781350135733606</x:v>
      </x:c>
      <x:c r="X183" t="str">
        <x:f>IF(O183&gt;0,"TRADE","NO_TRADE")</x:f>
        <x:v>TRADE</x:v>
      </x:c>
    </x:row>
    <x:row r="184">
      <x:c r="A184" s="66" t="n">
        <x:v>46167.509722222225</x:v>
      </x:c>
      <x:c r="B184" s="66" t="str">
        <x:v>MKT_1002</x:v>
      </x:c>
      <x:c r="C184" s="66" t="n">
        <x:v>46167.510416666664</x:v>
      </x:c>
      <x:c r="D184" t="n">
        <x:v>60</x:v>
      </x:c>
      <x:c r="E184" t="str">
        <x:v>NO</x:v>
      </x:c>
      <x:c r="F184" s="74" t="n">
        <x:v>0.91</x:v>
      </x:c>
      <x:c r="G184" s="74" t="n">
        <x:v>0.91</x:v>
      </x:c>
      <x:c r="H184" s="74" t="n">
        <x:v>0.9450000000000001</x:v>
      </x:c>
      <x:c r="I184" s="74" t="n">
        <x:f>IF(E184="YES",H184,1-H184)</x:f>
        <x:v>0.05499999999999994</x:v>
      </x:c>
      <x:c r="J184" s="76" t="n">
        <x:f>Assumptions!$C$12+Assumptions!$C$11*F184</x:f>
        <x:v>0.003</x:v>
      </x:c>
      <x:c r="K184" s="76" t="n">
        <x:f>I184-F184-J184</x:f>
        <x:v>-0.8580000000000001</x:v>
      </x:c>
      <x:c r="L184" s="74" t="n">
        <x:f>MAX(0,IFERROR(K184/(1-F184),0))</x:f>
        <x:v>0</x:v>
      </x:c>
      <x:c r="M184" s="74" t="n">
        <x:f>MIN(Assumptions!$C$8*L184,Assumptions!$C$5)</x:f>
        <x:v>0</x:v>
      </x:c>
      <x:c r="N184" s="78" t="n">
        <x:f>IF(ROW()=16,Assumptions!$C$4,V183)</x:f>
        <x:v>9925.812309674739</x:v>
      </x:c>
      <x:c r="O184" s="78" t="n">
        <x:f>IF(AND(K184&gt;IF(F184&gt;=Assumptions!$C$21,Assumptions!$C$10,Assumptions!$C$9),D184&gt;Assumptions!$C$23),N184*M184,0)</x:f>
        <x:v>0</x:v>
      </x:c>
      <x:c r="P184" s="78" t="n">
        <x:f>IFERROR(O184/F184,0)</x:f>
        <x:v>0</x:v>
      </x:c>
      <x:c r="Q184" s="78" t="n">
        <x:v>0</x:v>
      </x:c>
      <x:c r="R184" s="78" t="str">
        <x:v>Resolve</x:v>
      </x:c>
      <x:c r="S184" s="78" t="n">
        <x:f>IF(R184="Resolve",IF(IF(E184="YES",Q184,1-Q184)=1,P184*(1-F184),-O184),P184*(G184-F184))</x:f>
        <x:v>0</x:v>
      </x:c>
      <x:c r="T184" s="78" t="n">
        <x:f>P184*J184</x:f>
        <x:v>0</x:v>
      </x:c>
      <x:c r="U184" s="78" t="n">
        <x:f>S184-T184</x:f>
        <x:v>0</x:v>
      </x:c>
      <x:c r="V184" s="78" t="n">
        <x:f>N184+U184</x:f>
        <x:v>9925.812309674739</x:v>
      </x:c>
      <x:c r="W184" s="74" t="n">
        <x:f>IFERROR(V184/MAX($V$16:V184)-1,0)</x:f>
        <x:v>-0.01781350135733606</x:v>
      </x:c>
      <x:c r="X184" t="str">
        <x:f>IF(O184&gt;0,"TRADE","NO_TRADE")</x:f>
        <x:v>NO_TRADE</x:v>
      </x:c>
    </x:row>
    <x:row r="185">
      <x:c r="A185" s="66" t="n">
        <x:v>46167.509780092594</x:v>
      </x:c>
      <x:c r="B185" s="66" t="str">
        <x:v>MKT_1002</x:v>
      </x:c>
      <x:c r="C185" s="66" t="n">
        <x:v>46167.510416666664</x:v>
      </x:c>
      <x:c r="D185" t="n">
        <x:v>55</x:v>
      </x:c>
      <x:c r="E185" t="str">
        <x:v>YES</x:v>
      </x:c>
      <x:c r="F185" s="74" t="n">
        <x:v>0.83</x:v>
      </x:c>
      <x:c r="G185" s="74" t="n">
        <x:v>0.83</x:v>
      </x:c>
      <x:c r="H185" s="74" t="n">
        <x:v>0.82</x:v>
      </x:c>
      <x:c r="I185" s="74" t="n">
        <x:f>IF(E185="YES",H185,1-H185)</x:f>
        <x:v>0.82</x:v>
      </x:c>
      <x:c r="J185" s="76" t="n">
        <x:f>Assumptions!$C$12+Assumptions!$C$11*F185</x:f>
        <x:v>0.003</x:v>
      </x:c>
      <x:c r="K185" s="76" t="n">
        <x:f>I185-F185-J185</x:f>
        <x:v>-0.013000000000000008</x:v>
      </x:c>
      <x:c r="L185" s="74" t="n">
        <x:f>MAX(0,IFERROR(K185/(1-F185),0))</x:f>
        <x:v>0</x:v>
      </x:c>
      <x:c r="M185" s="74" t="n">
        <x:f>MIN(Assumptions!$C$8*L185,Assumptions!$C$5)</x:f>
        <x:v>0</x:v>
      </x:c>
      <x:c r="N185" s="78" t="n">
        <x:f>IF(ROW()=16,Assumptions!$C$4,V184)</x:f>
        <x:v>9925.812309674739</x:v>
      </x:c>
      <x:c r="O185" s="78" t="n">
        <x:f>IF(AND(K185&gt;IF(F185&gt;=Assumptions!$C$21,Assumptions!$C$10,Assumptions!$C$9),D185&gt;Assumptions!$C$23),N185*M185,0)</x:f>
        <x:v>0</x:v>
      </x:c>
      <x:c r="P185" s="78" t="n">
        <x:f>IFERROR(O185/F185,0)</x:f>
        <x:v>0</x:v>
      </x:c>
      <x:c r="Q185" s="78" t="n">
        <x:v>1</x:v>
      </x:c>
      <x:c r="R185" s="78" t="str">
        <x:v>Resolve</x:v>
      </x:c>
      <x:c r="S185" s="78" t="n">
        <x:f>IF(R185="Resolve",IF(IF(E185="YES",Q185,1-Q185)=1,P185*(1-F185),-O185),P185*(G185-F185))</x:f>
        <x:v>0</x:v>
      </x:c>
      <x:c r="T185" s="78" t="n">
        <x:f>P185*J185</x:f>
        <x:v>0</x:v>
      </x:c>
      <x:c r="U185" s="78" t="n">
        <x:f>S185-T185</x:f>
        <x:v>0</x:v>
      </x:c>
      <x:c r="V185" s="78" t="n">
        <x:f>N185+U185</x:f>
        <x:v>9925.812309674739</x:v>
      </x:c>
      <x:c r="W185" s="74" t="n">
        <x:f>IFERROR(V185/MAX($V$16:V185)-1,0)</x:f>
        <x:v>-0.01781350135733606</x:v>
      </x:c>
      <x:c r="X185" t="str">
        <x:f>IF(O185&gt;0,"TRADE","NO_TRADE")</x:f>
        <x:v>NO_TRADE</x:v>
      </x:c>
    </x:row>
    <x:row r="186">
      <x:c r="A186" s="66" t="n">
        <x:v>46167.50983796296</x:v>
      </x:c>
      <x:c r="B186" s="66" t="str">
        <x:v>MKT_1002</x:v>
      </x:c>
      <x:c r="C186" s="66" t="n">
        <x:v>46167.510416666664</x:v>
      </x:c>
      <x:c r="D186" t="n">
        <x:v>50</x:v>
      </x:c>
      <x:c r="E186" t="str">
        <x:v>YES</x:v>
      </x:c>
      <x:c r="F186" s="74" t="n">
        <x:v>0.52</x:v>
      </x:c>
      <x:c r="G186" s="74" t="n">
        <x:v>0.52</x:v>
      </x:c>
      <x:c r="H186" s="74" t="n">
        <x:v>0.535</x:v>
      </x:c>
      <x:c r="I186" s="74" t="n">
        <x:f>IF(E186="YES",H186,1-H186)</x:f>
        <x:v>0.535</x:v>
      </x:c>
      <x:c r="J186" s="76" t="n">
        <x:f>Assumptions!$C$12+Assumptions!$C$11*F186</x:f>
        <x:v>0.003</x:v>
      </x:c>
      <x:c r="K186" s="76" t="n">
        <x:f>I186-F186-J186</x:f>
        <x:v>0.012000000000000014</x:v>
      </x:c>
      <x:c r="L186" s="74" t="n">
        <x:f>MAX(0,IFERROR(K186/(1-F186),0))</x:f>
        <x:v>0.02500000000000003</x:v>
      </x:c>
      <x:c r="M186" s="74" t="n">
        <x:f>MIN(Assumptions!$C$8*L186,Assumptions!$C$5)</x:f>
        <x:v>0.005</x:v>
      </x:c>
      <x:c r="N186" s="78" t="n">
        <x:f>IF(ROW()=16,Assumptions!$C$4,V185)</x:f>
        <x:v>9925.812309674739</x:v>
      </x:c>
      <x:c r="O186" s="78" t="n">
        <x:f>IF(AND(K186&gt;IF(F186&gt;=Assumptions!$C$21,Assumptions!$C$10,Assumptions!$C$9),D186&gt;Assumptions!$C$23),N186*M186,0)</x:f>
        <x:v>49.62906154837369</x:v>
      </x:c>
      <x:c r="P186" s="78" t="n">
        <x:f>IFERROR(O186/F186,0)</x:f>
        <x:v>95.44050297764171</x:v>
      </x:c>
      <x:c r="Q186" s="78" t="n">
        <x:v>1</x:v>
      </x:c>
      <x:c r="R186" s="78" t="str">
        <x:v>Resolve</x:v>
      </x:c>
      <x:c r="S186" s="78" t="n">
        <x:f>IF(R186="Resolve",IF(IF(E186="YES",Q186,1-Q186)=1,P186*(1-F186),-O186),P186*(G186-F186))</x:f>
        <x:v>45.81144142926802</x:v>
      </x:c>
      <x:c r="T186" s="78" t="n">
        <x:f>P186*J186</x:f>
        <x:v>0.28632150893292513</x:v>
      </x:c>
      <x:c r="U186" s="78" t="n">
        <x:f>S186-T186</x:f>
        <x:v>45.5251199203351</x:v>
      </x:c>
      <x:c r="V186" s="78" t="n">
        <x:f>N186+U186</x:f>
        <x:v>9971.337429595074</x:v>
      </x:c>
      <x:c r="W186" s="74" t="n">
        <x:f>IFERROR(V186/MAX($V$16:V186)-1,0)</x:f>
        <x:v>-0.013308665204907588</x:v>
      </x:c>
      <x:c r="X186" t="str">
        <x:f>IF(O186&gt;0,"TRADE","NO_TRADE")</x:f>
        <x:v>TRADE</x:v>
      </x:c>
    </x:row>
    <x:row r="187">
      <x:c r="A187" s="66" t="n">
        <x:v>46167.50989583333</x:v>
      </x:c>
      <x:c r="B187" s="66" t="str">
        <x:v>MKT_1002</x:v>
      </x:c>
      <x:c r="C187" s="66" t="n">
        <x:v>46167.510416666664</x:v>
      </x:c>
      <x:c r="D187" t="n">
        <x:v>45</x:v>
      </x:c>
      <x:c r="E187" t="str">
        <x:v>NO</x:v>
      </x:c>
      <x:c r="F187" s="74" t="n">
        <x:v>0.61</x:v>
      </x:c>
      <x:c r="G187" s="74" t="n">
        <x:v>0.61</x:v>
      </x:c>
      <x:c r="H187" s="74" t="n">
        <x:v>0.63</x:v>
      </x:c>
      <x:c r="I187" s="74" t="n">
        <x:f>IF(E187="YES",H187,1-H187)</x:f>
        <x:v>0.37</x:v>
      </x:c>
      <x:c r="J187" s="76" t="n">
        <x:f>Assumptions!$C$12+Assumptions!$C$11*F187</x:f>
        <x:v>0.003</x:v>
      </x:c>
      <x:c r="K187" s="76" t="n">
        <x:f>I187-F187-J187</x:f>
        <x:v>-0.243</x:v>
      </x:c>
      <x:c r="L187" s="74" t="n">
        <x:f>MAX(0,IFERROR(K187/(1-F187),0))</x:f>
        <x:v>0</x:v>
      </x:c>
      <x:c r="M187" s="74" t="n">
        <x:f>MIN(Assumptions!$C$8*L187,Assumptions!$C$5)</x:f>
        <x:v>0</x:v>
      </x:c>
      <x:c r="N187" s="78" t="n">
        <x:f>IF(ROW()=16,Assumptions!$C$4,V186)</x:f>
        <x:v>9971.337429595074</x:v>
      </x:c>
      <x:c r="O187" s="78" t="n">
        <x:f>IF(AND(K187&gt;IF(F187&gt;=Assumptions!$C$21,Assumptions!$C$10,Assumptions!$C$9),D187&gt;Assumptions!$C$23),N187*M187,0)</x:f>
        <x:v>0</x:v>
      </x:c>
      <x:c r="P187" s="78" t="n">
        <x:f>IFERROR(O187/F187,0)</x:f>
        <x:v>0</x:v>
      </x:c>
      <x:c r="Q187" s="78" t="n">
        <x:v>0</x:v>
      </x:c>
      <x:c r="R187" s="78" t="str">
        <x:v>Resolve</x:v>
      </x:c>
      <x:c r="S187" s="78" t="n">
        <x:f>IF(R187="Resolve",IF(IF(E187="YES",Q187,1-Q187)=1,P187*(1-F187),-O187),P187*(G187-F187))</x:f>
        <x:v>0</x:v>
      </x:c>
      <x:c r="T187" s="78" t="n">
        <x:f>P187*J187</x:f>
        <x:v>0</x:v>
      </x:c>
      <x:c r="U187" s="78" t="n">
        <x:f>S187-T187</x:f>
        <x:v>0</x:v>
      </x:c>
      <x:c r="V187" s="78" t="n">
        <x:f>N187+U187</x:f>
        <x:v>9971.337429595074</x:v>
      </x:c>
      <x:c r="W187" s="74" t="n">
        <x:f>IFERROR(V187/MAX($V$16:V187)-1,0)</x:f>
        <x:v>-0.013308665204907588</x:v>
      </x:c>
      <x:c r="X187" t="str">
        <x:f>IF(O187&gt;0,"TRADE","NO_TRADE")</x:f>
        <x:v>NO_TRADE</x:v>
      </x:c>
    </x:row>
    <x:row r="188">
      <x:c r="A188" s="66" t="n">
        <x:v>46167.5099537037</x:v>
      </x:c>
      <x:c r="B188" s="66" t="str">
        <x:v>MKT_1002</x:v>
      </x:c>
      <x:c r="C188" s="66" t="n">
        <x:v>46167.510416666664</x:v>
      </x:c>
      <x:c r="D188" t="n">
        <x:v>40</x:v>
      </x:c>
      <x:c r="E188" t="str">
        <x:v>YES</x:v>
      </x:c>
      <x:c r="F188" s="74" t="n">
        <x:v>0.74</x:v>
      </x:c>
      <x:c r="G188" s="74" t="n">
        <x:v>0.74</x:v>
      </x:c>
      <x:c r="H188" s="74" t="n">
        <x:v>0.735</x:v>
      </x:c>
      <x:c r="I188" s="74" t="n">
        <x:f>IF(E188="YES",H188,1-H188)</x:f>
        <x:v>0.735</x:v>
      </x:c>
      <x:c r="J188" s="76" t="n">
        <x:f>Assumptions!$C$12+Assumptions!$C$11*F188</x:f>
        <x:v>0.003</x:v>
      </x:c>
      <x:c r="K188" s="76" t="n">
        <x:f>I188-F188-J188</x:f>
        <x:v>-0.008000000000000004</x:v>
      </x:c>
      <x:c r="L188" s="74" t="n">
        <x:f>MAX(0,IFERROR(K188/(1-F188),0))</x:f>
        <x:v>0</x:v>
      </x:c>
      <x:c r="M188" s="74" t="n">
        <x:f>MIN(Assumptions!$C$8*L188,Assumptions!$C$5)</x:f>
        <x:v>0</x:v>
      </x:c>
      <x:c r="N188" s="78" t="n">
        <x:f>IF(ROW()=16,Assumptions!$C$4,V187)</x:f>
        <x:v>9971.337429595074</x:v>
      </x:c>
      <x:c r="O188" s="78" t="n">
        <x:f>IF(AND(K188&gt;IF(F188&gt;=Assumptions!$C$21,Assumptions!$C$10,Assumptions!$C$9),D188&gt;Assumptions!$C$23),N188*M188,0)</x:f>
        <x:v>0</x:v>
      </x:c>
      <x:c r="P188" s="78" t="n">
        <x:f>IFERROR(O188/F188,0)</x:f>
        <x:v>0</x:v>
      </x:c>
      <x:c r="Q188" s="78" t="n">
        <x:v>1</x:v>
      </x:c>
      <x:c r="R188" s="78" t="str">
        <x:v>Resolve</x:v>
      </x:c>
      <x:c r="S188" s="78" t="n">
        <x:f>IF(R188="Resolve",IF(IF(E188="YES",Q188,1-Q188)=1,P188*(1-F188),-O188),P188*(G188-F188))</x:f>
        <x:v>0</x:v>
      </x:c>
      <x:c r="T188" s="78" t="n">
        <x:f>P188*J188</x:f>
        <x:v>0</x:v>
      </x:c>
      <x:c r="U188" s="78" t="n">
        <x:f>S188-T188</x:f>
        <x:v>0</x:v>
      </x:c>
      <x:c r="V188" s="78" t="n">
        <x:f>N188+U188</x:f>
        <x:v>9971.337429595074</x:v>
      </x:c>
      <x:c r="W188" s="74" t="n">
        <x:f>IFERROR(V188/MAX($V$16:V188)-1,0)</x:f>
        <x:v>-0.013308665204907588</x:v>
      </x:c>
      <x:c r="X188" t="str">
        <x:f>IF(O188&gt;0,"TRADE","NO_TRADE")</x:f>
        <x:v>NO_TRADE</x:v>
      </x:c>
    </x:row>
    <x:row r="189">
      <x:c r="A189" s="66" t="n">
        <x:v>46167.51001157407</x:v>
      </x:c>
      <x:c r="B189" s="66" t="str">
        <x:v>MKT_1002</x:v>
      </x:c>
      <x:c r="C189" s="66" t="n">
        <x:v>46167.510416666664</x:v>
      </x:c>
      <x:c r="D189" t="n">
        <x:v>35</x:v>
      </x:c>
      <x:c r="E189" t="str">
        <x:v>YES</x:v>
      </x:c>
      <x:c r="F189" s="74" t="n">
        <x:v>0.88</x:v>
      </x:c>
      <x:c r="G189" s="74" t="n">
        <x:v>0.88</x:v>
      </x:c>
      <x:c r="H189" s="74" t="n">
        <x:v>0.91</x:v>
      </x:c>
      <x:c r="I189" s="74" t="n">
        <x:f>IF(E189="YES",H189,1-H189)</x:f>
        <x:v>0.91</x:v>
      </x:c>
      <x:c r="J189" s="76" t="n">
        <x:f>Assumptions!$C$12+Assumptions!$C$11*F189</x:f>
        <x:v>0.003</x:v>
      </x:c>
      <x:c r="K189" s="76" t="n">
        <x:f>I189-F189-J189</x:f>
        <x:v>0.027000000000000027</x:v>
      </x:c>
      <x:c r="L189" s="74" t="n">
        <x:f>MAX(0,IFERROR(K189/(1-F189),0))</x:f>
        <x:v>0.22500000000000023</x:v>
      </x:c>
      <x:c r="M189" s="74" t="n">
        <x:f>MIN(Assumptions!$C$8*L189,Assumptions!$C$5)</x:f>
        <x:v>0.005</x:v>
      </x:c>
      <x:c r="N189" s="78" t="n">
        <x:f>IF(ROW()=16,Assumptions!$C$4,V188)</x:f>
        <x:v>9971.337429595074</x:v>
      </x:c>
      <x:c r="O189" s="78" t="n">
        <x:f>IF(AND(K189&gt;IF(F189&gt;=Assumptions!$C$21,Assumptions!$C$10,Assumptions!$C$9),D189&gt;Assumptions!$C$23),N189*M189,0)</x:f>
        <x:v>49.85668714797537</x:v>
      </x:c>
      <x:c r="P189" s="78" t="n">
        <x:f>IFERROR(O189/F189,0)</x:f>
        <x:v>56.655326304517466</x:v>
      </x:c>
      <x:c r="Q189" s="78" t="n">
        <x:v>1</x:v>
      </x:c>
      <x:c r="R189" s="78" t="str">
        <x:v>Resolve</x:v>
      </x:c>
      <x:c r="S189" s="78" t="n">
        <x:f>IF(R189="Resolve",IF(IF(E189="YES",Q189,1-Q189)=1,P189*(1-F189),-O189),P189*(G189-F189))</x:f>
        <x:v>6.798639156542095</x:v>
      </x:c>
      <x:c r="T189" s="78" t="n">
        <x:f>P189*J189</x:f>
        <x:v>0.1699659789135524</x:v>
      </x:c>
      <x:c r="U189" s="78" t="n">
        <x:f>S189-T189</x:f>
        <x:v>6.628673177628543</x:v>
      </x:c>
      <x:c r="V189" s="78" t="n">
        <x:f>N189+U189</x:f>
        <x:v>9977.966102772703</x:v>
      </x:c>
      <x:c r="W189" s="74" t="n">
        <x:f>IFERROR(V189/MAX($V$16:V189)-1,0)</x:f>
        <x:v>-0.012652739715299455</x:v>
      </x:c>
      <x:c r="X189" t="str">
        <x:f>IF(O189&gt;0,"TRADE","NO_TRADE")</x:f>
        <x:v>TRADE</x:v>
      </x:c>
    </x:row>
    <x:row r="190">
      <x:c r="A190" s="66" t="n">
        <x:v>46167.51006944444</x:v>
      </x:c>
      <x:c r="B190" s="66" t="str">
        <x:v>MKT_1002</x:v>
      </x:c>
      <x:c r="C190" s="66" t="n">
        <x:v>46167.510416666664</x:v>
      </x:c>
      <x:c r="D190" t="n">
        <x:v>30</x:v>
      </x:c>
      <x:c r="E190" t="str">
        <x:v>NO</x:v>
      </x:c>
      <x:c r="F190" s="74" t="n">
        <x:v>0.94</x:v>
      </x:c>
      <x:c r="G190" s="74" t="n">
        <x:v>0.94</x:v>
      </x:c>
      <x:c r="H190" s="74" t="n">
        <x:v>0.98</x:v>
      </x:c>
      <x:c r="I190" s="74" t="n">
        <x:f>IF(E190="YES",H190,1-H190)</x:f>
        <x:v>0.020000000000000018</x:v>
      </x:c>
      <x:c r="J190" s="76" t="n">
        <x:f>Assumptions!$C$12+Assumptions!$C$11*F190</x:f>
        <x:v>0.003</x:v>
      </x:c>
      <x:c r="K190" s="76" t="n">
        <x:f>I190-F190-J190</x:f>
        <x:v>-0.9229999999999999</x:v>
      </x:c>
      <x:c r="L190" s="74" t="n">
        <x:f>MAX(0,IFERROR(K190/(1-F190),0))</x:f>
        <x:v>0</x:v>
      </x:c>
      <x:c r="M190" s="74" t="n">
        <x:f>MIN(Assumptions!$C$8*L190,Assumptions!$C$5)</x:f>
        <x:v>0</x:v>
      </x:c>
      <x:c r="N190" s="78" t="n">
        <x:f>IF(ROW()=16,Assumptions!$C$4,V189)</x:f>
        <x:v>9977.966102772703</x:v>
      </x:c>
      <x:c r="O190" s="78" t="n">
        <x:f>IF(AND(K190&gt;IF(F190&gt;=Assumptions!$C$21,Assumptions!$C$10,Assumptions!$C$9),D190&gt;Assumptions!$C$23),N190*M190,0)</x:f>
        <x:v>0</x:v>
      </x:c>
      <x:c r="P190" s="78" t="n">
        <x:f>IFERROR(O190/F190,0)</x:f>
        <x:v>0</x:v>
      </x:c>
      <x:c r="Q190" s="78" t="n">
        <x:v>1</x:v>
      </x:c>
      <x:c r="R190" s="78" t="str">
        <x:v>Resolve</x:v>
      </x:c>
      <x:c r="S190" s="78" t="n">
        <x:f>IF(R190="Resolve",IF(IF(E190="YES",Q190,1-Q190)=1,P190*(1-F190),-O190),P190*(G190-F190))</x:f>
        <x:v>0</x:v>
      </x:c>
      <x:c r="T190" s="78" t="n">
        <x:f>P190*J190</x:f>
        <x:v>0</x:v>
      </x:c>
      <x:c r="U190" s="78" t="n">
        <x:f>S190-T190</x:f>
        <x:v>0</x:v>
      </x:c>
      <x:c r="V190" s="78" t="n">
        <x:f>N190+U190</x:f>
        <x:v>9977.966102772703</x:v>
      </x:c>
      <x:c r="W190" s="74" t="n">
        <x:f>IFERROR(V190/MAX($V$16:V190)-1,0)</x:f>
        <x:v>-0.012652739715299455</x:v>
      </x:c>
      <x:c r="X190" t="str">
        <x:f>IF(O190&gt;0,"TRADE","NO_TRADE")</x:f>
        <x:v>NO_TRADE</x:v>
      </x:c>
    </x:row>
    <x:row r="191">
      <x:c r="A191" s="66" t="n">
        <x:v>46167.51012731482</x:v>
      </x:c>
      <x:c r="B191" s="66" t="str">
        <x:v>MKT_1002</x:v>
      </x:c>
      <x:c r="C191" s="66" t="n">
        <x:v>46167.510416666664</x:v>
      </x:c>
      <x:c r="D191" t="n">
        <x:v>25</x:v>
      </x:c>
      <x:c r="E191" t="str">
        <x:v>YES</x:v>
      </x:c>
      <x:c r="F191" s="74" t="n">
        <x:v>0.95</x:v>
      </x:c>
      <x:c r="G191" s="74" t="n">
        <x:v>0.95</x:v>
      </x:c>
      <x:c r="H191" s="74" t="n">
        <x:v>0.968</x:v>
      </x:c>
      <x:c r="I191" s="74" t="n">
        <x:f>IF(E191="YES",H191,1-H191)</x:f>
        <x:v>0.968</x:v>
      </x:c>
      <x:c r="J191" s="76" t="n">
        <x:f>Assumptions!$C$12+Assumptions!$C$11*F191</x:f>
        <x:v>0.003</x:v>
      </x:c>
      <x:c r="K191" s="76" t="n">
        <x:f>I191-F191-J191</x:f>
        <x:v>0.015000000000000017</x:v>
      </x:c>
      <x:c r="L191" s="74" t="n">
        <x:f>MAX(0,IFERROR(K191/(1-F191),0))</x:f>
        <x:v>0.30000000000000004</x:v>
      </x:c>
      <x:c r="M191" s="74" t="n">
        <x:f>MIN(Assumptions!$C$8*L191,Assumptions!$C$5)</x:f>
        <x:v>0.005</x:v>
      </x:c>
      <x:c r="N191" s="78" t="n">
        <x:f>IF(ROW()=16,Assumptions!$C$4,V190)</x:f>
        <x:v>9977.966102772703</x:v>
      </x:c>
      <x:c r="O191" s="78" t="n">
        <x:f>IF(AND(K191&gt;IF(F191&gt;=Assumptions!$C$21,Assumptions!$C$10,Assumptions!$C$9),D191&gt;Assumptions!$C$23),N191*M191,0)</x:f>
        <x:v>49.889830513863515</x:v>
      </x:c>
      <x:c r="P191" s="78" t="n">
        <x:f>IFERROR(O191/F191,0)</x:f>
        <x:v>52.515611067224754</x:v>
      </x:c>
      <x:c r="Q191" s="78" t="n">
        <x:v>0</x:v>
      </x:c>
      <x:c r="R191" s="78" t="str">
        <x:v>Resolve</x:v>
      </x:c>
      <x:c r="S191" s="78" t="n">
        <x:f>IF(R191="Resolve",IF(IF(E191="YES",Q191,1-Q191)=1,P191*(1-F191),-O191),P191*(G191-F191))</x:f>
        <x:v>-49.889830513863515</x:v>
      </x:c>
      <x:c r="T191" s="78" t="n">
        <x:f>P191*J191</x:f>
        <x:v>0.15754683320167426</x:v>
      </x:c>
      <x:c r="U191" s="78" t="n">
        <x:f>S191-T191</x:f>
        <x:v>-50.047377347065186</x:v>
      </x:c>
      <x:c r="V191" s="78" t="n">
        <x:f>N191+U191</x:f>
        <x:v>9927.918725425638</x:v>
      </x:c>
      <x:c r="W191" s="74" t="n">
        <x:f>IFERROR(V191/MAX($V$16:V191)-1,0)</x:f>
        <x:v>-0.0176050657103064</x:v>
      </x:c>
      <x:c r="X191" t="str">
        <x:f>IF(O191&gt;0,"TRADE","NO_TRADE")</x:f>
        <x:v>TRADE</x:v>
      </x:c>
    </x:row>
    <x:row r="192">
      <x:c r="A192" s="66" t="n">
        <x:v>46167.51018518519</x:v>
      </x:c>
      <x:c r="B192" s="66" t="str">
        <x:v>MKT_1002</x:v>
      </x:c>
      <x:c r="C192" s="66" t="n">
        <x:v>46167.510416666664</x:v>
      </x:c>
      <x:c r="D192" t="n">
        <x:v>20</x:v>
      </x:c>
      <x:c r="E192" t="str">
        <x:v>YES</x:v>
      </x:c>
      <x:c r="F192" s="74" t="n">
        <x:v>0.57</x:v>
      </x:c>
      <x:c r="G192" s="74" t="n">
        <x:v>0.57</x:v>
      </x:c>
      <x:c r="H192" s="74" t="n">
        <x:v>0.582</x:v>
      </x:c>
      <x:c r="I192" s="74" t="n">
        <x:f>IF(E192="YES",H192,1-H192)</x:f>
        <x:v>0.582</x:v>
      </x:c>
      <x:c r="J192" s="76" t="n">
        <x:f>Assumptions!$C$12+Assumptions!$C$11*F192</x:f>
        <x:v>0.003</x:v>
      </x:c>
      <x:c r="K192" s="76" t="n">
        <x:f>I192-F192-J192</x:f>
        <x:v>0.009000000000000011</x:v>
      </x:c>
      <x:c r="L192" s="74" t="n">
        <x:f>MAX(0,IFERROR(K192/(1-F192),0))</x:f>
        <x:v>0.02093023255813956</x:v>
      </x:c>
      <x:c r="M192" s="74" t="n">
        <x:f>MIN(Assumptions!$C$8*L192,Assumptions!$C$5)</x:f>
        <x:v>0.005</x:v>
      </x:c>
      <x:c r="N192" s="78" t="n">
        <x:f>IF(ROW()=16,Assumptions!$C$4,V191)</x:f>
        <x:v>9927.918725425638</x:v>
      </x:c>
      <x:c r="O192" s="78" t="n">
        <x:f>IF(AND(K192&gt;IF(F192&gt;=Assumptions!$C$21,Assumptions!$C$10,Assumptions!$C$9),D192&gt;Assumptions!$C$23),N192*M192,0)</x:f>
        <x:v>49.63959362712819</x:v>
      </x:c>
      <x:c r="P192" s="78" t="n">
        <x:f>IFERROR(O192/F192,0)</x:f>
        <x:v>87.0870063633828</x:v>
      </x:c>
      <x:c r="Q192" s="78" t="n">
        <x:v>1</x:v>
      </x:c>
      <x:c r="R192" s="78" t="str">
        <x:v>Resolve</x:v>
      </x:c>
      <x:c r="S192" s="78" t="n">
        <x:f>IF(R192="Resolve",IF(IF(E192="YES",Q192,1-Q192)=1,P192*(1-F192),-O192),P192*(G192-F192))</x:f>
        <x:v>37.447412736254606</x:v>
      </x:c>
      <x:c r="T192" s="78" t="n">
        <x:f>P192*J192</x:f>
        <x:v>0.2612610190901484</x:v>
      </x:c>
      <x:c r="U192" s="78" t="n">
        <x:f>S192-T192</x:f>
        <x:v>37.186151717164456</x:v>
      </x:c>
      <x:c r="V192" s="78" t="n">
        <x:f>N192+U192</x:f>
        <x:v>9965.104877142801</x:v>
      </x:c>
      <x:c r="W192" s="74" t="n">
        <x:f>IFERROR(V192/MAX($V$16:V192)-1,0)</x:f>
        <x:v>-0.013925393456431956</x:v>
      </x:c>
      <x:c r="X192" t="str">
        <x:f>IF(O192&gt;0,"TRADE","NO_TRADE")</x:f>
        <x:v>TRADE</x:v>
      </x:c>
    </x:row>
    <x:row r="193">
      <x:c r="A193" s="66" t="n">
        <x:v>46167.510243055556</x:v>
      </x:c>
      <x:c r="B193" s="66" t="str">
        <x:v>MKT_1002</x:v>
      </x:c>
      <x:c r="C193" s="66" t="n">
        <x:v>46167.510416666664</x:v>
      </x:c>
      <x:c r="D193" t="n">
        <x:v>15</x:v>
      </x:c>
      <x:c r="E193" t="str">
        <x:v>NO</x:v>
      </x:c>
      <x:c r="F193" s="74" t="n">
        <x:v>0.68</x:v>
      </x:c>
      <x:c r="G193" s="74" t="n">
        <x:v>0.68</x:v>
      </x:c>
      <x:c r="H193" s="74" t="n">
        <x:v>0.7050000000000001</x:v>
      </x:c>
      <x:c r="I193" s="74" t="n">
        <x:f>IF(E193="YES",H193,1-H193)</x:f>
        <x:v>0.29499999999999993</x:v>
      </x:c>
      <x:c r="J193" s="76" t="n">
        <x:f>Assumptions!$C$12+Assumptions!$C$11*F193</x:f>
        <x:v>0.003</x:v>
      </x:c>
      <x:c r="K193" s="76" t="n">
        <x:f>I193-F193-J193</x:f>
        <x:v>-0.3880000000000001</x:v>
      </x:c>
      <x:c r="L193" s="74" t="n">
        <x:f>MAX(0,IFERROR(K193/(1-F193),0))</x:f>
        <x:v>0</x:v>
      </x:c>
      <x:c r="M193" s="74" t="n">
        <x:f>MIN(Assumptions!$C$8*L193,Assumptions!$C$5)</x:f>
        <x:v>0</x:v>
      </x:c>
      <x:c r="N193" s="78" t="n">
        <x:f>IF(ROW()=16,Assumptions!$C$4,V192)</x:f>
        <x:v>9965.104877142801</x:v>
      </x:c>
      <x:c r="O193" s="78" t="n">
        <x:f>IF(AND(K193&gt;IF(F193&gt;=Assumptions!$C$21,Assumptions!$C$10,Assumptions!$C$9),D193&gt;Assumptions!$C$23),N193*M193,0)</x:f>
        <x:v>0</x:v>
      </x:c>
      <x:c r="P193" s="78" t="n">
        <x:f>IFERROR(O193/F193,0)</x:f>
        <x:v>0</x:v>
      </x:c>
      <x:c r="Q193" s="78" t="n">
        <x:v>1</x:v>
      </x:c>
      <x:c r="R193" s="78" t="str">
        <x:v>Resolve</x:v>
      </x:c>
      <x:c r="S193" s="78" t="n">
        <x:f>IF(R193="Resolve",IF(IF(E193="YES",Q193,1-Q193)=1,P193*(1-F193),-O193),P193*(G193-F193))</x:f>
        <x:v>0</x:v>
      </x:c>
      <x:c r="T193" s="78" t="n">
        <x:f>P193*J193</x:f>
        <x:v>0</x:v>
      </x:c>
      <x:c r="U193" s="78" t="n">
        <x:f>S193-T193</x:f>
        <x:v>0</x:v>
      </x:c>
      <x:c r="V193" s="78" t="n">
        <x:f>N193+U193</x:f>
        <x:v>9965.104877142801</x:v>
      </x:c>
      <x:c r="W193" s="74" t="n">
        <x:f>IFERROR(V193/MAX($V$16:V193)-1,0)</x:f>
        <x:v>-0.013925393456431956</x:v>
      </x:c>
      <x:c r="X193" t="str">
        <x:f>IF(O193&gt;0,"TRADE","NO_TRADE")</x:f>
        <x:v>NO_TRADE</x:v>
      </x:c>
    </x:row>
    <x:row r="194">
      <x:c r="A194" s="66" t="n">
        <x:v>46167.510300925926</x:v>
      </x:c>
      <x:c r="B194" s="66" t="str">
        <x:v>MKT_1002</x:v>
      </x:c>
      <x:c r="C194" s="66" t="n">
        <x:v>46167.510416666664</x:v>
      </x:c>
      <x:c r="D194" t="n">
        <x:v>10</x:v>
      </x:c>
      <x:c r="E194" t="str">
        <x:v>YES</x:v>
      </x:c>
      <x:c r="F194" s="74" t="n">
        <x:v>0.91</x:v>
      </x:c>
      <x:c r="G194" s="74" t="n">
        <x:v>0.91</x:v>
      </x:c>
      <x:c r="H194" s="74" t="n">
        <x:v>0.9450000000000001</x:v>
      </x:c>
      <x:c r="I194" s="74" t="n">
        <x:f>IF(E194="YES",H194,1-H194)</x:f>
        <x:v>0.9450000000000001</x:v>
      </x:c>
      <x:c r="J194" s="76" t="n">
        <x:f>Assumptions!$C$12+Assumptions!$C$11*F194</x:f>
        <x:v>0.003</x:v>
      </x:c>
      <x:c r="K194" s="76" t="n">
        <x:f>I194-F194-J194</x:f>
        <x:v>0.03200000000000003</x:v>
      </x:c>
      <x:c r="L194" s="74" t="n">
        <x:f>MAX(0,IFERROR(K194/(1-F194),0))</x:f>
        <x:v>0.355555555555556</x:v>
      </x:c>
      <x:c r="M194" s="74" t="n">
        <x:f>MIN(Assumptions!$C$8*L194,Assumptions!$C$5)</x:f>
        <x:v>0.005</x:v>
      </x:c>
      <x:c r="N194" s="78" t="n">
        <x:f>IF(ROW()=16,Assumptions!$C$4,V193)</x:f>
        <x:v>9965.104877142801</x:v>
      </x:c>
      <x:c r="O194" s="78" t="n">
        <x:f>IF(AND(K194&gt;IF(F194&gt;=Assumptions!$C$21,Assumptions!$C$10,Assumptions!$C$9),D194&gt;Assumptions!$C$23),N194*M194,0)</x:f>
        <x:v>49.825524385714004</x:v>
      </x:c>
      <x:c r="P194" s="78" t="n">
        <x:f>IFERROR(O194/F194,0)</x:f>
        <x:v>54.75332350078462</x:v>
      </x:c>
      <x:c r="Q194" s="78" t="n">
        <x:v>0</x:v>
      </x:c>
      <x:c r="R194" s="78" t="str">
        <x:v>Resolve</x:v>
      </x:c>
      <x:c r="S194" s="78" t="n">
        <x:f>IF(R194="Resolve",IF(IF(E194="YES",Q194,1-Q194)=1,P194*(1-F194),-O194),P194*(G194-F194))</x:f>
        <x:v>-49.825524385714004</x:v>
      </x:c>
      <x:c r="T194" s="78" t="n">
        <x:f>P194*J194</x:f>
        <x:v>0.16425997050235386</x:v>
      </x:c>
      <x:c r="U194" s="78" t="n">
        <x:f>S194-T194</x:f>
        <x:v>-49.98978435621636</x:v>
      </x:c>
      <x:c r="V194" s="78" t="n">
        <x:f>N194+U194</x:f>
        <x:v>9915.115092786586</x:v>
      </x:c>
      <x:c r="W194" s="74" t="n">
        <x:f>IFERROR(V194/MAX($V$16:V194)-1,0)</x:f>
        <x:v>-0.01887202046618064</x:v>
      </x:c>
      <x:c r="X194" t="str">
        <x:f>IF(O194&gt;0,"TRADE","NO_TRADE")</x:f>
        <x:v>TRADE</x:v>
      </x:c>
    </x:row>
    <x:row r="195">
      <x:c r="A195" s="66" t="n">
        <x:v>46167.510358796295</x:v>
      </x:c>
      <x:c r="B195" s="66" t="str">
        <x:v>MKT_1002</x:v>
      </x:c>
      <x:c r="C195" s="66" t="n">
        <x:v>46167.510416666664</x:v>
      </x:c>
      <x:c r="D195" t="n">
        <x:v>5</x:v>
      </x:c>
      <x:c r="E195" t="str">
        <x:v>YES</x:v>
      </x:c>
      <x:c r="F195" s="74" t="n">
        <x:v>0.83</x:v>
      </x:c>
      <x:c r="G195" s="74" t="n">
        <x:v>0.83</x:v>
      </x:c>
      <x:c r="H195" s="74" t="n">
        <x:v>0.82</x:v>
      </x:c>
      <x:c r="I195" s="74" t="n">
        <x:f>IF(E195="YES",H195,1-H195)</x:f>
        <x:v>0.82</x:v>
      </x:c>
      <x:c r="J195" s="76" t="n">
        <x:f>Assumptions!$C$12+Assumptions!$C$11*F195</x:f>
        <x:v>0.003</x:v>
      </x:c>
      <x:c r="K195" s="76" t="n">
        <x:f>I195-F195-J195</x:f>
        <x:v>-0.013000000000000008</x:v>
      </x:c>
      <x:c r="L195" s="74" t="n">
        <x:f>MAX(0,IFERROR(K195/(1-F195),0))</x:f>
        <x:v>0</x:v>
      </x:c>
      <x:c r="M195" s="74" t="n">
        <x:f>MIN(Assumptions!$C$8*L195,Assumptions!$C$5)</x:f>
        <x:v>0</x:v>
      </x:c>
      <x:c r="N195" s="78" t="n">
        <x:f>IF(ROW()=16,Assumptions!$C$4,V194)</x:f>
        <x:v>9915.115092786586</x:v>
      </x:c>
      <x:c r="O195" s="78" t="n">
        <x:f>IF(AND(K195&gt;IF(F195&gt;=Assumptions!$C$21,Assumptions!$C$10,Assumptions!$C$9),D195&gt;Assumptions!$C$23),N195*M195,0)</x:f>
        <x:v>0</x:v>
      </x:c>
      <x:c r="P195" s="78" t="n">
        <x:f>IFERROR(O195/F195,0)</x:f>
        <x:v>0</x:v>
      </x:c>
      <x:c r="Q195" s="78" t="n">
        <x:v>1</x:v>
      </x:c>
      <x:c r="R195" s="78" t="str">
        <x:v>Resolve</x:v>
      </x:c>
      <x:c r="S195" s="78" t="n">
        <x:f>IF(R195="Resolve",IF(IF(E195="YES",Q195,1-Q195)=1,P195*(1-F195),-O195),P195*(G195-F195))</x:f>
        <x:v>0</x:v>
      </x:c>
      <x:c r="T195" s="78" t="n">
        <x:f>P195*J195</x:f>
        <x:v>0</x:v>
      </x:c>
      <x:c r="U195" s="78" t="n">
        <x:f>S195-T195</x:f>
        <x:v>0</x:v>
      </x:c>
      <x:c r="V195" s="78" t="n">
        <x:f>N195+U195</x:f>
        <x:v>9915.115092786586</x:v>
      </x:c>
      <x:c r="W195" s="74" t="n">
        <x:f>IFERROR(V195/MAX($V$16:V195)-1,0)</x:f>
        <x:v>-0.01887202046618064</x:v>
      </x:c>
      <x:c r="X195" t="str">
        <x:f>IF(O195&gt;0,"TRADE","NO_TRADE")</x:f>
        <x:v>NO_TRADE</x:v>
      </x:c>
    </x:row>
    <x:row r="196">
      <x:c r="A196" s="66" t="n">
        <x:v>46167.510416666664</x:v>
      </x:c>
      <x:c r="B196" s="66" t="str">
        <x:v>MKT_1003</x:v>
      </x:c>
      <x:c r="C196" s="66" t="n">
        <x:v>46167.51388888889</x:v>
      </x:c>
      <x:c r="D196" t="n">
        <x:v>300</x:v>
      </x:c>
      <x:c r="E196" t="str">
        <x:v>NO</x:v>
      </x:c>
      <x:c r="F196" s="74" t="n">
        <x:v>0.52</x:v>
      </x:c>
      <x:c r="G196" s="74" t="n">
        <x:v>0.52</x:v>
      </x:c>
      <x:c r="H196" s="74" t="n">
        <x:v>0.535</x:v>
      </x:c>
      <x:c r="I196" s="74" t="n">
        <x:f>IF(E196="YES",H196,1-H196)</x:f>
        <x:v>0.46499999999999997</x:v>
      </x:c>
      <x:c r="J196" s="76" t="n">
        <x:f>Assumptions!$C$12+Assumptions!$C$11*F196</x:f>
        <x:v>0.003</x:v>
      </x:c>
      <x:c r="K196" s="76" t="n">
        <x:f>I196-F196-J196</x:f>
        <x:v>-0.05800000000000005</x:v>
      </x:c>
      <x:c r="L196" s="74" t="n">
        <x:f>MAX(0,IFERROR(K196/(1-F196),0))</x:f>
        <x:v>0</x:v>
      </x:c>
      <x:c r="M196" s="74" t="n">
        <x:f>MIN(Assumptions!$C$8*L196,Assumptions!$C$5)</x:f>
        <x:v>0</x:v>
      </x:c>
      <x:c r="N196" s="78" t="n">
        <x:f>IF(ROW()=16,Assumptions!$C$4,V195)</x:f>
        <x:v>9915.115092786586</x:v>
      </x:c>
      <x:c r="O196" s="78" t="n">
        <x:f>IF(AND(K196&gt;IF(F196&gt;=Assumptions!$C$21,Assumptions!$C$10,Assumptions!$C$9),D196&gt;Assumptions!$C$23),N196*M196,0)</x:f>
        <x:v>0</x:v>
      </x:c>
      <x:c r="P196" s="78" t="n">
        <x:f>IFERROR(O196/F196,0)</x:f>
        <x:v>0</x:v>
      </x:c>
      <x:c r="Q196" s="78" t="n">
        <x:v>1</x:v>
      </x:c>
      <x:c r="R196" s="78" t="str">
        <x:v>Resolve</x:v>
      </x:c>
      <x:c r="S196" s="78" t="n">
        <x:f>IF(R196="Resolve",IF(IF(E196="YES",Q196,1-Q196)=1,P196*(1-F196),-O196),P196*(G196-F196))</x:f>
        <x:v>0</x:v>
      </x:c>
      <x:c r="T196" s="78" t="n">
        <x:f>P196*J196</x:f>
        <x:v>0</x:v>
      </x:c>
      <x:c r="U196" s="78" t="n">
        <x:f>S196-T196</x:f>
        <x:v>0</x:v>
      </x:c>
      <x:c r="V196" s="78" t="n">
        <x:f>N196+U196</x:f>
        <x:v>9915.115092786586</x:v>
      </x:c>
      <x:c r="W196" s="74" t="n">
        <x:f>IFERROR(V196/MAX($V$16:V196)-1,0)</x:f>
        <x:v>-0.01887202046618064</x:v>
      </x:c>
      <x:c r="X196" t="str">
        <x:f>IF(O196&gt;0,"TRADE","NO_TRADE")</x:f>
        <x:v>NO_TRADE</x:v>
      </x:c>
    </x:row>
    <x:row r="197">
      <x:c r="A197" s="66" t="n">
        <x:v>46167.51047453703</x:v>
      </x:c>
      <x:c r="B197" s="66" t="str">
        <x:v>MKT_1003</x:v>
      </x:c>
      <x:c r="C197" s="66" t="n">
        <x:v>46167.51388888889</x:v>
      </x:c>
      <x:c r="D197" t="n">
        <x:v>295</x:v>
      </x:c>
      <x:c r="E197" t="str">
        <x:v>YES</x:v>
      </x:c>
      <x:c r="F197" s="74" t="n">
        <x:v>0.61</x:v>
      </x:c>
      <x:c r="G197" s="74" t="n">
        <x:v>0.61</x:v>
      </x:c>
      <x:c r="H197" s="74" t="n">
        <x:v>0.63</x:v>
      </x:c>
      <x:c r="I197" s="74" t="n">
        <x:f>IF(E197="YES",H197,1-H197)</x:f>
        <x:v>0.63</x:v>
      </x:c>
      <x:c r="J197" s="76" t="n">
        <x:f>Assumptions!$C$12+Assumptions!$C$11*F197</x:f>
        <x:v>0.003</x:v>
      </x:c>
      <x:c r="K197" s="76" t="n">
        <x:f>I197-F197-J197</x:f>
        <x:v>0.01700000000000002</x:v>
      </x:c>
      <x:c r="L197" s="74" t="n">
        <x:f>MAX(0,IFERROR(K197/(1-F197),0))</x:f>
        <x:v>0.043589743589743636</x:v>
      </x:c>
      <x:c r="M197" s="74" t="n">
        <x:f>MIN(Assumptions!$C$8*L197,Assumptions!$C$5)</x:f>
        <x:v>0.005</x:v>
      </x:c>
      <x:c r="N197" s="78" t="n">
        <x:f>IF(ROW()=16,Assumptions!$C$4,V196)</x:f>
        <x:v>9915.115092786586</x:v>
      </x:c>
      <x:c r="O197" s="78" t="n">
        <x:f>IF(AND(K197&gt;IF(F197&gt;=Assumptions!$C$21,Assumptions!$C$10,Assumptions!$C$9),D197&gt;Assumptions!$C$23),N197*M197,0)</x:f>
        <x:v>49.57557546393293</x:v>
      </x:c>
      <x:c r="P197" s="78" t="n">
        <x:f>IFERROR(O197/F197,0)</x:f>
        <x:v>81.27143518677529</x:v>
      </x:c>
      <x:c r="Q197" s="78" t="n">
        <x:v>1</x:v>
      </x:c>
      <x:c r="R197" s="78" t="str">
        <x:v>Resolve</x:v>
      </x:c>
      <x:c r="S197" s="78" t="n">
        <x:f>IF(R197="Resolve",IF(IF(E197="YES",Q197,1-Q197)=1,P197*(1-F197),-O197),P197*(G197-F197))</x:f>
        <x:v>31.695859722842364</x:v>
      </x:c>
      <x:c r="T197" s="78" t="n">
        <x:f>P197*J197</x:f>
        <x:v>0.24381430556032588</x:v>
      </x:c>
      <x:c r="U197" s="78" t="n">
        <x:f>S197-T197</x:f>
        <x:v>31.45204541728204</x:v>
      </x:c>
      <x:c r="V197" s="78" t="n">
        <x:f>N197+U197</x:f>
        <x:v>9946.567138203867</x:v>
      </x:c>
      <x:c r="W197" s="74" t="n">
        <x:f>IFERROR(V197/MAX($V$16:V197)-1,0)</x:f>
        <x:v>-0.01575975384257755</x:v>
      </x:c>
      <x:c r="X197" t="str">
        <x:f>IF(O197&gt;0,"TRADE","NO_TRADE")</x:f>
        <x:v>TRADE</x:v>
      </x:c>
    </x:row>
    <x:row r="198">
      <x:c r="A198" s="66" t="n">
        <x:v>46167.51053240741</x:v>
      </x:c>
      <x:c r="B198" s="66" t="str">
        <x:v>MKT_1003</x:v>
      </x:c>
      <x:c r="C198" s="66" t="n">
        <x:v>46167.51388888889</x:v>
      </x:c>
      <x:c r="D198" t="n">
        <x:v>290</x:v>
      </x:c>
      <x:c r="E198" t="str">
        <x:v>YES</x:v>
      </x:c>
      <x:c r="F198" s="74" t="n">
        <x:v>0.74</x:v>
      </x:c>
      <x:c r="G198" s="74" t="n">
        <x:v>0.74</x:v>
      </x:c>
      <x:c r="H198" s="74" t="n">
        <x:v>0.735</x:v>
      </x:c>
      <x:c r="I198" s="74" t="n">
        <x:f>IF(E198="YES",H198,1-H198)</x:f>
        <x:v>0.735</x:v>
      </x:c>
      <x:c r="J198" s="76" t="n">
        <x:f>Assumptions!$C$12+Assumptions!$C$11*F198</x:f>
        <x:v>0.003</x:v>
      </x:c>
      <x:c r="K198" s="76" t="n">
        <x:f>I198-F198-J198</x:f>
        <x:v>-0.008000000000000004</x:v>
      </x:c>
      <x:c r="L198" s="74" t="n">
        <x:f>MAX(0,IFERROR(K198/(1-F198),0))</x:f>
        <x:v>0</x:v>
      </x:c>
      <x:c r="M198" s="74" t="n">
        <x:f>MIN(Assumptions!$C$8*L198,Assumptions!$C$5)</x:f>
        <x:v>0</x:v>
      </x:c>
      <x:c r="N198" s="78" t="n">
        <x:f>IF(ROW()=16,Assumptions!$C$4,V197)</x:f>
        <x:v>9946.567138203867</x:v>
      </x:c>
      <x:c r="O198" s="78" t="n">
        <x:f>IF(AND(K198&gt;IF(F198&gt;=Assumptions!$C$21,Assumptions!$C$10,Assumptions!$C$9),D198&gt;Assumptions!$C$23),N198*M198,0)</x:f>
        <x:v>0</x:v>
      </x:c>
      <x:c r="P198" s="78" t="n">
        <x:f>IFERROR(O198/F198,0)</x:f>
        <x:v>0</x:v>
      </x:c>
      <x:c r="Q198" s="78" t="n">
        <x:v>0</x:v>
      </x:c>
      <x:c r="R198" s="78" t="str">
        <x:v>Resolve</x:v>
      </x:c>
      <x:c r="S198" s="78" t="n">
        <x:f>IF(R198="Resolve",IF(IF(E198="YES",Q198,1-Q198)=1,P198*(1-F198),-O198),P198*(G198-F198))</x:f>
        <x:v>0</x:v>
      </x:c>
      <x:c r="T198" s="78" t="n">
        <x:f>P198*J198</x:f>
        <x:v>0</x:v>
      </x:c>
      <x:c r="U198" s="78" t="n">
        <x:f>S198-T198</x:f>
        <x:v>0</x:v>
      </x:c>
      <x:c r="V198" s="78" t="n">
        <x:f>N198+U198</x:f>
        <x:v>9946.567138203867</x:v>
      </x:c>
      <x:c r="W198" s="74" t="n">
        <x:f>IFERROR(V198/MAX($V$16:V198)-1,0)</x:f>
        <x:v>-0.01575975384257755</x:v>
      </x:c>
      <x:c r="X198" t="str">
        <x:f>IF(O198&gt;0,"TRADE","NO_TRADE")</x:f>
        <x:v>NO_TRADE</x:v>
      </x:c>
    </x:row>
    <x:row r="199">
      <x:c r="A199" s="66" t="n">
        <x:v>46167.51059027778</x:v>
      </x:c>
      <x:c r="B199" s="66" t="str">
        <x:v>MKT_1003</x:v>
      </x:c>
      <x:c r="C199" s="66" t="n">
        <x:v>46167.51388888889</x:v>
      </x:c>
      <x:c r="D199" t="n">
        <x:v>285</x:v>
      </x:c>
      <x:c r="E199" t="str">
        <x:v>NO</x:v>
      </x:c>
      <x:c r="F199" s="74" t="n">
        <x:v>0.88</x:v>
      </x:c>
      <x:c r="G199" s="74" t="n">
        <x:v>0.88</x:v>
      </x:c>
      <x:c r="H199" s="74" t="n">
        <x:v>0.91</x:v>
      </x:c>
      <x:c r="I199" s="74" t="n">
        <x:f>IF(E199="YES",H199,1-H199)</x:f>
        <x:v>0.08999999999999997</x:v>
      </x:c>
      <x:c r="J199" s="76" t="n">
        <x:f>Assumptions!$C$12+Assumptions!$C$11*F199</x:f>
        <x:v>0.003</x:v>
      </x:c>
      <x:c r="K199" s="76" t="n">
        <x:f>I199-F199-J199</x:f>
        <x:v>-0.793</x:v>
      </x:c>
      <x:c r="L199" s="74" t="n">
        <x:f>MAX(0,IFERROR(K199/(1-F199),0))</x:f>
        <x:v>0</x:v>
      </x:c>
      <x:c r="M199" s="74" t="n">
        <x:f>MIN(Assumptions!$C$8*L199,Assumptions!$C$5)</x:f>
        <x:v>0</x:v>
      </x:c>
      <x:c r="N199" s="78" t="n">
        <x:f>IF(ROW()=16,Assumptions!$C$4,V198)</x:f>
        <x:v>9946.567138203867</x:v>
      </x:c>
      <x:c r="O199" s="78" t="n">
        <x:f>IF(AND(K199&gt;IF(F199&gt;=Assumptions!$C$21,Assumptions!$C$10,Assumptions!$C$9),D199&gt;Assumptions!$C$23),N199*M199,0)</x:f>
        <x:v>0</x:v>
      </x:c>
      <x:c r="P199" s="78" t="n">
        <x:f>IFERROR(O199/F199,0)</x:f>
        <x:v>0</x:v>
      </x:c>
      <x:c r="Q199" s="78" t="n">
        <x:v>1</x:v>
      </x:c>
      <x:c r="R199" s="78" t="str">
        <x:v>Resolve</x:v>
      </x:c>
      <x:c r="S199" s="78" t="n">
        <x:f>IF(R199="Resolve",IF(IF(E199="YES",Q199,1-Q199)=1,P199*(1-F199),-O199),P199*(G199-F199))</x:f>
        <x:v>0</x:v>
      </x:c>
      <x:c r="T199" s="78" t="n">
        <x:f>P199*J199</x:f>
        <x:v>0</x:v>
      </x:c>
      <x:c r="U199" s="78" t="n">
        <x:f>S199-T199</x:f>
        <x:v>0</x:v>
      </x:c>
      <x:c r="V199" s="78" t="n">
        <x:f>N199+U199</x:f>
        <x:v>9946.567138203867</x:v>
      </x:c>
      <x:c r="W199" s="74" t="n">
        <x:f>IFERROR(V199/MAX($V$16:V199)-1,0)</x:f>
        <x:v>-0.01575975384257755</x:v>
      </x:c>
      <x:c r="X199" t="str">
        <x:f>IF(O199&gt;0,"TRADE","NO_TRADE")</x:f>
        <x:v>NO_TRADE</x:v>
      </x:c>
    </x:row>
    <x:row r="200">
      <x:c r="A200" s="66" t="n">
        <x:v>46167.51064814815</x:v>
      </x:c>
      <x:c r="B200" s="66" t="str">
        <x:v>MKT_1003</x:v>
      </x:c>
      <x:c r="C200" s="66" t="n">
        <x:v>46167.51388888889</x:v>
      </x:c>
      <x:c r="D200" t="n">
        <x:v>280</x:v>
      </x:c>
      <x:c r="E200" t="str">
        <x:v>YES</x:v>
      </x:c>
      <x:c r="F200" s="74" t="n">
        <x:v>0.94</x:v>
      </x:c>
      <x:c r="G200" s="74" t="n">
        <x:v>0.94</x:v>
      </x:c>
      <x:c r="H200" s="74" t="n">
        <x:v>0.98</x:v>
      </x:c>
      <x:c r="I200" s="74" t="n">
        <x:f>IF(E200="YES",H200,1-H200)</x:f>
        <x:v>0.98</x:v>
      </x:c>
      <x:c r="J200" s="76" t="n">
        <x:f>Assumptions!$C$12+Assumptions!$C$11*F200</x:f>
        <x:v>0.003</x:v>
      </x:c>
      <x:c r="K200" s="76" t="n">
        <x:f>I200-F200-J200</x:f>
        <x:v>0.03700000000000003</x:v>
      </x:c>
      <x:c r="L200" s="74" t="n">
        <x:f>MAX(0,IFERROR(K200/(1-F200),0))</x:f>
        <x:v>0.6166666666666667</x:v>
      </x:c>
      <x:c r="M200" s="74" t="n">
        <x:f>MIN(Assumptions!$C$8*L200,Assumptions!$C$5)</x:f>
        <x:v>0.005</x:v>
      </x:c>
      <x:c r="N200" s="78" t="n">
        <x:f>IF(ROW()=16,Assumptions!$C$4,V199)</x:f>
        <x:v>9946.567138203867</x:v>
      </x:c>
      <x:c r="O200" s="78" t="n">
        <x:f>IF(AND(K200&gt;IF(F200&gt;=Assumptions!$C$21,Assumptions!$C$10,Assumptions!$C$9),D200&gt;Assumptions!$C$23),N200*M200,0)</x:f>
        <x:v>49.73283569101934</x:v>
      </x:c>
      <x:c r="P200" s="78" t="n">
        <x:f>IFERROR(O200/F200,0)</x:f>
        <x:v>52.907272011722704</x:v>
      </x:c>
      <x:c r="Q200" s="78" t="n">
        <x:v>1</x:v>
      </x:c>
      <x:c r="R200" s="78" t="str">
        <x:v>Resolve</x:v>
      </x:c>
      <x:c r="S200" s="78" t="n">
        <x:f>IF(R200="Resolve",IF(IF(E200="YES",Q200,1-Q200)=1,P200*(1-F200),-O200),P200*(G200-F200))</x:f>
        <x:v>3.1744363207033652</x:v>
      </x:c>
      <x:c r="T200" s="78" t="n">
        <x:f>P200*J200</x:f>
        <x:v>0.1587218160351681</x:v>
      </x:c>
      <x:c r="U200" s="78" t="n">
        <x:f>S200-T200</x:f>
        <x:v>3.015714504668197</x:v>
      </x:c>
      <x:c r="V200" s="78" t="n">
        <x:f>N200+U200</x:f>
        <x:v>9949.582852708536</x:v>
      </x:c>
      <x:c r="W200" s="74" t="n">
        <x:f>IFERROR(V200/MAX($V$16:V200)-1,0)</x:f>
        <x:v>-0.015461340576455318</x:v>
      </x:c>
      <x:c r="X200" t="str">
        <x:f>IF(O200&gt;0,"TRADE","NO_TRADE")</x:f>
        <x:v>TRADE</x:v>
      </x:c>
    </x:row>
    <x:row r="201">
      <x:c r="A201" s="66" t="n">
        <x:v>46167.51070601852</x:v>
      </x:c>
      <x:c r="B201" s="66" t="str">
        <x:v>MKT_1003</x:v>
      </x:c>
      <x:c r="C201" s="66" t="n">
        <x:v>46167.51388888889</x:v>
      </x:c>
      <x:c r="D201" t="n">
        <x:v>275</x:v>
      </x:c>
      <x:c r="E201" t="str">
        <x:v>YES</x:v>
      </x:c>
      <x:c r="F201" s="74" t="n">
        <x:v>0.95</x:v>
      </x:c>
      <x:c r="G201" s="74" t="n">
        <x:v>0.95</x:v>
      </x:c>
      <x:c r="H201" s="74" t="n">
        <x:v>0.968</x:v>
      </x:c>
      <x:c r="I201" s="74" t="n">
        <x:f>IF(E201="YES",H201,1-H201)</x:f>
        <x:v>0.968</x:v>
      </x:c>
      <x:c r="J201" s="76" t="n">
        <x:f>Assumptions!$C$12+Assumptions!$C$11*F201</x:f>
        <x:v>0.003</x:v>
      </x:c>
      <x:c r="K201" s="76" t="n">
        <x:f>I201-F201-J201</x:f>
        <x:v>0.015000000000000017</x:v>
      </x:c>
      <x:c r="L201" s="74" t="n">
        <x:f>MAX(0,IFERROR(K201/(1-F201),0))</x:f>
        <x:v>0.30000000000000004</x:v>
      </x:c>
      <x:c r="M201" s="74" t="n">
        <x:f>MIN(Assumptions!$C$8*L201,Assumptions!$C$5)</x:f>
        <x:v>0.005</x:v>
      </x:c>
      <x:c r="N201" s="78" t="n">
        <x:f>IF(ROW()=16,Assumptions!$C$4,V200)</x:f>
        <x:v>9949.582852708536</x:v>
      </x:c>
      <x:c r="O201" s="78" t="n">
        <x:f>IF(AND(K201&gt;IF(F201&gt;=Assumptions!$C$21,Assumptions!$C$10,Assumptions!$C$9),D201&gt;Assumptions!$C$23),N201*M201,0)</x:f>
        <x:v>49.74791426354268</x:v>
      </x:c>
      <x:c r="P201" s="78" t="n">
        <x:f>IFERROR(O201/F201,0)</x:f>
        <x:v>52.36622554057125</x:v>
      </x:c>
      <x:c r="Q201" s="78" t="n">
        <x:v>0</x:v>
      </x:c>
      <x:c r="R201" s="78" t="str">
        <x:v>Resolve</x:v>
      </x:c>
      <x:c r="S201" s="78" t="n">
        <x:f>IF(R201="Resolve",IF(IF(E201="YES",Q201,1-Q201)=1,P201*(1-F201),-O201),P201*(G201-F201))</x:f>
        <x:v>-49.74791426354268</x:v>
      </x:c>
      <x:c r="T201" s="78" t="n">
        <x:f>P201*J201</x:f>
        <x:v>0.15709867662171376</x:v>
      </x:c>
      <x:c r="U201" s="78" t="n">
        <x:f>S201-T201</x:f>
        <x:v>-49.9050129401644</x:v>
      </x:c>
      <x:c r="V201" s="78" t="n">
        <x:f>N201+U201</x:f>
        <x:v>9899.677839768372</x:v>
      </x:c>
      <x:c r="W201" s="74" t="n">
        <x:f>IFERROR(V201/MAX($V$16:V201)-1,0)</x:f>
        <x:v>-0.020399579220827024</x:v>
      </x:c>
      <x:c r="X201" t="str">
        <x:f>IF(O201&gt;0,"TRADE","NO_TRADE")</x:f>
        <x:v>TRADE</x:v>
      </x:c>
    </x:row>
    <x:row r="202">
      <x:c r="A202" s="66" t="n">
        <x:v>46167.51076388889</x:v>
      </x:c>
      <x:c r="B202" s="66" t="str">
        <x:v>MKT_1003</x:v>
      </x:c>
      <x:c r="C202" s="66" t="n">
        <x:v>46167.51388888889</x:v>
      </x:c>
      <x:c r="D202" t="n">
        <x:v>270</x:v>
      </x:c>
      <x:c r="E202" t="str">
        <x:v>NO</x:v>
      </x:c>
      <x:c r="F202" s="74" t="n">
        <x:v>0.57</x:v>
      </x:c>
      <x:c r="G202" s="74" t="n">
        <x:v>0.57</x:v>
      </x:c>
      <x:c r="H202" s="74" t="n">
        <x:v>0.582</x:v>
      </x:c>
      <x:c r="I202" s="74" t="n">
        <x:f>IF(E202="YES",H202,1-H202)</x:f>
        <x:v>0.41800000000000004</x:v>
      </x:c>
      <x:c r="J202" s="76" t="n">
        <x:f>Assumptions!$C$12+Assumptions!$C$11*F202</x:f>
        <x:v>0.003</x:v>
      </x:c>
      <x:c r="K202" s="76" t="n">
        <x:f>I202-F202-J202</x:f>
        <x:v>-0.15499999999999992</x:v>
      </x:c>
      <x:c r="L202" s="74" t="n">
        <x:f>MAX(0,IFERROR(K202/(1-F202),0))</x:f>
        <x:v>0</x:v>
      </x:c>
      <x:c r="M202" s="74" t="n">
        <x:f>MIN(Assumptions!$C$8*L202,Assumptions!$C$5)</x:f>
        <x:v>0</x:v>
      </x:c>
      <x:c r="N202" s="78" t="n">
        <x:f>IF(ROW()=16,Assumptions!$C$4,V201)</x:f>
        <x:v>9899.677839768372</x:v>
      </x:c>
      <x:c r="O202" s="78" t="n">
        <x:f>IF(AND(K202&gt;IF(F202&gt;=Assumptions!$C$21,Assumptions!$C$10,Assumptions!$C$9),D202&gt;Assumptions!$C$23),N202*M202,0)</x:f>
        <x:v>0</x:v>
      </x:c>
      <x:c r="P202" s="78" t="n">
        <x:f>IFERROR(O202/F202,0)</x:f>
        <x:v>0</x:v>
      </x:c>
      <x:c r="Q202" s="78" t="n">
        <x:v>1</x:v>
      </x:c>
      <x:c r="R202" s="78" t="str">
        <x:v>Resolve</x:v>
      </x:c>
      <x:c r="S202" s="78" t="n">
        <x:f>IF(R202="Resolve",IF(IF(E202="YES",Q202,1-Q202)=1,P202*(1-F202),-O202),P202*(G202-F202))</x:f>
        <x:v>0</x:v>
      </x:c>
      <x:c r="T202" s="78" t="n">
        <x:f>P202*J202</x:f>
        <x:v>0</x:v>
      </x:c>
      <x:c r="U202" s="78" t="n">
        <x:f>S202-T202</x:f>
        <x:v>0</x:v>
      </x:c>
      <x:c r="V202" s="78" t="n">
        <x:f>N202+U202</x:f>
        <x:v>9899.677839768372</x:v>
      </x:c>
      <x:c r="W202" s="74" t="n">
        <x:f>IFERROR(V202/MAX($V$16:V202)-1,0)</x:f>
        <x:v>-0.020399579220827024</x:v>
      </x:c>
      <x:c r="X202" t="str">
        <x:f>IF(O202&gt;0,"TRADE","NO_TRADE")</x:f>
        <x:v>NO_TRADE</x:v>
      </x:c>
    </x:row>
    <x:row r="203">
      <x:c r="A203" s="66" t="n">
        <x:v>46167.51082175926</x:v>
      </x:c>
      <x:c r="B203" s="66" t="str">
        <x:v>MKT_1003</x:v>
      </x:c>
      <x:c r="C203" s="66" t="n">
        <x:v>46167.51388888889</x:v>
      </x:c>
      <x:c r="D203" t="n">
        <x:v>265</x:v>
      </x:c>
      <x:c r="E203" t="str">
        <x:v>YES</x:v>
      </x:c>
      <x:c r="F203" s="74" t="n">
        <x:v>0.68</x:v>
      </x:c>
      <x:c r="G203" s="74" t="n">
        <x:v>0.68</x:v>
      </x:c>
      <x:c r="H203" s="74" t="n">
        <x:v>0.7050000000000001</x:v>
      </x:c>
      <x:c r="I203" s="74" t="n">
        <x:f>IF(E203="YES",H203,1-H203)</x:f>
        <x:v>0.7050000000000001</x:v>
      </x:c>
      <x:c r="J203" s="76" t="n">
        <x:f>Assumptions!$C$12+Assumptions!$C$11*F203</x:f>
        <x:v>0.003</x:v>
      </x:c>
      <x:c r="K203" s="76" t="n">
        <x:f>I203-F203-J203</x:f>
        <x:v>0.022000000000000023</x:v>
      </x:c>
      <x:c r="L203" s="74" t="n">
        <x:f>MAX(0,IFERROR(K203/(1-F203),0))</x:f>
        <x:v>0.06875000000000009</x:v>
      </x:c>
      <x:c r="M203" s="74" t="n">
        <x:f>MIN(Assumptions!$C$8*L203,Assumptions!$C$5)</x:f>
        <x:v>0.005</x:v>
      </x:c>
      <x:c r="N203" s="78" t="n">
        <x:f>IF(ROW()=16,Assumptions!$C$4,V202)</x:f>
        <x:v>9899.677839768372</x:v>
      </x:c>
      <x:c r="O203" s="78" t="n">
        <x:f>IF(AND(K203&gt;IF(F203&gt;=Assumptions!$C$21,Assumptions!$C$10,Assumptions!$C$9),D203&gt;Assumptions!$C$23),N203*M203,0)</x:f>
        <x:v>49.49838919884186</x:v>
      </x:c>
      <x:c r="P203" s="78" t="n">
        <x:f>IFERROR(O203/F203,0)</x:f>
        <x:v>72.79174882182626</x:v>
      </x:c>
      <x:c r="Q203" s="78" t="n">
        <x:v>1</x:v>
      </x:c>
      <x:c r="R203" s="78" t="str">
        <x:v>Resolve</x:v>
      </x:c>
      <x:c r="S203" s="78" t="n">
        <x:f>IF(R203="Resolve",IF(IF(E203="YES",Q203,1-Q203)=1,P203*(1-F203),-O203),P203*(G203-F203))</x:f>
        <x:v>23.2933596229844</x:v>
      </x:c>
      <x:c r="T203" s="78" t="n">
        <x:f>P203*J203</x:f>
        <x:v>0.2183752464654788</x:v>
      </x:c>
      <x:c r="U203" s="78" t="n">
        <x:f>S203-T203</x:f>
        <x:v>23.074984376518923</x:v>
      </x:c>
      <x:c r="V203" s="78" t="n">
        <x:f>N203+U203</x:f>
        <x:v>9922.75282414489</x:v>
      </x:c>
      <x:c r="W203" s="74" t="n">
        <x:f>IFERROR(V203/MAX($V$16:V203)-1,0)</x:f>
        <x:v>-0.018116245887099147</x:v>
      </x:c>
      <x:c r="X203" t="str">
        <x:f>IF(O203&gt;0,"TRADE","NO_TRADE")</x:f>
        <x:v>TRADE</x:v>
      </x:c>
    </x:row>
    <x:row r="204">
      <x:c r="A204" s="66" t="n">
        <x:v>46167.510879629626</x:v>
      </x:c>
      <x:c r="B204" s="66" t="str">
        <x:v>MKT_1003</x:v>
      </x:c>
      <x:c r="C204" s="66" t="n">
        <x:v>46167.51388888889</x:v>
      </x:c>
      <x:c r="D204" t="n">
        <x:v>260</x:v>
      </x:c>
      <x:c r="E204" t="str">
        <x:v>YES</x:v>
      </x:c>
      <x:c r="F204" s="74" t="n">
        <x:v>0.91</x:v>
      </x:c>
      <x:c r="G204" s="74" t="n">
        <x:v>0.91</x:v>
      </x:c>
      <x:c r="H204" s="74" t="n">
        <x:v>0.9450000000000001</x:v>
      </x:c>
      <x:c r="I204" s="74" t="n">
        <x:f>IF(E204="YES",H204,1-H204)</x:f>
        <x:v>0.9450000000000001</x:v>
      </x:c>
      <x:c r="J204" s="76" t="n">
        <x:f>Assumptions!$C$12+Assumptions!$C$11*F204</x:f>
        <x:v>0.003</x:v>
      </x:c>
      <x:c r="K204" s="76" t="n">
        <x:f>I204-F204-J204</x:f>
        <x:v>0.03200000000000003</x:v>
      </x:c>
      <x:c r="L204" s="74" t="n">
        <x:f>MAX(0,IFERROR(K204/(1-F204),0))</x:f>
        <x:v>0.355555555555556</x:v>
      </x:c>
      <x:c r="M204" s="74" t="n">
        <x:f>MIN(Assumptions!$C$8*L204,Assumptions!$C$5)</x:f>
        <x:v>0.005</x:v>
      </x:c>
      <x:c r="N204" s="78" t="n">
        <x:f>IF(ROW()=16,Assumptions!$C$4,V203)</x:f>
        <x:v>9922.75282414489</x:v>
      </x:c>
      <x:c r="O204" s="78" t="n">
        <x:f>IF(AND(K204&gt;IF(F204&gt;=Assumptions!$C$21,Assumptions!$C$10,Assumptions!$C$9),D204&gt;Assumptions!$C$23),N204*M204,0)</x:f>
        <x:v>49.613764120724454</x:v>
      </x:c>
      <x:c r="P204" s="78" t="n">
        <x:f>IFERROR(O204/F204,0)</x:f>
        <x:v>54.520619912884015</x:v>
      </x:c>
      <x:c r="Q204" s="78" t="n">
        <x:v>1</x:v>
      </x:c>
      <x:c r="R204" s="78" t="str">
        <x:v>Resolve</x:v>
      </x:c>
      <x:c r="S204" s="78" t="n">
        <x:f>IF(R204="Resolve",IF(IF(E204="YES",Q204,1-Q204)=1,P204*(1-F204),-O204),P204*(G204-F204))</x:f>
        <x:v>4.9068557921595595</x:v>
      </x:c>
      <x:c r="T204" s="78" t="n">
        <x:f>P204*J204</x:f>
        <x:v>0.16356185973865206</x:v>
      </x:c>
      <x:c r="U204" s="78" t="n">
        <x:f>S204-T204</x:f>
        <x:v>4.743293932420907</x:v>
      </x:c>
      <x:c r="V204" s="78" t="n">
        <x:f>N204+U204</x:f>
        <x:v>9927.496118077312</x:v>
      </x:c>
      <x:c r="W204" s="74" t="n">
        <x:f>IFERROR(V204/MAX($V$16:V204)-1,0)</x:f>
        <x:v>-0.01764688387277047</x:v>
      </x:c>
      <x:c r="X204" t="str">
        <x:f>IF(O204&gt;0,"TRADE","NO_TRADE")</x:f>
        <x:v>TRADE</x:v>
      </x:c>
    </x:row>
    <x:row r="205">
      <x:c r="A205" s="66" t="n">
        <x:v>46167.5109375</x:v>
      </x:c>
      <x:c r="B205" s="66" t="str">
        <x:v>MKT_1003</x:v>
      </x:c>
      <x:c r="C205" s="66" t="n">
        <x:v>46167.51388888889</x:v>
      </x:c>
      <x:c r="D205" t="n">
        <x:v>255</x:v>
      </x:c>
      <x:c r="E205" t="str">
        <x:v>NO</x:v>
      </x:c>
      <x:c r="F205" s="74" t="n">
        <x:v>0.83</x:v>
      </x:c>
      <x:c r="G205" s="74" t="n">
        <x:v>0.83</x:v>
      </x:c>
      <x:c r="H205" s="74" t="n">
        <x:v>0.82</x:v>
      </x:c>
      <x:c r="I205" s="74" t="n">
        <x:f>IF(E205="YES",H205,1-H205)</x:f>
        <x:v>0.18000000000000005</x:v>
      </x:c>
      <x:c r="J205" s="76" t="n">
        <x:f>Assumptions!$C$12+Assumptions!$C$11*F205</x:f>
        <x:v>0.003</x:v>
      </x:c>
      <x:c r="K205" s="76" t="n">
        <x:f>I205-F205-J205</x:f>
        <x:v>-0.6529999999999999</x:v>
      </x:c>
      <x:c r="L205" s="74" t="n">
        <x:f>MAX(0,IFERROR(K205/(1-F205),0))</x:f>
        <x:v>0</x:v>
      </x:c>
      <x:c r="M205" s="74" t="n">
        <x:f>MIN(Assumptions!$C$8*L205,Assumptions!$C$5)</x:f>
        <x:v>0</x:v>
      </x:c>
      <x:c r="N205" s="78" t="n">
        <x:f>IF(ROW()=16,Assumptions!$C$4,V204)</x:f>
        <x:v>9927.496118077312</x:v>
      </x:c>
      <x:c r="O205" s="78" t="n">
        <x:f>IF(AND(K205&gt;IF(F205&gt;=Assumptions!$C$21,Assumptions!$C$10,Assumptions!$C$9),D205&gt;Assumptions!$C$23),N205*M205,0)</x:f>
        <x:v>0</x:v>
      </x:c>
      <x:c r="P205" s="78" t="n">
        <x:f>IFERROR(O205/F205,0)</x:f>
        <x:v>0</x:v>
      </x:c>
      <x:c r="Q205" s="78" t="n">
        <x:v>0</x:v>
      </x:c>
      <x:c r="R205" s="78" t="str">
        <x:v>Resolve</x:v>
      </x:c>
      <x:c r="S205" s="78" t="n">
        <x:f>IF(R205="Resolve",IF(IF(E205="YES",Q205,1-Q205)=1,P205*(1-F205),-O205),P205*(G205-F205))</x:f>
        <x:v>0</x:v>
      </x:c>
      <x:c r="T205" s="78" t="n">
        <x:f>P205*J205</x:f>
        <x:v>0</x:v>
      </x:c>
      <x:c r="U205" s="78" t="n">
        <x:f>S205-T205</x:f>
        <x:v>0</x:v>
      </x:c>
      <x:c r="V205" s="78" t="n">
        <x:f>N205+U205</x:f>
        <x:v>9927.496118077312</x:v>
      </x:c>
      <x:c r="W205" s="74" t="n">
        <x:f>IFERROR(V205/MAX($V$16:V205)-1,0)</x:f>
        <x:v>-0.01764688387277047</x:v>
      </x:c>
      <x:c r="X205" t="str">
        <x:f>IF(O205&gt;0,"TRADE","NO_TRADE")</x:f>
        <x:v>NO_TRADE</x:v>
      </x:c>
    </x:row>
    <x:row r="206">
      <x:c r="A206" s="66" t="n">
        <x:v>46167.51099537037</x:v>
      </x:c>
      <x:c r="B206" s="66" t="str">
        <x:v>MKT_1003</x:v>
      </x:c>
      <x:c r="C206" s="66" t="n">
        <x:v>46167.51388888889</x:v>
      </x:c>
      <x:c r="D206" t="n">
        <x:v>250</x:v>
      </x:c>
      <x:c r="E206" t="str">
        <x:v>YES</x:v>
      </x:c>
      <x:c r="F206" s="74" t="n">
        <x:v>0.52</x:v>
      </x:c>
      <x:c r="G206" s="74" t="n">
        <x:v>0.52</x:v>
      </x:c>
      <x:c r="H206" s="74" t="n">
        <x:v>0.535</x:v>
      </x:c>
      <x:c r="I206" s="74" t="n">
        <x:f>IF(E206="YES",H206,1-H206)</x:f>
        <x:v>0.535</x:v>
      </x:c>
      <x:c r="J206" s="76" t="n">
        <x:f>Assumptions!$C$12+Assumptions!$C$11*F206</x:f>
        <x:v>0.003</x:v>
      </x:c>
      <x:c r="K206" s="76" t="n">
        <x:f>I206-F206-J206</x:f>
        <x:v>0.012000000000000014</x:v>
      </x:c>
      <x:c r="L206" s="74" t="n">
        <x:f>MAX(0,IFERROR(K206/(1-F206),0))</x:f>
        <x:v>0.02500000000000003</x:v>
      </x:c>
      <x:c r="M206" s="74" t="n">
        <x:f>MIN(Assumptions!$C$8*L206,Assumptions!$C$5)</x:f>
        <x:v>0.005</x:v>
      </x:c>
      <x:c r="N206" s="78" t="n">
        <x:f>IF(ROW()=16,Assumptions!$C$4,V205)</x:f>
        <x:v>9927.496118077312</x:v>
      </x:c>
      <x:c r="O206" s="78" t="n">
        <x:f>IF(AND(K206&gt;IF(F206&gt;=Assumptions!$C$21,Assumptions!$C$10,Assumptions!$C$9),D206&gt;Assumptions!$C$23),N206*M206,0)</x:f>
        <x:v>49.63748059038656</x:v>
      </x:c>
      <x:c r="P206" s="78" t="n">
        <x:f>IFERROR(O206/F206,0)</x:f>
        <x:v>95.45669344305107</x:v>
      </x:c>
      <x:c r="Q206" s="78" t="n">
        <x:v>1</x:v>
      </x:c>
      <x:c r="R206" s="78" t="str">
        <x:v>Resolve</x:v>
      </x:c>
      <x:c r="S206" s="78" t="n">
        <x:f>IF(R206="Resolve",IF(IF(E206="YES",Q206,1-Q206)=1,P206*(1-F206),-O206),P206*(G206-F206))</x:f>
        <x:v>45.819212852664506</x:v>
      </x:c>
      <x:c r="T206" s="78" t="n">
        <x:f>P206*J206</x:f>
        <x:v>0.2863700803291532</x:v>
      </x:c>
      <x:c r="U206" s="78" t="n">
        <x:f>S206-T206</x:f>
        <x:v>45.53284277233535</x:v>
      </x:c>
      <x:c r="V206" s="78" t="n">
        <x:f>N206+U206</x:f>
        <x:v>9973.028960849648</x:v>
      </x:c>
      <x:c r="W206" s="74" t="n">
        <x:f>IFERROR(V206/MAX($V$16:V206)-1,0)</x:f>
        <x:v>-0.013141283522840608</x:v>
      </x:c>
      <x:c r="X206" t="str">
        <x:f>IF(O206&gt;0,"TRADE","NO_TRADE")</x:f>
        <x:v>TRADE</x:v>
      </x:c>
    </x:row>
    <x:row r="207">
      <x:c r="A207" s="66" t="n">
        <x:v>46167.51105324074</x:v>
      </x:c>
      <x:c r="B207" s="66" t="str">
        <x:v>MKT_1003</x:v>
      </x:c>
      <x:c r="C207" s="66" t="n">
        <x:v>46167.51388888889</x:v>
      </x:c>
      <x:c r="D207" t="n">
        <x:v>245</x:v>
      </x:c>
      <x:c r="E207" t="str">
        <x:v>YES</x:v>
      </x:c>
      <x:c r="F207" s="74" t="n">
        <x:v>0.61</x:v>
      </x:c>
      <x:c r="G207" s="74" t="n">
        <x:v>0.61</x:v>
      </x:c>
      <x:c r="H207" s="74" t="n">
        <x:v>0.63</x:v>
      </x:c>
      <x:c r="I207" s="74" t="n">
        <x:f>IF(E207="YES",H207,1-H207)</x:f>
        <x:v>0.63</x:v>
      </x:c>
      <x:c r="J207" s="76" t="n">
        <x:f>Assumptions!$C$12+Assumptions!$C$11*F207</x:f>
        <x:v>0.003</x:v>
      </x:c>
      <x:c r="K207" s="76" t="n">
        <x:f>I207-F207-J207</x:f>
        <x:v>0.01700000000000002</x:v>
      </x:c>
      <x:c r="L207" s="74" t="n">
        <x:f>MAX(0,IFERROR(K207/(1-F207),0))</x:f>
        <x:v>0.043589743589743636</x:v>
      </x:c>
      <x:c r="M207" s="74" t="n">
        <x:f>MIN(Assumptions!$C$8*L207,Assumptions!$C$5)</x:f>
        <x:v>0.005</x:v>
      </x:c>
      <x:c r="N207" s="78" t="n">
        <x:f>IF(ROW()=16,Assumptions!$C$4,V206)</x:f>
        <x:v>9973.028960849648</x:v>
      </x:c>
      <x:c r="O207" s="78" t="n">
        <x:f>IF(AND(K207&gt;IF(F207&gt;=Assumptions!$C$21,Assumptions!$C$10,Assumptions!$C$9),D207&gt;Assumptions!$C$23),N207*M207,0)</x:f>
        <x:v>49.86514480424824</x:v>
      </x:c>
      <x:c r="P207" s="78" t="n">
        <x:f>IFERROR(O207/F207,0)</x:f>
        <x:v>81.74613902335777</x:v>
      </x:c>
      <x:c r="Q207" s="78" t="n">
        <x:v>1</x:v>
      </x:c>
      <x:c r="R207" s="78" t="str">
        <x:v>Resolve</x:v>
      </x:c>
      <x:c r="S207" s="78" t="n">
        <x:f>IF(R207="Resolve",IF(IF(E207="YES",Q207,1-Q207)=1,P207*(1-F207),-O207),P207*(G207-F207))</x:f>
        <x:v>31.88099421910953</x:v>
      </x:c>
      <x:c r="T207" s="78" t="n">
        <x:f>P207*J207</x:f>
        <x:v>0.24523841707007332</x:v>
      </x:c>
      <x:c r="U207" s="78" t="n">
        <x:f>S207-T207</x:f>
        <x:v>31.63575580203946</x:v>
      </x:c>
      <x:c r="V207" s="78" t="n">
        <x:f>N207+U207</x:f>
        <x:v>10004.664716651687</x:v>
      </x:c>
      <x:c r="W207" s="74" t="n">
        <x:f>IFERROR(V207/MAX($V$16:V207)-1,0)</x:f>
        <x:v>-0.0100108382500812</x:v>
      </x:c>
      <x:c r="X207" t="str">
        <x:f>IF(O207&gt;0,"TRADE","NO_TRADE")</x:f>
        <x:v>TRADE</x:v>
      </x:c>
    </x:row>
    <x:row r="208">
      <x:c r="A208" s="66" t="n">
        <x:v>46167.51111111111</x:v>
      </x:c>
      <x:c r="B208" s="66" t="str">
        <x:v>MKT_1003</x:v>
      </x:c>
      <x:c r="C208" s="66" t="n">
        <x:v>46167.51388888889</x:v>
      </x:c>
      <x:c r="D208" t="n">
        <x:v>240</x:v>
      </x:c>
      <x:c r="E208" t="str">
        <x:v>NO</x:v>
      </x:c>
      <x:c r="F208" s="74" t="n">
        <x:v>0.74</x:v>
      </x:c>
      <x:c r="G208" s="74" t="n">
        <x:v>0.74</x:v>
      </x:c>
      <x:c r="H208" s="74" t="n">
        <x:v>0.735</x:v>
      </x:c>
      <x:c r="I208" s="74" t="n">
        <x:f>IF(E208="YES",H208,1-H208)</x:f>
        <x:v>0.265</x:v>
      </x:c>
      <x:c r="J208" s="76" t="n">
        <x:f>Assumptions!$C$12+Assumptions!$C$11*F208</x:f>
        <x:v>0.003</x:v>
      </x:c>
      <x:c r="K208" s="76" t="n">
        <x:f>I208-F208-J208</x:f>
        <x:v>-0.478</x:v>
      </x:c>
      <x:c r="L208" s="74" t="n">
        <x:f>MAX(0,IFERROR(K208/(1-F208),0))</x:f>
        <x:v>0</x:v>
      </x:c>
      <x:c r="M208" s="74" t="n">
        <x:f>MIN(Assumptions!$C$8*L208,Assumptions!$C$5)</x:f>
        <x:v>0</x:v>
      </x:c>
      <x:c r="N208" s="78" t="n">
        <x:f>IF(ROW()=16,Assumptions!$C$4,V207)</x:f>
        <x:v>10004.664716651687</x:v>
      </x:c>
      <x:c r="O208" s="78" t="n">
        <x:f>IF(AND(K208&gt;IF(F208&gt;=Assumptions!$C$21,Assumptions!$C$10,Assumptions!$C$9),D208&gt;Assumptions!$C$23),N208*M208,0)</x:f>
        <x:v>0</x:v>
      </x:c>
      <x:c r="P208" s="78" t="n">
        <x:f>IFERROR(O208/F208,0)</x:f>
        <x:v>0</x:v>
      </x:c>
      <x:c r="Q208" s="78" t="n">
        <x:v>0</x:v>
      </x:c>
      <x:c r="R208" s="78" t="str">
        <x:v>Resolve</x:v>
      </x:c>
      <x:c r="S208" s="78" t="n">
        <x:f>IF(R208="Resolve",IF(IF(E208="YES",Q208,1-Q208)=1,P208*(1-F208),-O208),P208*(G208-F208))</x:f>
        <x:v>0</x:v>
      </x:c>
      <x:c r="T208" s="78" t="n">
        <x:f>P208*J208</x:f>
        <x:v>0</x:v>
      </x:c>
      <x:c r="U208" s="78" t="n">
        <x:f>S208-T208</x:f>
        <x:v>0</x:v>
      </x:c>
      <x:c r="V208" s="78" t="n">
        <x:f>N208+U208</x:f>
        <x:v>10004.664716651687</x:v>
      </x:c>
      <x:c r="W208" s="74" t="n">
        <x:f>IFERROR(V208/MAX($V$16:V208)-1,0)</x:f>
        <x:v>-0.0100108382500812</x:v>
      </x:c>
      <x:c r="X208" t="str">
        <x:f>IF(O208&gt;0,"TRADE","NO_TRADE")</x:f>
        <x:v>NO_TRADE</x:v>
      </x:c>
    </x:row>
    <x:row r="209">
      <x:c r="A209" s="66" t="n">
        <x:v>46167.51116898148</x:v>
      </x:c>
      <x:c r="B209" s="66" t="str">
        <x:v>MKT_1003</x:v>
      </x:c>
      <x:c r="C209" s="66" t="n">
        <x:v>46167.51388888889</x:v>
      </x:c>
      <x:c r="D209" t="n">
        <x:v>235</x:v>
      </x:c>
      <x:c r="E209" t="str">
        <x:v>YES</x:v>
      </x:c>
      <x:c r="F209" s="74" t="n">
        <x:v>0.88</x:v>
      </x:c>
      <x:c r="G209" s="74" t="n">
        <x:v>0.88</x:v>
      </x:c>
      <x:c r="H209" s="74" t="n">
        <x:v>0.91</x:v>
      </x:c>
      <x:c r="I209" s="74" t="n">
        <x:f>IF(E209="YES",H209,1-H209)</x:f>
        <x:v>0.91</x:v>
      </x:c>
      <x:c r="J209" s="76" t="n">
        <x:f>Assumptions!$C$12+Assumptions!$C$11*F209</x:f>
        <x:v>0.003</x:v>
      </x:c>
      <x:c r="K209" s="76" t="n">
        <x:f>I209-F209-J209</x:f>
        <x:v>0.027000000000000027</x:v>
      </x:c>
      <x:c r="L209" s="74" t="n">
        <x:f>MAX(0,IFERROR(K209/(1-F209),0))</x:f>
        <x:v>0.22500000000000023</x:v>
      </x:c>
      <x:c r="M209" s="74" t="n">
        <x:f>MIN(Assumptions!$C$8*L209,Assumptions!$C$5)</x:f>
        <x:v>0.005</x:v>
      </x:c>
      <x:c r="N209" s="78" t="n">
        <x:f>IF(ROW()=16,Assumptions!$C$4,V208)</x:f>
        <x:v>10004.664716651687</x:v>
      </x:c>
      <x:c r="O209" s="78" t="n">
        <x:f>IF(AND(K209&gt;IF(F209&gt;=Assumptions!$C$21,Assumptions!$C$10,Assumptions!$C$9),D209&gt;Assumptions!$C$23),N209*M209,0)</x:f>
        <x:v>50.02332358325844</x:v>
      </x:c>
      <x:c r="P209" s="78" t="n">
        <x:f>IFERROR(O209/F209,0)</x:f>
        <x:v>56.84468589006641</x:v>
      </x:c>
      <x:c r="Q209" s="78" t="n">
        <x:v>1</x:v>
      </x:c>
      <x:c r="R209" s="78" t="str">
        <x:v>Resolve</x:v>
      </x:c>
      <x:c r="S209" s="78" t="n">
        <x:f>IF(R209="Resolve",IF(IF(E209="YES",Q209,1-Q209)=1,P209*(1-F209),-O209),P209*(G209-F209))</x:f>
        <x:v>6.821362306807969</x:v>
      </x:c>
      <x:c r="T209" s="78" t="n">
        <x:f>P209*J209</x:f>
        <x:v>0.17053405767019922</x:v>
      </x:c>
      <x:c r="U209" s="78" t="n">
        <x:f>S209-T209</x:f>
        <x:v>6.65082824913777</x:v>
      </x:c>
      <x:c r="V209" s="78" t="n">
        <x:f>N209+U209</x:f>
        <x:v>10011.315544900825</x:v>
      </x:c>
      <x:c r="W209" s="74" t="n">
        <x:f>IFERROR(V209/MAX($V$16:V209)-1,0)</x:f>
        <x:v>-0.009352720455054198</x:v>
      </x:c>
      <x:c r="X209" t="str">
        <x:f>IF(O209&gt;0,"TRADE","NO_TRADE")</x:f>
        <x:v>TRADE</x:v>
      </x:c>
    </x:row>
    <x:row r="210">
      <x:c r="A210" s="66" t="n">
        <x:v>46167.51122685185</x:v>
      </x:c>
      <x:c r="B210" s="66" t="str">
        <x:v>MKT_1003</x:v>
      </x:c>
      <x:c r="C210" s="66" t="n">
        <x:v>46167.51388888889</x:v>
      </x:c>
      <x:c r="D210" t="n">
        <x:v>230</x:v>
      </x:c>
      <x:c r="E210" t="str">
        <x:v>YES</x:v>
      </x:c>
      <x:c r="F210" s="74" t="n">
        <x:v>0.94</x:v>
      </x:c>
      <x:c r="G210" s="74" t="n">
        <x:v>0.94</x:v>
      </x:c>
      <x:c r="H210" s="74" t="n">
        <x:v>0.98</x:v>
      </x:c>
      <x:c r="I210" s="74" t="n">
        <x:f>IF(E210="YES",H210,1-H210)</x:f>
        <x:v>0.98</x:v>
      </x:c>
      <x:c r="J210" s="76" t="n">
        <x:f>Assumptions!$C$12+Assumptions!$C$11*F210</x:f>
        <x:v>0.003</x:v>
      </x:c>
      <x:c r="K210" s="76" t="n">
        <x:f>I210-F210-J210</x:f>
        <x:v>0.03700000000000003</x:v>
      </x:c>
      <x:c r="L210" s="74" t="n">
        <x:f>MAX(0,IFERROR(K210/(1-F210),0))</x:f>
        <x:v>0.6166666666666667</x:v>
      </x:c>
      <x:c r="M210" s="74" t="n">
        <x:f>MIN(Assumptions!$C$8*L210,Assumptions!$C$5)</x:f>
        <x:v>0.005</x:v>
      </x:c>
      <x:c r="N210" s="78" t="n">
        <x:f>IF(ROW()=16,Assumptions!$C$4,V209)</x:f>
        <x:v>10011.315544900825</x:v>
      </x:c>
      <x:c r="O210" s="78" t="n">
        <x:f>IF(AND(K210&gt;IF(F210&gt;=Assumptions!$C$21,Assumptions!$C$10,Assumptions!$C$9),D210&gt;Assumptions!$C$23),N210*M210,0)</x:f>
        <x:v>50.05657772450412</x:v>
      </x:c>
      <x:c r="P210" s="78" t="n">
        <x:f>IFERROR(O210/F210,0)</x:f>
        <x:v>53.25167843032354</x:v>
      </x:c>
      <x:c r="Q210" s="78" t="n">
        <x:v>1</x:v>
      </x:c>
      <x:c r="R210" s="78" t="str">
        <x:v>Resolve</x:v>
      </x:c>
      <x:c r="S210" s="78" t="n">
        <x:f>IF(R210="Resolve",IF(IF(E210="YES",Q210,1-Q210)=1,P210*(1-F210),-O210),P210*(G210-F210))</x:f>
        <x:v>3.195100705819415</x:v>
      </x:c>
      <x:c r="T210" s="78" t="n">
        <x:f>P210*J210</x:f>
        <x:v>0.15975503529097063</x:v>
      </x:c>
      <x:c r="U210" s="78" t="n">
        <x:f>S210-T210</x:f>
        <x:v>3.0353456705284443</x:v>
      </x:c>
      <x:c r="V210" s="78" t="n">
        <x:f>N210+U210</x:f>
        <x:v>10014.350890571353</x:v>
      </x:c>
      <x:c r="W210" s="74" t="n">
        <x:f>IFERROR(V210/MAX($V$16:V210)-1,0)</x:f>
        <x:v>-0.009052364630936838</x:v>
      </x:c>
      <x:c r="X210" t="str">
        <x:f>IF(O210&gt;0,"TRADE","NO_TRADE")</x:f>
        <x:v>TRADE</x:v>
      </x:c>
    </x:row>
    <x:row r="211">
      <x:c r="A211" s="66" t="n">
        <x:v>46167.51128472222</x:v>
      </x:c>
      <x:c r="B211" s="66" t="str">
        <x:v>MKT_1003</x:v>
      </x:c>
      <x:c r="C211" s="66" t="n">
        <x:v>46167.51388888889</x:v>
      </x:c>
      <x:c r="D211" t="n">
        <x:v>225</x:v>
      </x:c>
      <x:c r="E211" t="str">
        <x:v>NO</x:v>
      </x:c>
      <x:c r="F211" s="74" t="n">
        <x:v>0.95</x:v>
      </x:c>
      <x:c r="G211" s="74" t="n">
        <x:v>0.95</x:v>
      </x:c>
      <x:c r="H211" s="74" t="n">
        <x:v>0.968</x:v>
      </x:c>
      <x:c r="I211" s="74" t="n">
        <x:f>IF(E211="YES",H211,1-H211)</x:f>
        <x:v>0.03200000000000003</x:v>
      </x:c>
      <x:c r="J211" s="76" t="n">
        <x:f>Assumptions!$C$12+Assumptions!$C$11*F211</x:f>
        <x:v>0.003</x:v>
      </x:c>
      <x:c r="K211" s="76" t="n">
        <x:f>I211-F211-J211</x:f>
        <x:v>-0.9209999999999999</x:v>
      </x:c>
      <x:c r="L211" s="74" t="n">
        <x:f>MAX(0,IFERROR(K211/(1-F211),0))</x:f>
        <x:v>0</x:v>
      </x:c>
      <x:c r="M211" s="74" t="n">
        <x:f>MIN(Assumptions!$C$8*L211,Assumptions!$C$5)</x:f>
        <x:v>0</x:v>
      </x:c>
      <x:c r="N211" s="78" t="n">
        <x:f>IF(ROW()=16,Assumptions!$C$4,V210)</x:f>
        <x:v>10014.350890571353</x:v>
      </x:c>
      <x:c r="O211" s="78" t="n">
        <x:f>IF(AND(K211&gt;IF(F211&gt;=Assumptions!$C$21,Assumptions!$C$10,Assumptions!$C$9),D211&gt;Assumptions!$C$23),N211*M211,0)</x:f>
        <x:v>0</x:v>
      </x:c>
      <x:c r="P211" s="78" t="n">
        <x:f>IFERROR(O211/F211,0)</x:f>
        <x:v>0</x:v>
      </x:c>
      <x:c r="Q211" s="78" t="n">
        <x:v>1</x:v>
      </x:c>
      <x:c r="R211" s="78" t="str">
        <x:v>Resolve</x:v>
      </x:c>
      <x:c r="S211" s="78" t="n">
        <x:f>IF(R211="Resolve",IF(IF(E211="YES",Q211,1-Q211)=1,P211*(1-F211),-O211),P211*(G211-F211))</x:f>
        <x:v>0</x:v>
      </x:c>
      <x:c r="T211" s="78" t="n">
        <x:f>P211*J211</x:f>
        <x:v>0</x:v>
      </x:c>
      <x:c r="U211" s="78" t="n">
        <x:f>S211-T211</x:f>
        <x:v>0</x:v>
      </x:c>
      <x:c r="V211" s="78" t="n">
        <x:f>N211+U211</x:f>
        <x:v>10014.350890571353</x:v>
      </x:c>
      <x:c r="W211" s="74" t="n">
        <x:f>IFERROR(V211/MAX($V$16:V211)-1,0)</x:f>
        <x:v>-0.009052364630936838</x:v>
      </x:c>
      <x:c r="X211" t="str">
        <x:f>IF(O211&gt;0,"TRADE","NO_TRADE")</x:f>
        <x:v>NO_TRADE</x:v>
      </x:c>
    </x:row>
    <x:row r="212">
      <x:c r="A212" s="66" t="n">
        <x:v>46167.511342592596</x:v>
      </x:c>
      <x:c r="B212" s="66" t="str">
        <x:v>MKT_1003</x:v>
      </x:c>
      <x:c r="C212" s="66" t="n">
        <x:v>46167.51388888889</x:v>
      </x:c>
      <x:c r="D212" t="n">
        <x:v>220</x:v>
      </x:c>
      <x:c r="E212" t="str">
        <x:v>YES</x:v>
      </x:c>
      <x:c r="F212" s="74" t="n">
        <x:v>0.57</x:v>
      </x:c>
      <x:c r="G212" s="74" t="n">
        <x:v>0.57</x:v>
      </x:c>
      <x:c r="H212" s="74" t="n">
        <x:v>0.582</x:v>
      </x:c>
      <x:c r="I212" s="74" t="n">
        <x:f>IF(E212="YES",H212,1-H212)</x:f>
        <x:v>0.582</x:v>
      </x:c>
      <x:c r="J212" s="76" t="n">
        <x:f>Assumptions!$C$12+Assumptions!$C$11*F212</x:f>
        <x:v>0.003</x:v>
      </x:c>
      <x:c r="K212" s="76" t="n">
        <x:f>I212-F212-J212</x:f>
        <x:v>0.009000000000000011</x:v>
      </x:c>
      <x:c r="L212" s="74" t="n">
        <x:f>MAX(0,IFERROR(K212/(1-F212),0))</x:f>
        <x:v>0.02093023255813956</x:v>
      </x:c>
      <x:c r="M212" s="74" t="n">
        <x:f>MIN(Assumptions!$C$8*L212,Assumptions!$C$5)</x:f>
        <x:v>0.005</x:v>
      </x:c>
      <x:c r="N212" s="78" t="n">
        <x:f>IF(ROW()=16,Assumptions!$C$4,V211)</x:f>
        <x:v>10014.350890571353</x:v>
      </x:c>
      <x:c r="O212" s="78" t="n">
        <x:f>IF(AND(K212&gt;IF(F212&gt;=Assumptions!$C$21,Assumptions!$C$10,Assumptions!$C$9),D212&gt;Assumptions!$C$23),N212*M212,0)</x:f>
        <x:v>50.071754452856766</x:v>
      </x:c>
      <x:c r="P212" s="78" t="n">
        <x:f>IFERROR(O212/F212,0)</x:f>
        <x:v>87.84518325062591</x:v>
      </x:c>
      <x:c r="Q212" s="78" t="n">
        <x:v>0</x:v>
      </x:c>
      <x:c r="R212" s="78" t="str">
        <x:v>Resolve</x:v>
      </x:c>
      <x:c r="S212" s="78" t="n">
        <x:f>IF(R212="Resolve",IF(IF(E212="YES",Q212,1-Q212)=1,P212*(1-F212),-O212),P212*(G212-F212))</x:f>
        <x:v>-50.071754452856766</x:v>
      </x:c>
      <x:c r="T212" s="78" t="n">
        <x:f>P212*J212</x:f>
        <x:v>0.2635355497518777</x:v>
      </x:c>
      <x:c r="U212" s="78" t="n">
        <x:f>S212-T212</x:f>
        <x:v>-50.335290002608644</x:v>
      </x:c>
      <x:c r="V212" s="78" t="n">
        <x:f>N212+U212</x:f>
        <x:v>9964.015600568744</x:v>
      </x:c>
      <x:c r="W212" s="74" t="n">
        <x:f>IFERROR(V212/MAX($V$16:V212)-1,0)</x:f>
        <x:v>-0.01403318037713408</x:v>
      </x:c>
      <x:c r="X212" t="str">
        <x:f>IF(O212&gt;0,"TRADE","NO_TRADE")</x:f>
        <x:v>TRADE</x:v>
      </x:c>
    </x:row>
    <x:row r="213">
      <x:c r="A213" s="66" t="n">
        <x:v>46167.511400462965</x:v>
      </x:c>
      <x:c r="B213" s="66" t="str">
        <x:v>MKT_1003</x:v>
      </x:c>
      <x:c r="C213" s="66" t="n">
        <x:v>46167.51388888889</x:v>
      </x:c>
      <x:c r="D213" t="n">
        <x:v>215</x:v>
      </x:c>
      <x:c r="E213" t="str">
        <x:v>YES</x:v>
      </x:c>
      <x:c r="F213" s="74" t="n">
        <x:v>0.68</x:v>
      </x:c>
      <x:c r="G213" s="74" t="n">
        <x:v>0.68</x:v>
      </x:c>
      <x:c r="H213" s="74" t="n">
        <x:v>0.7050000000000001</x:v>
      </x:c>
      <x:c r="I213" s="74" t="n">
        <x:f>IF(E213="YES",H213,1-H213)</x:f>
        <x:v>0.7050000000000001</x:v>
      </x:c>
      <x:c r="J213" s="76" t="n">
        <x:f>Assumptions!$C$12+Assumptions!$C$11*F213</x:f>
        <x:v>0.003</x:v>
      </x:c>
      <x:c r="K213" s="76" t="n">
        <x:f>I213-F213-J213</x:f>
        <x:v>0.022000000000000023</x:v>
      </x:c>
      <x:c r="L213" s="74" t="n">
        <x:f>MAX(0,IFERROR(K213/(1-F213),0))</x:f>
        <x:v>0.06875000000000009</x:v>
      </x:c>
      <x:c r="M213" s="74" t="n">
        <x:f>MIN(Assumptions!$C$8*L213,Assumptions!$C$5)</x:f>
        <x:v>0.005</x:v>
      </x:c>
      <x:c r="N213" s="78" t="n">
        <x:f>IF(ROW()=16,Assumptions!$C$4,V212)</x:f>
        <x:v>9964.015600568744</x:v>
      </x:c>
      <x:c r="O213" s="78" t="n">
        <x:f>IF(AND(K213&gt;IF(F213&gt;=Assumptions!$C$21,Assumptions!$C$10,Assumptions!$C$9),D213&gt;Assumptions!$C$23),N213*M213,0)</x:f>
        <x:v>49.82007800284372</x:v>
      </x:c>
      <x:c r="P213" s="78" t="n">
        <x:f>IFERROR(O213/F213,0)</x:f>
        <x:v>73.26482059241724</x:v>
      </x:c>
      <x:c r="Q213" s="78" t="n">
        <x:v>1</x:v>
      </x:c>
      <x:c r="R213" s="78" t="str">
        <x:v>Resolve</x:v>
      </x:c>
      <x:c r="S213" s="78" t="n">
        <x:f>IF(R213="Resolve",IF(IF(E213="YES",Q213,1-Q213)=1,P213*(1-F213),-O213),P213*(G213-F213))</x:f>
        <x:v>23.44474258957351</x:v>
      </x:c>
      <x:c r="T213" s="78" t="n">
        <x:f>P213*J213</x:f>
        <x:v>0.2197944617772517</x:v>
      </x:c>
      <x:c r="U213" s="78" t="n">
        <x:f>S213-T213</x:f>
        <x:v>23.22494812779626</x:v>
      </x:c>
      <x:c r="V213" s="78" t="n">
        <x:f>N213+U213</x:f>
        <x:v>9987.24054869654</x:v>
      </x:c>
      <x:c r="W213" s="74" t="n">
        <x:f>IFERROR(V213/MAX($V$16:V213)-1,0)</x:f>
        <x:v>-0.011735007716689672</x:v>
      </x:c>
      <x:c r="X213" t="str">
        <x:f>IF(O213&gt;0,"TRADE","NO_TRADE")</x:f>
        <x:v>TRADE</x:v>
      </x:c>
    </x:row>
    <x:row r="214">
      <x:c r="A214" s="66" t="n">
        <x:v>46167.511458333334</x:v>
      </x:c>
      <x:c r="B214" s="66" t="str">
        <x:v>MKT_1003</x:v>
      </x:c>
      <x:c r="C214" s="66" t="n">
        <x:v>46167.51388888889</x:v>
      </x:c>
      <x:c r="D214" t="n">
        <x:v>210</x:v>
      </x:c>
      <x:c r="E214" t="str">
        <x:v>NO</x:v>
      </x:c>
      <x:c r="F214" s="74" t="n">
        <x:v>0.91</x:v>
      </x:c>
      <x:c r="G214" s="74" t="n">
        <x:v>0.91</x:v>
      </x:c>
      <x:c r="H214" s="74" t="n">
        <x:v>0.9450000000000001</x:v>
      </x:c>
      <x:c r="I214" s="74" t="n">
        <x:f>IF(E214="YES",H214,1-H214)</x:f>
        <x:v>0.05499999999999994</x:v>
      </x:c>
      <x:c r="J214" s="76" t="n">
        <x:f>Assumptions!$C$12+Assumptions!$C$11*F214</x:f>
        <x:v>0.003</x:v>
      </x:c>
      <x:c r="K214" s="76" t="n">
        <x:f>I214-F214-J214</x:f>
        <x:v>-0.8580000000000001</x:v>
      </x:c>
      <x:c r="L214" s="74" t="n">
        <x:f>MAX(0,IFERROR(K214/(1-F214),0))</x:f>
        <x:v>0</x:v>
      </x:c>
      <x:c r="M214" s="74" t="n">
        <x:f>MIN(Assumptions!$C$8*L214,Assumptions!$C$5)</x:f>
        <x:v>0</x:v>
      </x:c>
      <x:c r="N214" s="78" t="n">
        <x:f>IF(ROW()=16,Assumptions!$C$4,V213)</x:f>
        <x:v>9987.24054869654</x:v>
      </x:c>
      <x:c r="O214" s="78" t="n">
        <x:f>IF(AND(K214&gt;IF(F214&gt;=Assumptions!$C$21,Assumptions!$C$10,Assumptions!$C$9),D214&gt;Assumptions!$C$23),N214*M214,0)</x:f>
        <x:v>0</x:v>
      </x:c>
      <x:c r="P214" s="78" t="n">
        <x:f>IFERROR(O214/F214,0)</x:f>
        <x:v>0</x:v>
      </x:c>
      <x:c r="Q214" s="78" t="n">
        <x:v>1</x:v>
      </x:c>
      <x:c r="R214" s="78" t="str">
        <x:v>Resolve</x:v>
      </x:c>
      <x:c r="S214" s="78" t="n">
        <x:f>IF(R214="Resolve",IF(IF(E214="YES",Q214,1-Q214)=1,P214*(1-F214),-O214),P214*(G214-F214))</x:f>
        <x:v>0</x:v>
      </x:c>
      <x:c r="T214" s="78" t="n">
        <x:f>P214*J214</x:f>
        <x:v>0</x:v>
      </x:c>
      <x:c r="U214" s="78" t="n">
        <x:f>S214-T214</x:f>
        <x:v>0</x:v>
      </x:c>
      <x:c r="V214" s="78" t="n">
        <x:f>N214+U214</x:f>
        <x:v>9987.24054869654</x:v>
      </x:c>
      <x:c r="W214" s="74" t="n">
        <x:f>IFERROR(V214/MAX($V$16:V214)-1,0)</x:f>
        <x:v>-0.011735007716689672</x:v>
      </x:c>
      <x:c r="X214" t="str">
        <x:f>IF(O214&gt;0,"TRADE","NO_TRADE")</x:f>
        <x:v>NO_TRADE</x:v>
      </x:c>
    </x:row>
    <x:row r="215">
      <x:c r="A215" s="66" t="n">
        <x:v>46167.511516203704</x:v>
      </x:c>
      <x:c r="B215" s="66" t="str">
        <x:v>MKT_1003</x:v>
      </x:c>
      <x:c r="C215" s="66" t="n">
        <x:v>46167.51388888889</x:v>
      </x:c>
      <x:c r="D215" t="n">
        <x:v>205</x:v>
      </x:c>
      <x:c r="E215" t="str">
        <x:v>YES</x:v>
      </x:c>
      <x:c r="F215" s="74" t="n">
        <x:v>0.83</x:v>
      </x:c>
      <x:c r="G215" s="74" t="n">
        <x:v>0.83</x:v>
      </x:c>
      <x:c r="H215" s="74" t="n">
        <x:v>0.82</x:v>
      </x:c>
      <x:c r="I215" s="74" t="n">
        <x:f>IF(E215="YES",H215,1-H215)</x:f>
        <x:v>0.82</x:v>
      </x:c>
      <x:c r="J215" s="76" t="n">
        <x:f>Assumptions!$C$12+Assumptions!$C$11*F215</x:f>
        <x:v>0.003</x:v>
      </x:c>
      <x:c r="K215" s="76" t="n">
        <x:f>I215-F215-J215</x:f>
        <x:v>-0.013000000000000008</x:v>
      </x:c>
      <x:c r="L215" s="74" t="n">
        <x:f>MAX(0,IFERROR(K215/(1-F215),0))</x:f>
        <x:v>0</x:v>
      </x:c>
      <x:c r="M215" s="74" t="n">
        <x:f>MIN(Assumptions!$C$8*L215,Assumptions!$C$5)</x:f>
        <x:v>0</x:v>
      </x:c>
      <x:c r="N215" s="78" t="n">
        <x:f>IF(ROW()=16,Assumptions!$C$4,V214)</x:f>
        <x:v>9987.24054869654</x:v>
      </x:c>
      <x:c r="O215" s="78" t="n">
        <x:f>IF(AND(K215&gt;IF(F215&gt;=Assumptions!$C$21,Assumptions!$C$10,Assumptions!$C$9),D215&gt;Assumptions!$C$23),N215*M215,0)</x:f>
        <x:v>0</x:v>
      </x:c>
      <x:c r="P215" s="78" t="n">
        <x:f>IFERROR(O215/F215,0)</x:f>
        <x:v>0</x:v>
      </x:c>
      <x:c r="Q215" s="78" t="n">
        <x:v>0</x:v>
      </x:c>
      <x:c r="R215" s="78" t="str">
        <x:v>Resolve</x:v>
      </x:c>
      <x:c r="S215" s="78" t="n">
        <x:f>IF(R215="Resolve",IF(IF(E215="YES",Q215,1-Q215)=1,P215*(1-F215),-O215),P215*(G215-F215))</x:f>
        <x:v>0</x:v>
      </x:c>
      <x:c r="T215" s="78" t="n">
        <x:f>P215*J215</x:f>
        <x:v>0</x:v>
      </x:c>
      <x:c r="U215" s="78" t="n">
        <x:f>S215-T215</x:f>
        <x:v>0</x:v>
      </x:c>
      <x:c r="V215" s="78" t="n">
        <x:f>N215+U215</x:f>
        <x:v>9987.24054869654</x:v>
      </x:c>
      <x:c r="W215" s="74" t="n">
        <x:f>IFERROR(V215/MAX($V$16:V215)-1,0)</x:f>
        <x:v>-0.011735007716689672</x:v>
      </x:c>
      <x:c r="X215" t="str">
        <x:f>IF(O215&gt;0,"TRADE","NO_TRADE")</x:f>
        <x:v>NO_TRADE</x:v>
      </x:c>
    </x:row>
    <x:row r="216">
      <x:c r="A216" s="66" t="n">
        <x:v>46167.51157407407</x:v>
      </x:c>
      <x:c r="B216" s="66" t="str">
        <x:v>MKT_1003</x:v>
      </x:c>
      <x:c r="C216" s="66" t="n">
        <x:v>46167.51388888889</x:v>
      </x:c>
      <x:c r="D216" t="n">
        <x:v>200</x:v>
      </x:c>
      <x:c r="E216" t="str">
        <x:v>YES</x:v>
      </x:c>
      <x:c r="F216" s="74" t="n">
        <x:v>0.52</x:v>
      </x:c>
      <x:c r="G216" s="74" t="n">
        <x:v>0.52</x:v>
      </x:c>
      <x:c r="H216" s="74" t="n">
        <x:v>0.535</x:v>
      </x:c>
      <x:c r="I216" s="74" t="n">
        <x:f>IF(E216="YES",H216,1-H216)</x:f>
        <x:v>0.535</x:v>
      </x:c>
      <x:c r="J216" s="76" t="n">
        <x:f>Assumptions!$C$12+Assumptions!$C$11*F216</x:f>
        <x:v>0.003</x:v>
      </x:c>
      <x:c r="K216" s="76" t="n">
        <x:f>I216-F216-J216</x:f>
        <x:v>0.012000000000000014</x:v>
      </x:c>
      <x:c r="L216" s="74" t="n">
        <x:f>MAX(0,IFERROR(K216/(1-F216),0))</x:f>
        <x:v>0.02500000000000003</x:v>
      </x:c>
      <x:c r="M216" s="74" t="n">
        <x:f>MIN(Assumptions!$C$8*L216,Assumptions!$C$5)</x:f>
        <x:v>0.005</x:v>
      </x:c>
      <x:c r="N216" s="78" t="n">
        <x:f>IF(ROW()=16,Assumptions!$C$4,V215)</x:f>
        <x:v>9987.24054869654</x:v>
      </x:c>
      <x:c r="O216" s="78" t="n">
        <x:f>IF(AND(K216&gt;IF(F216&gt;=Assumptions!$C$21,Assumptions!$C$10,Assumptions!$C$9),D216&gt;Assumptions!$C$23),N216*M216,0)</x:f>
        <x:v>49.9362027434827</x:v>
      </x:c>
      <x:c r="P216" s="78" t="n">
        <x:f>IFERROR(O216/F216,0)</x:f>
        <x:v>96.03115912208212</x:v>
      </x:c>
      <x:c r="Q216" s="78" t="n">
        <x:v>1</x:v>
      </x:c>
      <x:c r="R216" s="78" t="str">
        <x:v>Resolve</x:v>
      </x:c>
      <x:c r="S216" s="78" t="n">
        <x:f>IF(R216="Resolve",IF(IF(E216="YES",Q216,1-Q216)=1,P216*(1-F216),-O216),P216*(G216-F216))</x:f>
        <x:v>46.09495637859941</x:v>
      </x:c>
      <x:c r="T216" s="78" t="n">
        <x:f>P216*J216</x:f>
        <x:v>0.28809347736624635</x:v>
      </x:c>
      <x:c r="U216" s="78" t="n">
        <x:f>S216-T216</x:f>
        <x:v>45.80686290123317</x:v>
      </x:c>
      <x:c r="V216" s="78" t="n">
        <x:f>N216+U216</x:f>
        <x:v>10033.047411597772</x:v>
      </x:c>
      <x:c r="W216" s="74" t="n">
        <x:f>IFERROR(V216/MAX($V$16:V216)-1,0)</x:f>
        <x:v>-0.007202292319390291</x:v>
      </x:c>
      <x:c r="X216" t="str">
        <x:f>IF(O216&gt;0,"TRADE","NO_TRADE")</x:f>
        <x:v>TRADE</x:v>
      </x:c>
    </x:row>
    <x:row r="217">
      <x:c r="A217" s="66" t="n">
        <x:v>46167.51163194444</x:v>
      </x:c>
      <x:c r="B217" s="66" t="str">
        <x:v>MKT_1003</x:v>
      </x:c>
      <x:c r="C217" s="66" t="n">
        <x:v>46167.51388888889</x:v>
      </x:c>
      <x:c r="D217" t="n">
        <x:v>195</x:v>
      </x:c>
      <x:c r="E217" t="str">
        <x:v>NO</x:v>
      </x:c>
      <x:c r="F217" s="74" t="n">
        <x:v>0.61</x:v>
      </x:c>
      <x:c r="G217" s="74" t="n">
        <x:v>0.61</x:v>
      </x:c>
      <x:c r="H217" s="74" t="n">
        <x:v>0.63</x:v>
      </x:c>
      <x:c r="I217" s="74" t="n">
        <x:f>IF(E217="YES",H217,1-H217)</x:f>
        <x:v>0.37</x:v>
      </x:c>
      <x:c r="J217" s="76" t="n">
        <x:f>Assumptions!$C$12+Assumptions!$C$11*F217</x:f>
        <x:v>0.003</x:v>
      </x:c>
      <x:c r="K217" s="76" t="n">
        <x:f>I217-F217-J217</x:f>
        <x:v>-0.243</x:v>
      </x:c>
      <x:c r="L217" s="74" t="n">
        <x:f>MAX(0,IFERROR(K217/(1-F217),0))</x:f>
        <x:v>0</x:v>
      </x:c>
      <x:c r="M217" s="74" t="n">
        <x:f>MIN(Assumptions!$C$8*L217,Assumptions!$C$5)</x:f>
        <x:v>0</x:v>
      </x:c>
      <x:c r="N217" s="78" t="n">
        <x:f>IF(ROW()=16,Assumptions!$C$4,V216)</x:f>
        <x:v>10033.047411597772</x:v>
      </x:c>
      <x:c r="O217" s="78" t="n">
        <x:f>IF(AND(K217&gt;IF(F217&gt;=Assumptions!$C$21,Assumptions!$C$10,Assumptions!$C$9),D217&gt;Assumptions!$C$23),N217*M217,0)</x:f>
        <x:v>0</x:v>
      </x:c>
      <x:c r="P217" s="78" t="n">
        <x:f>IFERROR(O217/F217,0)</x:f>
        <x:v>0</x:v>
      </x:c>
      <x:c r="Q217" s="78" t="n">
        <x:v>1</x:v>
      </x:c>
      <x:c r="R217" s="78" t="str">
        <x:v>Resolve</x:v>
      </x:c>
      <x:c r="S217" s="78" t="n">
        <x:f>IF(R217="Resolve",IF(IF(E217="YES",Q217,1-Q217)=1,P217*(1-F217),-O217),P217*(G217-F217))</x:f>
        <x:v>0</x:v>
      </x:c>
      <x:c r="T217" s="78" t="n">
        <x:f>P217*J217</x:f>
        <x:v>0</x:v>
      </x:c>
      <x:c r="U217" s="78" t="n">
        <x:f>S217-T217</x:f>
        <x:v>0</x:v>
      </x:c>
      <x:c r="V217" s="78" t="n">
        <x:f>N217+U217</x:f>
        <x:v>10033.047411597772</x:v>
      </x:c>
      <x:c r="W217" s="74" t="n">
        <x:f>IFERROR(V217/MAX($V$16:V217)-1,0)</x:f>
        <x:v>-0.007202292319390291</x:v>
      </x:c>
      <x:c r="X217" t="str">
        <x:f>IF(O217&gt;0,"TRADE","NO_TRADE")</x:f>
        <x:v>NO_TRADE</x:v>
      </x:c>
    </x:row>
    <x:row r="218">
      <x:c r="A218" s="66" t="n">
        <x:v>46167.51168981481</x:v>
      </x:c>
      <x:c r="B218" s="66" t="str">
        <x:v>MKT_1003</x:v>
      </x:c>
      <x:c r="C218" s="66" t="n">
        <x:v>46167.51388888889</x:v>
      </x:c>
      <x:c r="D218" t="n">
        <x:v>190</x:v>
      </x:c>
      <x:c r="E218" t="str">
        <x:v>YES</x:v>
      </x:c>
      <x:c r="F218" s="74" t="n">
        <x:v>0.74</x:v>
      </x:c>
      <x:c r="G218" s="74" t="n">
        <x:v>0.74</x:v>
      </x:c>
      <x:c r="H218" s="74" t="n">
        <x:v>0.735</x:v>
      </x:c>
      <x:c r="I218" s="74" t="n">
        <x:f>IF(E218="YES",H218,1-H218)</x:f>
        <x:v>0.735</x:v>
      </x:c>
      <x:c r="J218" s="76" t="n">
        <x:f>Assumptions!$C$12+Assumptions!$C$11*F218</x:f>
        <x:v>0.003</x:v>
      </x:c>
      <x:c r="K218" s="76" t="n">
        <x:f>I218-F218-J218</x:f>
        <x:v>-0.008000000000000004</x:v>
      </x:c>
      <x:c r="L218" s="74" t="n">
        <x:f>MAX(0,IFERROR(K218/(1-F218),0))</x:f>
        <x:v>0</x:v>
      </x:c>
      <x:c r="M218" s="74" t="n">
        <x:f>MIN(Assumptions!$C$8*L218,Assumptions!$C$5)</x:f>
        <x:v>0</x:v>
      </x:c>
      <x:c r="N218" s="78" t="n">
        <x:f>IF(ROW()=16,Assumptions!$C$4,V217)</x:f>
        <x:v>10033.047411597772</x:v>
      </x:c>
      <x:c r="O218" s="78" t="n">
        <x:f>IF(AND(K218&gt;IF(F218&gt;=Assumptions!$C$21,Assumptions!$C$10,Assumptions!$C$9),D218&gt;Assumptions!$C$23),N218*M218,0)</x:f>
        <x:v>0</x:v>
      </x:c>
      <x:c r="P218" s="78" t="n">
        <x:f>IFERROR(O218/F218,0)</x:f>
        <x:v>0</x:v>
      </x:c>
      <x:c r="Q218" s="78" t="n">
        <x:v>1</x:v>
      </x:c>
      <x:c r="R218" s="78" t="str">
        <x:v>Resolve</x:v>
      </x:c>
      <x:c r="S218" s="78" t="n">
        <x:f>IF(R218="Resolve",IF(IF(E218="YES",Q218,1-Q218)=1,P218*(1-F218),-O218),P218*(G218-F218))</x:f>
        <x:v>0</x:v>
      </x:c>
      <x:c r="T218" s="78" t="n">
        <x:f>P218*J218</x:f>
        <x:v>0</x:v>
      </x:c>
      <x:c r="U218" s="78" t="n">
        <x:f>S218-T218</x:f>
        <x:v>0</x:v>
      </x:c>
      <x:c r="V218" s="78" t="n">
        <x:f>N218+U218</x:f>
        <x:v>10033.047411597772</x:v>
      </x:c>
      <x:c r="W218" s="74" t="n">
        <x:f>IFERROR(V218/MAX($V$16:V218)-1,0)</x:f>
        <x:v>-0.007202292319390291</x:v>
      </x:c>
      <x:c r="X218" t="str">
        <x:f>IF(O218&gt;0,"TRADE","NO_TRADE")</x:f>
        <x:v>NO_TRADE</x:v>
      </x:c>
    </x:row>
    <x:row r="219">
      <x:c r="A219" s="66" t="n">
        <x:v>46167.51174768519</x:v>
      </x:c>
      <x:c r="B219" s="66" t="str">
        <x:v>MKT_1003</x:v>
      </x:c>
      <x:c r="C219" s="66" t="n">
        <x:v>46167.51388888889</x:v>
      </x:c>
      <x:c r="D219" t="n">
        <x:v>185</x:v>
      </x:c>
      <x:c r="E219" t="str">
        <x:v>YES</x:v>
      </x:c>
      <x:c r="F219" s="74" t="n">
        <x:v>0.88</x:v>
      </x:c>
      <x:c r="G219" s="74" t="n">
        <x:v>0.88</x:v>
      </x:c>
      <x:c r="H219" s="74" t="n">
        <x:v>0.91</x:v>
      </x:c>
      <x:c r="I219" s="74" t="n">
        <x:f>IF(E219="YES",H219,1-H219)</x:f>
        <x:v>0.91</x:v>
      </x:c>
      <x:c r="J219" s="76" t="n">
        <x:f>Assumptions!$C$12+Assumptions!$C$11*F219</x:f>
        <x:v>0.003</x:v>
      </x:c>
      <x:c r="K219" s="76" t="n">
        <x:f>I219-F219-J219</x:f>
        <x:v>0.027000000000000027</x:v>
      </x:c>
      <x:c r="L219" s="74" t="n">
        <x:f>MAX(0,IFERROR(K219/(1-F219),0))</x:f>
        <x:v>0.22500000000000023</x:v>
      </x:c>
      <x:c r="M219" s="74" t="n">
        <x:f>MIN(Assumptions!$C$8*L219,Assumptions!$C$5)</x:f>
        <x:v>0.005</x:v>
      </x:c>
      <x:c r="N219" s="78" t="n">
        <x:f>IF(ROW()=16,Assumptions!$C$4,V218)</x:f>
        <x:v>10033.047411597772</x:v>
      </x:c>
      <x:c r="O219" s="78" t="n">
        <x:f>IF(AND(K219&gt;IF(F219&gt;=Assumptions!$C$21,Assumptions!$C$10,Assumptions!$C$9),D219&gt;Assumptions!$C$23),N219*M219,0)</x:f>
        <x:v>50.16523705798886</x:v>
      </x:c>
      <x:c r="P219" s="78" t="n">
        <x:f>IFERROR(O219/F219,0)</x:f>
        <x:v>57.00595120226007</x:v>
      </x:c>
      <x:c r="Q219" s="78" t="n">
        <x:v>0</x:v>
      </x:c>
      <x:c r="R219" s="78" t="str">
        <x:v>Resolve</x:v>
      </x:c>
      <x:c r="S219" s="78" t="n">
        <x:f>IF(R219="Resolve",IF(IF(E219="YES",Q219,1-Q219)=1,P219*(1-F219),-O219),P219*(G219-F219))</x:f>
        <x:v>-50.16523705798886</x:v>
      </x:c>
      <x:c r="T219" s="78" t="n">
        <x:f>P219*J219</x:f>
        <x:v>0.1710178536067802</x:v>
      </x:c>
      <x:c r="U219" s="78" t="n">
        <x:f>S219-T219</x:f>
        <x:v>-50.33625491159564</x:v>
      </x:c>
      <x:c r="V219" s="78" t="n">
        <x:f>N219+U219</x:f>
        <x:v>9982.711156686177</x:v>
      </x:c>
      <x:c r="W219" s="74" t="n">
        <x:f>IFERROR(V219/MAX($V$16:V219)-1,0)</x:f>
        <x:v>-0.01218320354599245</x:v>
      </x:c>
      <x:c r="X219" t="str">
        <x:f>IF(O219&gt;0,"TRADE","NO_TRADE")</x:f>
        <x:v>TRADE</x:v>
      </x:c>
    </x:row>
    <x:row r="220">
      <x:c r="A220" s="66" t="n">
        <x:v>46167.51180555556</x:v>
      </x:c>
      <x:c r="B220" s="66" t="str">
        <x:v>MKT_1003</x:v>
      </x:c>
      <x:c r="C220" s="66" t="n">
        <x:v>46167.51388888889</x:v>
      </x:c>
      <x:c r="D220" t="n">
        <x:v>180</x:v>
      </x:c>
      <x:c r="E220" t="str">
        <x:v>NO</x:v>
      </x:c>
      <x:c r="F220" s="74" t="n">
        <x:v>0.94</x:v>
      </x:c>
      <x:c r="G220" s="74" t="n">
        <x:v>0.94</x:v>
      </x:c>
      <x:c r="H220" s="74" t="n">
        <x:v>0.98</x:v>
      </x:c>
      <x:c r="I220" s="74" t="n">
        <x:f>IF(E220="YES",H220,1-H220)</x:f>
        <x:v>0.020000000000000018</x:v>
      </x:c>
      <x:c r="J220" s="76" t="n">
        <x:f>Assumptions!$C$12+Assumptions!$C$11*F220</x:f>
        <x:v>0.003</x:v>
      </x:c>
      <x:c r="K220" s="76" t="n">
        <x:f>I220-F220-J220</x:f>
        <x:v>-0.9229999999999999</x:v>
      </x:c>
      <x:c r="L220" s="74" t="n">
        <x:f>MAX(0,IFERROR(K220/(1-F220),0))</x:f>
        <x:v>0</x:v>
      </x:c>
      <x:c r="M220" s="74" t="n">
        <x:f>MIN(Assumptions!$C$8*L220,Assumptions!$C$5)</x:f>
        <x:v>0</x:v>
      </x:c>
      <x:c r="N220" s="78" t="n">
        <x:f>IF(ROW()=16,Assumptions!$C$4,V219)</x:f>
        <x:v>9982.711156686177</x:v>
      </x:c>
      <x:c r="O220" s="78" t="n">
        <x:f>IF(AND(K220&gt;IF(F220&gt;=Assumptions!$C$21,Assumptions!$C$10,Assumptions!$C$9),D220&gt;Assumptions!$C$23),N220*M220,0)</x:f>
        <x:v>0</x:v>
      </x:c>
      <x:c r="P220" s="78" t="n">
        <x:f>IFERROR(O220/F220,0)</x:f>
        <x:v>0</x:v>
      </x:c>
      <x:c r="Q220" s="78" t="n">
        <x:v>1</x:v>
      </x:c>
      <x:c r="R220" s="78" t="str">
        <x:v>Resolve</x:v>
      </x:c>
      <x:c r="S220" s="78" t="n">
        <x:f>IF(R220="Resolve",IF(IF(E220="YES",Q220,1-Q220)=1,P220*(1-F220),-O220),P220*(G220-F220))</x:f>
        <x:v>0</x:v>
      </x:c>
      <x:c r="T220" s="78" t="n">
        <x:f>P220*J220</x:f>
        <x:v>0</x:v>
      </x:c>
      <x:c r="U220" s="78" t="n">
        <x:f>S220-T220</x:f>
        <x:v>0</x:v>
      </x:c>
      <x:c r="V220" s="78" t="n">
        <x:f>N220+U220</x:f>
        <x:v>9982.711156686177</x:v>
      </x:c>
      <x:c r="W220" s="74" t="n">
        <x:f>IFERROR(V220/MAX($V$16:V220)-1,0)</x:f>
        <x:v>-0.01218320354599245</x:v>
      </x:c>
      <x:c r="X220" t="str">
        <x:f>IF(O220&gt;0,"TRADE","NO_TRADE")</x:f>
        <x:v>NO_TRADE</x:v>
      </x:c>
    </x:row>
    <x:row r="221">
      <x:c r="A221" s="66" t="n">
        <x:v>46167.51186342593</x:v>
      </x:c>
      <x:c r="B221" s="66" t="str">
        <x:v>MKT_1003</x:v>
      </x:c>
      <x:c r="C221" s="66" t="n">
        <x:v>46167.51388888889</x:v>
      </x:c>
      <x:c r="D221" t="n">
        <x:v>175</x:v>
      </x:c>
      <x:c r="E221" t="str">
        <x:v>YES</x:v>
      </x:c>
      <x:c r="F221" s="74" t="n">
        <x:v>0.95</x:v>
      </x:c>
      <x:c r="G221" s="74" t="n">
        <x:v>0.95</x:v>
      </x:c>
      <x:c r="H221" s="74" t="n">
        <x:v>0.968</x:v>
      </x:c>
      <x:c r="I221" s="74" t="n">
        <x:f>IF(E221="YES",H221,1-H221)</x:f>
        <x:v>0.968</x:v>
      </x:c>
      <x:c r="J221" s="76" t="n">
        <x:f>Assumptions!$C$12+Assumptions!$C$11*F221</x:f>
        <x:v>0.003</x:v>
      </x:c>
      <x:c r="K221" s="76" t="n">
        <x:f>I221-F221-J221</x:f>
        <x:v>0.015000000000000017</x:v>
      </x:c>
      <x:c r="L221" s="74" t="n">
        <x:f>MAX(0,IFERROR(K221/(1-F221),0))</x:f>
        <x:v>0.30000000000000004</x:v>
      </x:c>
      <x:c r="M221" s="74" t="n">
        <x:f>MIN(Assumptions!$C$8*L221,Assumptions!$C$5)</x:f>
        <x:v>0.005</x:v>
      </x:c>
      <x:c r="N221" s="78" t="n">
        <x:f>IF(ROW()=16,Assumptions!$C$4,V220)</x:f>
        <x:v>9982.711156686177</x:v>
      </x:c>
      <x:c r="O221" s="78" t="n">
        <x:f>IF(AND(K221&gt;IF(F221&gt;=Assumptions!$C$21,Assumptions!$C$10,Assumptions!$C$9),D221&gt;Assumptions!$C$23),N221*M221,0)</x:f>
        <x:v>49.91355578343089</x:v>
      </x:c>
      <x:c r="P221" s="78" t="n">
        <x:f>IFERROR(O221/F221,0)</x:f>
        <x:v>52.54058503519041</x:v>
      </x:c>
      <x:c r="Q221" s="78" t="n">
        <x:v>1</x:v>
      </x:c>
      <x:c r="R221" s="78" t="str">
        <x:v>Resolve</x:v>
      </x:c>
      <x:c r="S221" s="78" t="n">
        <x:f>IF(R221="Resolve",IF(IF(E221="YES",Q221,1-Q221)=1,P221*(1-F221),-O221),P221*(G221-F221))</x:f>
        <x:v>2.627029251759523</x:v>
      </x:c>
      <x:c r="T221" s="78" t="n">
        <x:f>P221*J221</x:f>
        <x:v>0.15762175510557125</x:v>
      </x:c>
      <x:c r="U221" s="78" t="n">
        <x:f>S221-T221</x:f>
        <x:v>2.4694074966539517</x:v>
      </x:c>
      <x:c r="V221" s="78" t="n">
        <x:f>N221+U221</x:f>
        <x:v>9985.18056418283</x:v>
      </x:c>
      <x:c r="W221" s="74" t="n">
        <x:f>IFERROR(V221/MAX($V$16:V221)-1,0)</x:f>
        <x:v>-0.011938848864764373</x:v>
      </x:c>
      <x:c r="X221" t="str">
        <x:f>IF(O221&gt;0,"TRADE","NO_TRADE")</x:f>
        <x:v>TRADE</x:v>
      </x:c>
    </x:row>
    <x:row r="222">
      <x:c r="A222" s="66" t="n">
        <x:v>46167.511921296296</x:v>
      </x:c>
      <x:c r="B222" s="66" t="str">
        <x:v>MKT_1003</x:v>
      </x:c>
      <x:c r="C222" s="66" t="n">
        <x:v>46167.51388888889</x:v>
      </x:c>
      <x:c r="D222" t="n">
        <x:v>170</x:v>
      </x:c>
      <x:c r="E222" t="str">
        <x:v>YES</x:v>
      </x:c>
      <x:c r="F222" s="74" t="n">
        <x:v>0.57</x:v>
      </x:c>
      <x:c r="G222" s="74" t="n">
        <x:v>0.57</x:v>
      </x:c>
      <x:c r="H222" s="74" t="n">
        <x:v>0.582</x:v>
      </x:c>
      <x:c r="I222" s="74" t="n">
        <x:f>IF(E222="YES",H222,1-H222)</x:f>
        <x:v>0.582</x:v>
      </x:c>
      <x:c r="J222" s="76" t="n">
        <x:f>Assumptions!$C$12+Assumptions!$C$11*F222</x:f>
        <x:v>0.003</x:v>
      </x:c>
      <x:c r="K222" s="76" t="n">
        <x:f>I222-F222-J222</x:f>
        <x:v>0.009000000000000011</x:v>
      </x:c>
      <x:c r="L222" s="74" t="n">
        <x:f>MAX(0,IFERROR(K222/(1-F222),0))</x:f>
        <x:v>0.02093023255813956</x:v>
      </x:c>
      <x:c r="M222" s="74" t="n">
        <x:f>MIN(Assumptions!$C$8*L222,Assumptions!$C$5)</x:f>
        <x:v>0.005</x:v>
      </x:c>
      <x:c r="N222" s="78" t="n">
        <x:f>IF(ROW()=16,Assumptions!$C$4,V221)</x:f>
        <x:v>9985.18056418283</x:v>
      </x:c>
      <x:c r="O222" s="78" t="n">
        <x:f>IF(AND(K222&gt;IF(F222&gt;=Assumptions!$C$21,Assumptions!$C$10,Assumptions!$C$9),D222&gt;Assumptions!$C$23),N222*M222,0)</x:f>
        <x:v>49.92590282091415</x:v>
      </x:c>
      <x:c r="P222" s="78" t="n">
        <x:f>IFERROR(O222/F222,0)</x:f>
        <x:v>87.58930319458624</x:v>
      </x:c>
      <x:c r="Q222" s="78" t="n">
        <x:v>0</x:v>
      </x:c>
      <x:c r="R222" s="78" t="str">
        <x:v>Resolve</x:v>
      </x:c>
      <x:c r="S222" s="78" t="n">
        <x:f>IF(R222="Resolve",IF(IF(E222="YES",Q222,1-Q222)=1,P222*(1-F222),-O222),P222*(G222-F222))</x:f>
        <x:v>-49.92590282091415</x:v>
      </x:c>
      <x:c r="T222" s="78" t="n">
        <x:f>P222*J222</x:f>
        <x:v>0.26276790958375873</x:v>
      </x:c>
      <x:c r="U222" s="78" t="n">
        <x:f>S222-T222</x:f>
        <x:v>-50.18867073049791</x:v>
      </x:c>
      <x:c r="V222" s="78" t="n">
        <x:f>N222+U222</x:f>
        <x:v>9934.991893452332</x:v>
      </x:c>
      <x:c r="W222" s="74" t="n">
        <x:f>IFERROR(V222/MAX($V$16:V222)-1,0)</x:f>
        <x:v>-0.01690515622968103</x:v>
      </x:c>
      <x:c r="X222" t="str">
        <x:f>IF(O222&gt;0,"TRADE","NO_TRADE")</x:f>
        <x:v>TRADE</x:v>
      </x:c>
    </x:row>
    <x:row r="223">
      <x:c r="A223" s="66" t="n">
        <x:v>46167.511979166666</x:v>
      </x:c>
      <x:c r="B223" s="66" t="str">
        <x:v>MKT_1003</x:v>
      </x:c>
      <x:c r="C223" s="66" t="n">
        <x:v>46167.51388888889</x:v>
      </x:c>
      <x:c r="D223" t="n">
        <x:v>165</x:v>
      </x:c>
      <x:c r="E223" t="str">
        <x:v>NO</x:v>
      </x:c>
      <x:c r="F223" s="74" t="n">
        <x:v>0.68</x:v>
      </x:c>
      <x:c r="G223" s="74" t="n">
        <x:v>0.68</x:v>
      </x:c>
      <x:c r="H223" s="74" t="n">
        <x:v>0.7050000000000001</x:v>
      </x:c>
      <x:c r="I223" s="74" t="n">
        <x:f>IF(E223="YES",H223,1-H223)</x:f>
        <x:v>0.29499999999999993</x:v>
      </x:c>
      <x:c r="J223" s="76" t="n">
        <x:f>Assumptions!$C$12+Assumptions!$C$11*F223</x:f>
        <x:v>0.003</x:v>
      </x:c>
      <x:c r="K223" s="76" t="n">
        <x:f>I223-F223-J223</x:f>
        <x:v>-0.3880000000000001</x:v>
      </x:c>
      <x:c r="L223" s="74" t="n">
        <x:f>MAX(0,IFERROR(K223/(1-F223),0))</x:f>
        <x:v>0</x:v>
      </x:c>
      <x:c r="M223" s="74" t="n">
        <x:f>MIN(Assumptions!$C$8*L223,Assumptions!$C$5)</x:f>
        <x:v>0</x:v>
      </x:c>
      <x:c r="N223" s="78" t="n">
        <x:f>IF(ROW()=16,Assumptions!$C$4,V222)</x:f>
        <x:v>9934.991893452332</x:v>
      </x:c>
      <x:c r="O223" s="78" t="n">
        <x:f>IF(AND(K223&gt;IF(F223&gt;=Assumptions!$C$21,Assumptions!$C$10,Assumptions!$C$9),D223&gt;Assumptions!$C$23),N223*M223,0)</x:f>
        <x:v>0</x:v>
      </x:c>
      <x:c r="P223" s="78" t="n">
        <x:f>IFERROR(O223/F223,0)</x:f>
        <x:v>0</x:v>
      </x:c>
      <x:c r="Q223" s="78" t="n">
        <x:v>1</x:v>
      </x:c>
      <x:c r="R223" s="78" t="str">
        <x:v>Resolve</x:v>
      </x:c>
      <x:c r="S223" s="78" t="n">
        <x:f>IF(R223="Resolve",IF(IF(E223="YES",Q223,1-Q223)=1,P223*(1-F223),-O223),P223*(G223-F223))</x:f>
        <x:v>0</x:v>
      </x:c>
      <x:c r="T223" s="78" t="n">
        <x:f>P223*J223</x:f>
        <x:v>0</x:v>
      </x:c>
      <x:c r="U223" s="78" t="n">
        <x:f>S223-T223</x:f>
        <x:v>0</x:v>
      </x:c>
      <x:c r="V223" s="78" t="n">
        <x:f>N223+U223</x:f>
        <x:v>9934.991893452332</x:v>
      </x:c>
      <x:c r="W223" s="74" t="n">
        <x:f>IFERROR(V223/MAX($V$16:V223)-1,0)</x:f>
        <x:v>-0.01690515622968103</x:v>
      </x:c>
      <x:c r="X223" t="str">
        <x:f>IF(O223&gt;0,"TRADE","NO_TRADE")</x:f>
        <x:v>NO_TRADE</x:v>
      </x:c>
    </x:row>
    <x:row r="224">
      <x:c r="A224" s="66" t="n">
        <x:v>46167.512037037035</x:v>
      </x:c>
      <x:c r="B224" s="66" t="str">
        <x:v>MKT_1003</x:v>
      </x:c>
      <x:c r="C224" s="66" t="n">
        <x:v>46167.51388888889</x:v>
      </x:c>
      <x:c r="D224" t="n">
        <x:v>160</x:v>
      </x:c>
      <x:c r="E224" t="str">
        <x:v>YES</x:v>
      </x:c>
      <x:c r="F224" s="74" t="n">
        <x:v>0.91</x:v>
      </x:c>
      <x:c r="G224" s="74" t="n">
        <x:v>0.91</x:v>
      </x:c>
      <x:c r="H224" s="74" t="n">
        <x:v>0.9450000000000001</x:v>
      </x:c>
      <x:c r="I224" s="74" t="n">
        <x:f>IF(E224="YES",H224,1-H224)</x:f>
        <x:v>0.9450000000000001</x:v>
      </x:c>
      <x:c r="J224" s="76" t="n">
        <x:f>Assumptions!$C$12+Assumptions!$C$11*F224</x:f>
        <x:v>0.003</x:v>
      </x:c>
      <x:c r="K224" s="76" t="n">
        <x:f>I224-F224-J224</x:f>
        <x:v>0.03200000000000003</x:v>
      </x:c>
      <x:c r="L224" s="74" t="n">
        <x:f>MAX(0,IFERROR(K224/(1-F224),0))</x:f>
        <x:v>0.355555555555556</x:v>
      </x:c>
      <x:c r="M224" s="74" t="n">
        <x:f>MIN(Assumptions!$C$8*L224,Assumptions!$C$5)</x:f>
        <x:v>0.005</x:v>
      </x:c>
      <x:c r="N224" s="78" t="n">
        <x:f>IF(ROW()=16,Assumptions!$C$4,V223)</x:f>
        <x:v>9934.991893452332</x:v>
      </x:c>
      <x:c r="O224" s="78" t="n">
        <x:f>IF(AND(K224&gt;IF(F224&gt;=Assumptions!$C$21,Assumptions!$C$10,Assumptions!$C$9),D224&gt;Assumptions!$C$23),N224*M224,0)</x:f>
        <x:v>49.67495946726166</x:v>
      </x:c>
      <x:c r="P224" s="78" t="n">
        <x:f>IFERROR(O224/F224,0)</x:f>
        <x:v>54.58786754644138</x:v>
      </x:c>
      <x:c r="Q224" s="78" t="n">
        <x:v>1</x:v>
      </x:c>
      <x:c r="R224" s="78" t="str">
        <x:v>Resolve</x:v>
      </x:c>
      <x:c r="S224" s="78" t="n">
        <x:f>IF(R224="Resolve",IF(IF(E224="YES",Q224,1-Q224)=1,P224*(1-F224),-O224),P224*(G224-F224))</x:f>
        <x:v>4.912908079179722</x:v>
      </x:c>
      <x:c r="T224" s="78" t="n">
        <x:f>P224*J224</x:f>
        <x:v>0.16376360263932416</x:v>
      </x:c>
      <x:c r="U224" s="78" t="n">
        <x:f>S224-T224</x:f>
        <x:v>4.749144476540398</x:v>
      </x:c>
      <x:c r="V224" s="78" t="n">
        <x:f>N224+U224</x:f>
        <x:v>9939.741037928872</x:v>
      </x:c>
      <x:c r="W224" s="74" t="n">
        <x:f>IFERROR(V224/MAX($V$16:V224)-1,0)</x:f>
        <x:v>-0.016435215287878724</x:v>
      </x:c>
      <x:c r="X224" t="str">
        <x:f>IF(O224&gt;0,"TRADE","NO_TRADE")</x:f>
        <x:v>TRADE</x:v>
      </x:c>
    </x:row>
    <x:row r="225">
      <x:c r="A225" s="66" t="n">
        <x:v>46167.512094907404</x:v>
      </x:c>
      <x:c r="B225" s="66" t="str">
        <x:v>MKT_1003</x:v>
      </x:c>
      <x:c r="C225" s="66" t="n">
        <x:v>46167.51388888889</x:v>
      </x:c>
      <x:c r="D225" t="n">
        <x:v>155</x:v>
      </x:c>
      <x:c r="E225" t="str">
        <x:v>YES</x:v>
      </x:c>
      <x:c r="F225" s="74" t="n">
        <x:v>0.83</x:v>
      </x:c>
      <x:c r="G225" s="74" t="n">
        <x:v>0.83</x:v>
      </x:c>
      <x:c r="H225" s="74" t="n">
        <x:v>0.82</x:v>
      </x:c>
      <x:c r="I225" s="74" t="n">
        <x:f>IF(E225="YES",H225,1-H225)</x:f>
        <x:v>0.82</x:v>
      </x:c>
      <x:c r="J225" s="76" t="n">
        <x:f>Assumptions!$C$12+Assumptions!$C$11*F225</x:f>
        <x:v>0.003</x:v>
      </x:c>
      <x:c r="K225" s="76" t="n">
        <x:f>I225-F225-J225</x:f>
        <x:v>-0.013000000000000008</x:v>
      </x:c>
      <x:c r="L225" s="74" t="n">
        <x:f>MAX(0,IFERROR(K225/(1-F225),0))</x:f>
        <x:v>0</x:v>
      </x:c>
      <x:c r="M225" s="74" t="n">
        <x:f>MIN(Assumptions!$C$8*L225,Assumptions!$C$5)</x:f>
        <x:v>0</x:v>
      </x:c>
      <x:c r="N225" s="78" t="n">
        <x:f>IF(ROW()=16,Assumptions!$C$4,V224)</x:f>
        <x:v>9939.741037928872</x:v>
      </x:c>
      <x:c r="O225" s="78" t="n">
        <x:f>IF(AND(K225&gt;IF(F225&gt;=Assumptions!$C$21,Assumptions!$C$10,Assumptions!$C$9),D225&gt;Assumptions!$C$23),N225*M225,0)</x:f>
        <x:v>0</x:v>
      </x:c>
      <x:c r="P225" s="78" t="n">
        <x:f>IFERROR(O225/F225,0)</x:f>
        <x:v>0</x:v>
      </x:c>
      <x:c r="Q225" s="78" t="n">
        <x:v>1</x:v>
      </x:c>
      <x:c r="R225" s="78" t="str">
        <x:v>Resolve</x:v>
      </x:c>
      <x:c r="S225" s="78" t="n">
        <x:f>IF(R225="Resolve",IF(IF(E225="YES",Q225,1-Q225)=1,P225*(1-F225),-O225),P225*(G225-F225))</x:f>
        <x:v>0</x:v>
      </x:c>
      <x:c r="T225" s="78" t="n">
        <x:f>P225*J225</x:f>
        <x:v>0</x:v>
      </x:c>
      <x:c r="U225" s="78" t="n">
        <x:f>S225-T225</x:f>
        <x:v>0</x:v>
      </x:c>
      <x:c r="V225" s="78" t="n">
        <x:f>N225+U225</x:f>
        <x:v>9939.741037928872</x:v>
      </x:c>
      <x:c r="W225" s="74" t="n">
        <x:f>IFERROR(V225/MAX($V$16:V225)-1,0)</x:f>
        <x:v>-0.016435215287878724</x:v>
      </x:c>
      <x:c r="X225" t="str">
        <x:f>IF(O225&gt;0,"TRADE","NO_TRADE")</x:f>
        <x:v>NO_TRADE</x:v>
      </x:c>
    </x:row>
    <x:row r="226">
      <x:c r="A226" s="66" t="n">
        <x:v>46167.51215277778</x:v>
      </x:c>
      <x:c r="B226" s="66" t="str">
        <x:v>MKT_1003</x:v>
      </x:c>
      <x:c r="C226" s="66" t="n">
        <x:v>46167.51388888889</x:v>
      </x:c>
      <x:c r="D226" t="n">
        <x:v>150</x:v>
      </x:c>
      <x:c r="E226" t="str">
        <x:v>NO</x:v>
      </x:c>
      <x:c r="F226" s="74" t="n">
        <x:v>0.52</x:v>
      </x:c>
      <x:c r="G226" s="74" t="n">
        <x:v>0.52</x:v>
      </x:c>
      <x:c r="H226" s="74" t="n">
        <x:v>0.535</x:v>
      </x:c>
      <x:c r="I226" s="74" t="n">
        <x:f>IF(E226="YES",H226,1-H226)</x:f>
        <x:v>0.46499999999999997</x:v>
      </x:c>
      <x:c r="J226" s="76" t="n">
        <x:f>Assumptions!$C$12+Assumptions!$C$11*F226</x:f>
        <x:v>0.003</x:v>
      </x:c>
      <x:c r="K226" s="76" t="n">
        <x:f>I226-F226-J226</x:f>
        <x:v>-0.05800000000000005</x:v>
      </x:c>
      <x:c r="L226" s="74" t="n">
        <x:f>MAX(0,IFERROR(K226/(1-F226),0))</x:f>
        <x:v>0</x:v>
      </x:c>
      <x:c r="M226" s="74" t="n">
        <x:f>MIN(Assumptions!$C$8*L226,Assumptions!$C$5)</x:f>
        <x:v>0</x:v>
      </x:c>
      <x:c r="N226" s="78" t="n">
        <x:f>IF(ROW()=16,Assumptions!$C$4,V225)</x:f>
        <x:v>9939.741037928872</x:v>
      </x:c>
      <x:c r="O226" s="78" t="n">
        <x:f>IF(AND(K226&gt;IF(F226&gt;=Assumptions!$C$21,Assumptions!$C$10,Assumptions!$C$9),D226&gt;Assumptions!$C$23),N226*M226,0)</x:f>
        <x:v>0</x:v>
      </x:c>
      <x:c r="P226" s="78" t="n">
        <x:f>IFERROR(O226/F226,0)</x:f>
        <x:v>0</x:v>
      </x:c>
      <x:c r="Q226" s="78" t="n">
        <x:v>0</x:v>
      </x:c>
      <x:c r="R226" s="78" t="str">
        <x:v>Resolve</x:v>
      </x:c>
      <x:c r="S226" s="78" t="n">
        <x:f>IF(R226="Resolve",IF(IF(E226="YES",Q226,1-Q226)=1,P226*(1-F226),-O226),P226*(G226-F226))</x:f>
        <x:v>0</x:v>
      </x:c>
      <x:c r="T226" s="78" t="n">
        <x:f>P226*J226</x:f>
        <x:v>0</x:v>
      </x:c>
      <x:c r="U226" s="78" t="n">
        <x:f>S226-T226</x:f>
        <x:v>0</x:v>
      </x:c>
      <x:c r="V226" s="78" t="n">
        <x:f>N226+U226</x:f>
        <x:v>9939.741037928872</x:v>
      </x:c>
      <x:c r="W226" s="74" t="n">
        <x:f>IFERROR(V226/MAX($V$16:V226)-1,0)</x:f>
        <x:v>-0.016435215287878724</x:v>
      </x:c>
      <x:c r="X226" t="str">
        <x:f>IF(O226&gt;0,"TRADE","NO_TRADE")</x:f>
        <x:v>NO_TRADE</x:v>
      </x:c>
    </x:row>
    <x:row r="227">
      <x:c r="A227" s="66" t="n">
        <x:v>46167.51221064815</x:v>
      </x:c>
      <x:c r="B227" s="66" t="str">
        <x:v>MKT_1003</x:v>
      </x:c>
      <x:c r="C227" s="66" t="n">
        <x:v>46167.51388888889</x:v>
      </x:c>
      <x:c r="D227" t="n">
        <x:v>145</x:v>
      </x:c>
      <x:c r="E227" t="str">
        <x:v>YES</x:v>
      </x:c>
      <x:c r="F227" s="74" t="n">
        <x:v>0.61</x:v>
      </x:c>
      <x:c r="G227" s="74" t="n">
        <x:v>0.61</x:v>
      </x:c>
      <x:c r="H227" s="74" t="n">
        <x:v>0.63</x:v>
      </x:c>
      <x:c r="I227" s="74" t="n">
        <x:f>IF(E227="YES",H227,1-H227)</x:f>
        <x:v>0.63</x:v>
      </x:c>
      <x:c r="J227" s="76" t="n">
        <x:f>Assumptions!$C$12+Assumptions!$C$11*F227</x:f>
        <x:v>0.003</x:v>
      </x:c>
      <x:c r="K227" s="76" t="n">
        <x:f>I227-F227-J227</x:f>
        <x:v>0.01700000000000002</x:v>
      </x:c>
      <x:c r="L227" s="74" t="n">
        <x:f>MAX(0,IFERROR(K227/(1-F227),0))</x:f>
        <x:v>0.043589743589743636</x:v>
      </x:c>
      <x:c r="M227" s="74" t="n">
        <x:f>MIN(Assumptions!$C$8*L227,Assumptions!$C$5)</x:f>
        <x:v>0.005</x:v>
      </x:c>
      <x:c r="N227" s="78" t="n">
        <x:f>IF(ROW()=16,Assumptions!$C$4,V226)</x:f>
        <x:v>9939.741037928872</x:v>
      </x:c>
      <x:c r="O227" s="78" t="n">
        <x:f>IF(AND(K227&gt;IF(F227&gt;=Assumptions!$C$21,Assumptions!$C$10,Assumptions!$C$9),D227&gt;Assumptions!$C$23),N227*M227,0)</x:f>
        <x:v>49.698705189644365</x:v>
      </x:c>
      <x:c r="P227" s="78" t="n">
        <x:f>IFERROR(O227/F227,0)</x:f>
        <x:v>81.4732871961383</x:v>
      </x:c>
      <x:c r="Q227" s="78" t="n">
        <x:v>1</x:v>
      </x:c>
      <x:c r="R227" s="78" t="str">
        <x:v>Resolve</x:v>
      </x:c>
      <x:c r="S227" s="78" t="n">
        <x:f>IF(R227="Resolve",IF(IF(E227="YES",Q227,1-Q227)=1,P227*(1-F227),-O227),P227*(G227-F227))</x:f>
        <x:v>31.77458200649394</x:v>
      </x:c>
      <x:c r="T227" s="78" t="n">
        <x:f>P227*J227</x:f>
        <x:v>0.24441986158841492</x:v>
      </x:c>
      <x:c r="U227" s="78" t="n">
        <x:f>S227-T227</x:f>
        <x:v>31.530162144905525</x:v>
      </x:c>
      <x:c r="V227" s="78" t="n">
        <x:f>N227+U227</x:f>
        <x:v>9971.271200073777</x:v>
      </x:c>
      <x:c r="W227" s="74" t="n">
        <x:f>IFERROR(V227/MAX($V$16:V227)-1,0)</x:f>
        <x:v>-0.013315218798668926</x:v>
      </x:c>
      <x:c r="X227" t="str">
        <x:f>IF(O227&gt;0,"TRADE","NO_TRADE")</x:f>
        <x:v>TRADE</x:v>
      </x:c>
    </x:row>
    <x:row r="228">
      <x:c r="A228" s="66" t="n">
        <x:v>46167.51226851852</x:v>
      </x:c>
      <x:c r="B228" s="66" t="str">
        <x:v>MKT_1003</x:v>
      </x:c>
      <x:c r="C228" s="66" t="n">
        <x:v>46167.51388888889</x:v>
      </x:c>
      <x:c r="D228" t="n">
        <x:v>140</x:v>
      </x:c>
      <x:c r="E228" t="str">
        <x:v>YES</x:v>
      </x:c>
      <x:c r="F228" s="74" t="n">
        <x:v>0.74</x:v>
      </x:c>
      <x:c r="G228" s="74" t="n">
        <x:v>0.74</x:v>
      </x:c>
      <x:c r="H228" s="74" t="n">
        <x:v>0.735</x:v>
      </x:c>
      <x:c r="I228" s="74" t="n">
        <x:f>IF(E228="YES",H228,1-H228)</x:f>
        <x:v>0.735</x:v>
      </x:c>
      <x:c r="J228" s="76" t="n">
        <x:f>Assumptions!$C$12+Assumptions!$C$11*F228</x:f>
        <x:v>0.003</x:v>
      </x:c>
      <x:c r="K228" s="76" t="n">
        <x:f>I228-F228-J228</x:f>
        <x:v>-0.008000000000000004</x:v>
      </x:c>
      <x:c r="L228" s="74" t="n">
        <x:f>MAX(0,IFERROR(K228/(1-F228),0))</x:f>
        <x:v>0</x:v>
      </x:c>
      <x:c r="M228" s="74" t="n">
        <x:f>MIN(Assumptions!$C$8*L228,Assumptions!$C$5)</x:f>
        <x:v>0</x:v>
      </x:c>
      <x:c r="N228" s="78" t="n">
        <x:f>IF(ROW()=16,Assumptions!$C$4,V227)</x:f>
        <x:v>9971.271200073777</x:v>
      </x:c>
      <x:c r="O228" s="78" t="n">
        <x:f>IF(AND(K228&gt;IF(F228&gt;=Assumptions!$C$21,Assumptions!$C$10,Assumptions!$C$9),D228&gt;Assumptions!$C$23),N228*M228,0)</x:f>
        <x:v>0</x:v>
      </x:c>
      <x:c r="P228" s="78" t="n">
        <x:f>IFERROR(O228/F228,0)</x:f>
        <x:v>0</x:v>
      </x:c>
      <x:c r="Q228" s="78" t="n">
        <x:v>1</x:v>
      </x:c>
      <x:c r="R228" s="78" t="str">
        <x:v>Resolve</x:v>
      </x:c>
      <x:c r="S228" s="78" t="n">
        <x:f>IF(R228="Resolve",IF(IF(E228="YES",Q228,1-Q228)=1,P228*(1-F228),-O228),P228*(G228-F228))</x:f>
        <x:v>0</x:v>
      </x:c>
      <x:c r="T228" s="78" t="n">
        <x:f>P228*J228</x:f>
        <x:v>0</x:v>
      </x:c>
      <x:c r="U228" s="78" t="n">
        <x:f>S228-T228</x:f>
        <x:v>0</x:v>
      </x:c>
      <x:c r="V228" s="78" t="n">
        <x:f>N228+U228</x:f>
        <x:v>9971.271200073777</x:v>
      </x:c>
      <x:c r="W228" s="74" t="n">
        <x:f>IFERROR(V228/MAX($V$16:V228)-1,0)</x:f>
        <x:v>-0.013315218798668926</x:v>
      </x:c>
      <x:c r="X228" t="str">
        <x:f>IF(O228&gt;0,"TRADE","NO_TRADE")</x:f>
        <x:v>NO_TRADE</x:v>
      </x:c>
    </x:row>
    <x:row r="229">
      <x:c r="A229" s="66" t="n">
        <x:v>46167.51232638889</x:v>
      </x:c>
      <x:c r="B229" s="66" t="str">
        <x:v>MKT_1003</x:v>
      </x:c>
      <x:c r="C229" s="66" t="n">
        <x:v>46167.51388888889</x:v>
      </x:c>
      <x:c r="D229" t="n">
        <x:v>135</x:v>
      </x:c>
      <x:c r="E229" t="str">
        <x:v>NO</x:v>
      </x:c>
      <x:c r="F229" s="74" t="n">
        <x:v>0.88</x:v>
      </x:c>
      <x:c r="G229" s="74" t="n">
        <x:v>0.88</x:v>
      </x:c>
      <x:c r="H229" s="74" t="n">
        <x:v>0.91</x:v>
      </x:c>
      <x:c r="I229" s="74" t="n">
        <x:f>IF(E229="YES",H229,1-H229)</x:f>
        <x:v>0.08999999999999997</x:v>
      </x:c>
      <x:c r="J229" s="76" t="n">
        <x:f>Assumptions!$C$12+Assumptions!$C$11*F229</x:f>
        <x:v>0.003</x:v>
      </x:c>
      <x:c r="K229" s="76" t="n">
        <x:f>I229-F229-J229</x:f>
        <x:v>-0.793</x:v>
      </x:c>
      <x:c r="L229" s="74" t="n">
        <x:f>MAX(0,IFERROR(K229/(1-F229),0))</x:f>
        <x:v>0</x:v>
      </x:c>
      <x:c r="M229" s="74" t="n">
        <x:f>MIN(Assumptions!$C$8*L229,Assumptions!$C$5)</x:f>
        <x:v>0</x:v>
      </x:c>
      <x:c r="N229" s="78" t="n">
        <x:f>IF(ROW()=16,Assumptions!$C$4,V228)</x:f>
        <x:v>9971.271200073777</x:v>
      </x:c>
      <x:c r="O229" s="78" t="n">
        <x:f>IF(AND(K229&gt;IF(F229&gt;=Assumptions!$C$21,Assumptions!$C$10,Assumptions!$C$9),D229&gt;Assumptions!$C$23),N229*M229,0)</x:f>
        <x:v>0</x:v>
      </x:c>
      <x:c r="P229" s="78" t="n">
        <x:f>IFERROR(O229/F229,0)</x:f>
        <x:v>0</x:v>
      </x:c>
      <x:c r="Q229" s="78" t="n">
        <x:v>0</x:v>
      </x:c>
      <x:c r="R229" s="78" t="str">
        <x:v>Resolve</x:v>
      </x:c>
      <x:c r="S229" s="78" t="n">
        <x:f>IF(R229="Resolve",IF(IF(E229="YES",Q229,1-Q229)=1,P229*(1-F229),-O229),P229*(G229-F229))</x:f>
        <x:v>0</x:v>
      </x:c>
      <x:c r="T229" s="78" t="n">
        <x:f>P229*J229</x:f>
        <x:v>0</x:v>
      </x:c>
      <x:c r="U229" s="78" t="n">
        <x:f>S229-T229</x:f>
        <x:v>0</x:v>
      </x:c>
      <x:c r="V229" s="78" t="n">
        <x:f>N229+U229</x:f>
        <x:v>9971.271200073777</x:v>
      </x:c>
      <x:c r="W229" s="74" t="n">
        <x:f>IFERROR(V229/MAX($V$16:V229)-1,0)</x:f>
        <x:v>-0.013315218798668926</x:v>
      </x:c>
      <x:c r="X229" t="str">
        <x:f>IF(O229&gt;0,"TRADE","NO_TRADE")</x:f>
        <x:v>NO_TRADE</x:v>
      </x:c>
    </x:row>
    <x:row r="230">
      <x:c r="A230" s="66" t="n">
        <x:v>46167.51238425926</x:v>
      </x:c>
      <x:c r="B230" s="66" t="str">
        <x:v>MKT_1003</x:v>
      </x:c>
      <x:c r="C230" s="66" t="n">
        <x:v>46167.51388888889</x:v>
      </x:c>
      <x:c r="D230" t="n">
        <x:v>130</x:v>
      </x:c>
      <x:c r="E230" t="str">
        <x:v>YES</x:v>
      </x:c>
      <x:c r="F230" s="74" t="n">
        <x:v>0.94</x:v>
      </x:c>
      <x:c r="G230" s="74" t="n">
        <x:v>0.94</x:v>
      </x:c>
      <x:c r="H230" s="74" t="n">
        <x:v>0.98</x:v>
      </x:c>
      <x:c r="I230" s="74" t="n">
        <x:f>IF(E230="YES",H230,1-H230)</x:f>
        <x:v>0.98</x:v>
      </x:c>
      <x:c r="J230" s="76" t="n">
        <x:f>Assumptions!$C$12+Assumptions!$C$11*F230</x:f>
        <x:v>0.003</x:v>
      </x:c>
      <x:c r="K230" s="76" t="n">
        <x:f>I230-F230-J230</x:f>
        <x:v>0.03700000000000003</x:v>
      </x:c>
      <x:c r="L230" s="74" t="n">
        <x:f>MAX(0,IFERROR(K230/(1-F230),0))</x:f>
        <x:v>0.6166666666666667</x:v>
      </x:c>
      <x:c r="M230" s="74" t="n">
        <x:f>MIN(Assumptions!$C$8*L230,Assumptions!$C$5)</x:f>
        <x:v>0.005</x:v>
      </x:c>
      <x:c r="N230" s="78" t="n">
        <x:f>IF(ROW()=16,Assumptions!$C$4,V229)</x:f>
        <x:v>9971.271200073777</x:v>
      </x:c>
      <x:c r="O230" s="78" t="n">
        <x:f>IF(AND(K230&gt;IF(F230&gt;=Assumptions!$C$21,Assumptions!$C$10,Assumptions!$C$9),D230&gt;Assumptions!$C$23),N230*M230,0)</x:f>
        <x:v>49.85635600036889</x:v>
      </x:c>
      <x:c r="P230" s="78" t="n">
        <x:f>IFERROR(O230/F230,0)</x:f>
        <x:v>53.03867659613712</x:v>
      </x:c>
      <x:c r="Q230" s="78" t="n">
        <x:v>1</x:v>
      </x:c>
      <x:c r="R230" s="78" t="str">
        <x:v>Resolve</x:v>
      </x:c>
      <x:c r="S230" s="78" t="n">
        <x:f>IF(R230="Resolve",IF(IF(E230="YES",Q230,1-Q230)=1,P230*(1-F230),-O230),P230*(G230-F230))</x:f>
        <x:v>3.18232059576823</x:v>
      </x:c>
      <x:c r="T230" s="78" t="n">
        <x:f>P230*J230</x:f>
        <x:v>0.15911602978841138</x:v>
      </x:c>
      <x:c r="U230" s="78" t="n">
        <x:f>S230-T230</x:f>
        <x:v>3.023204565979819</x:v>
      </x:c>
      <x:c r="V230" s="78" t="n">
        <x:f>N230+U230</x:f>
        <x:v>9974.294404639757</x:v>
      </x:c>
      <x:c r="W230" s="74" t="n">
        <x:f>IFERROR(V230/MAX($V$16:V230)-1,0)</x:f>
        <x:v>-0.013016064370326097</x:v>
      </x:c>
      <x:c r="X230" t="str">
        <x:f>IF(O230&gt;0,"TRADE","NO_TRADE")</x:f>
        <x:v>TRADE</x:v>
      </x:c>
    </x:row>
    <x:row r="231">
      <x:c r="A231" s="66" t="n">
        <x:v>46167.51244212963</x:v>
      </x:c>
      <x:c r="B231" s="66" t="str">
        <x:v>MKT_1003</x:v>
      </x:c>
      <x:c r="C231" s="66" t="n">
        <x:v>46167.51388888889</x:v>
      </x:c>
      <x:c r="D231" t="n">
        <x:v>125</x:v>
      </x:c>
      <x:c r="E231" t="str">
        <x:v>YES</x:v>
      </x:c>
      <x:c r="F231" s="74" t="n">
        <x:v>0.95</x:v>
      </x:c>
      <x:c r="G231" s="74" t="n">
        <x:v>0.95</x:v>
      </x:c>
      <x:c r="H231" s="74" t="n">
        <x:v>0.968</x:v>
      </x:c>
      <x:c r="I231" s="74" t="n">
        <x:f>IF(E231="YES",H231,1-H231)</x:f>
        <x:v>0.968</x:v>
      </x:c>
      <x:c r="J231" s="76" t="n">
        <x:f>Assumptions!$C$12+Assumptions!$C$11*F231</x:f>
        <x:v>0.003</x:v>
      </x:c>
      <x:c r="K231" s="76" t="n">
        <x:f>I231-F231-J231</x:f>
        <x:v>0.015000000000000017</x:v>
      </x:c>
      <x:c r="L231" s="74" t="n">
        <x:f>MAX(0,IFERROR(K231/(1-F231),0))</x:f>
        <x:v>0.30000000000000004</x:v>
      </x:c>
      <x:c r="M231" s="74" t="n">
        <x:f>MIN(Assumptions!$C$8*L231,Assumptions!$C$5)</x:f>
        <x:v>0.005</x:v>
      </x:c>
      <x:c r="N231" s="78" t="n">
        <x:f>IF(ROW()=16,Assumptions!$C$4,V230)</x:f>
        <x:v>9974.294404639757</x:v>
      </x:c>
      <x:c r="O231" s="78" t="n">
        <x:f>IF(AND(K231&gt;IF(F231&gt;=Assumptions!$C$21,Assumptions!$C$10,Assumptions!$C$9),D231&gt;Assumptions!$C$23),N231*M231,0)</x:f>
        <x:v>49.871472023198784</x:v>
      </x:c>
      <x:c r="P231" s="78" t="n">
        <x:f>IFERROR(O231/F231,0)</x:f>
        <x:v>52.49628634020925</x:v>
      </x:c>
      <x:c r="Q231" s="78" t="n">
        <x:v>1</x:v>
      </x:c>
      <x:c r="R231" s="78" t="str">
        <x:v>Resolve</x:v>
      </x:c>
      <x:c r="S231" s="78" t="n">
        <x:f>IF(R231="Resolve",IF(IF(E231="YES",Q231,1-Q231)=1,P231*(1-F231),-O231),P231*(G231-F231))</x:f>
        <x:v>2.6248143170104647</x:v>
      </x:c>
      <x:c r="T231" s="78" t="n">
        <x:f>P231*J231</x:f>
        <x:v>0.15748885902062776</x:v>
      </x:c>
      <x:c r="U231" s="78" t="n">
        <x:f>S231-T231</x:f>
        <x:v>2.467325457989837</x:v>
      </x:c>
      <x:c r="V231" s="78" t="n">
        <x:f>N231+U231</x:f>
        <x:v>9976.761730097747</x:v>
      </x:c>
      <x:c r="W231" s="74" t="n">
        <x:f>IFERROR(V231/MAX($V$16:V231)-1,0)</x:f>
        <x:v>-0.012771915712564974</x:v>
      </x:c>
      <x:c r="X231" t="str">
        <x:f>IF(O231&gt;0,"TRADE","NO_TRADE")</x:f>
        <x:v>TRADE</x:v>
      </x:c>
    </x:row>
    <x:row r="232">
      <x:c r="A232" s="66" t="n">
        <x:v>46167.5125</x:v>
      </x:c>
      <x:c r="B232" s="66" t="str">
        <x:v>MKT_1003</x:v>
      </x:c>
      <x:c r="C232" s="66" t="n">
        <x:v>46167.51388888889</x:v>
      </x:c>
      <x:c r="D232" t="n">
        <x:v>120</x:v>
      </x:c>
      <x:c r="E232" t="str">
        <x:v>NO</x:v>
      </x:c>
      <x:c r="F232" s="74" t="n">
        <x:v>0.57</x:v>
      </x:c>
      <x:c r="G232" s="74" t="n">
        <x:v>0.57</x:v>
      </x:c>
      <x:c r="H232" s="74" t="n">
        <x:v>0.582</x:v>
      </x:c>
      <x:c r="I232" s="74" t="n">
        <x:f>IF(E232="YES",H232,1-H232)</x:f>
        <x:v>0.41800000000000004</x:v>
      </x:c>
      <x:c r="J232" s="76" t="n">
        <x:f>Assumptions!$C$12+Assumptions!$C$11*F232</x:f>
        <x:v>0.003</x:v>
      </x:c>
      <x:c r="K232" s="76" t="n">
        <x:f>I232-F232-J232</x:f>
        <x:v>-0.15499999999999992</x:v>
      </x:c>
      <x:c r="L232" s="74" t="n">
        <x:f>MAX(0,IFERROR(K232/(1-F232),0))</x:f>
        <x:v>0</x:v>
      </x:c>
      <x:c r="M232" s="74" t="n">
        <x:f>MIN(Assumptions!$C$8*L232,Assumptions!$C$5)</x:f>
        <x:v>0</x:v>
      </x:c>
      <x:c r="N232" s="78" t="n">
        <x:f>IF(ROW()=16,Assumptions!$C$4,V231)</x:f>
        <x:v>9976.761730097747</x:v>
      </x:c>
      <x:c r="O232" s="78" t="n">
        <x:f>IF(AND(K232&gt;IF(F232&gt;=Assumptions!$C$21,Assumptions!$C$10,Assumptions!$C$9),D232&gt;Assumptions!$C$23),N232*M232,0)</x:f>
        <x:v>0</x:v>
      </x:c>
      <x:c r="P232" s="78" t="n">
        <x:f>IFERROR(O232/F232,0)</x:f>
        <x:v>0</x:v>
      </x:c>
      <x:c r="Q232" s="78" t="n">
        <x:v>1</x:v>
      </x:c>
      <x:c r="R232" s="78" t="str">
        <x:v>Resolve</x:v>
      </x:c>
      <x:c r="S232" s="78" t="n">
        <x:f>IF(R232="Resolve",IF(IF(E232="YES",Q232,1-Q232)=1,P232*(1-F232),-O232),P232*(G232-F232))</x:f>
        <x:v>0</x:v>
      </x:c>
      <x:c r="T232" s="78" t="n">
        <x:f>P232*J232</x:f>
        <x:v>0</x:v>
      </x:c>
      <x:c r="U232" s="78" t="n">
        <x:f>S232-T232</x:f>
        <x:v>0</x:v>
      </x:c>
      <x:c r="V232" s="78" t="n">
        <x:f>N232+U232</x:f>
        <x:v>9976.761730097747</x:v>
      </x:c>
      <x:c r="W232" s="74" t="n">
        <x:f>IFERROR(V232/MAX($V$16:V232)-1,0)</x:f>
        <x:v>-0.012771915712564974</x:v>
      </x:c>
      <x:c r="X232" t="str">
        <x:f>IF(O232&gt;0,"TRADE","NO_TRADE")</x:f>
        <x:v>NO_TRADE</x:v>
      </x:c>
    </x:row>
    <x:row r="233">
      <x:c r="A233" s="66" t="n">
        <x:v>46167.512557870374</x:v>
      </x:c>
      <x:c r="B233" s="66" t="str">
        <x:v>MKT_1003</x:v>
      </x:c>
      <x:c r="C233" s="66" t="n">
        <x:v>46167.51388888889</x:v>
      </x:c>
      <x:c r="D233" t="n">
        <x:v>115</x:v>
      </x:c>
      <x:c r="E233" t="str">
        <x:v>YES</x:v>
      </x:c>
      <x:c r="F233" s="74" t="n">
        <x:v>0.68</x:v>
      </x:c>
      <x:c r="G233" s="74" t="n">
        <x:v>0.68</x:v>
      </x:c>
      <x:c r="H233" s="74" t="n">
        <x:v>0.7050000000000001</x:v>
      </x:c>
      <x:c r="I233" s="74" t="n">
        <x:f>IF(E233="YES",H233,1-H233)</x:f>
        <x:v>0.7050000000000001</x:v>
      </x:c>
      <x:c r="J233" s="76" t="n">
        <x:f>Assumptions!$C$12+Assumptions!$C$11*F233</x:f>
        <x:v>0.003</x:v>
      </x:c>
      <x:c r="K233" s="76" t="n">
        <x:f>I233-F233-J233</x:f>
        <x:v>0.022000000000000023</x:v>
      </x:c>
      <x:c r="L233" s="74" t="n">
        <x:f>MAX(0,IFERROR(K233/(1-F233),0))</x:f>
        <x:v>0.06875000000000009</x:v>
      </x:c>
      <x:c r="M233" s="74" t="n">
        <x:f>MIN(Assumptions!$C$8*L233,Assumptions!$C$5)</x:f>
        <x:v>0.005</x:v>
      </x:c>
      <x:c r="N233" s="78" t="n">
        <x:f>IF(ROW()=16,Assumptions!$C$4,V232)</x:f>
        <x:v>9976.761730097747</x:v>
      </x:c>
      <x:c r="O233" s="78" t="n">
        <x:f>IF(AND(K233&gt;IF(F233&gt;=Assumptions!$C$21,Assumptions!$C$10,Assumptions!$C$9),D233&gt;Assumptions!$C$23),N233*M233,0)</x:f>
        <x:v>49.88380865048874</x:v>
      </x:c>
      <x:c r="P233" s="78" t="n">
        <x:f>IFERROR(O233/F233,0)</x:f>
        <x:v>73.35854213307167</x:v>
      </x:c>
      <x:c r="Q233" s="78" t="n">
        <x:v>0</x:v>
      </x:c>
      <x:c r="R233" s="78" t="str">
        <x:v>Resolve</x:v>
      </x:c>
      <x:c r="S233" s="78" t="n">
        <x:f>IF(R233="Resolve",IF(IF(E233="YES",Q233,1-Q233)=1,P233*(1-F233),-O233),P233*(G233-F233))</x:f>
        <x:v>-49.88380865048874</x:v>
      </x:c>
      <x:c r="T233" s="78" t="n">
        <x:f>P233*J233</x:f>
        <x:v>0.220075626399215</x:v>
      </x:c>
      <x:c r="U233" s="78" t="n">
        <x:f>S233-T233</x:f>
        <x:v>-50.10388427688795</x:v>
      </x:c>
      <x:c r="V233" s="78" t="n">
        <x:f>N233+U233</x:f>
        <x:v>9926.657845820859</x:v>
      </x:c>
      <x:c r="W233" s="74" t="n">
        <x:f>IFERROR(V233/MAX($V$16:V233)-1,0)</x:f>
        <x:v>-0.017729833224096825</x:v>
      </x:c>
      <x:c r="X233" t="str">
        <x:f>IF(O233&gt;0,"TRADE","NO_TRADE")</x:f>
        <x:v>TRADE</x:v>
      </x:c>
    </x:row>
    <x:row r="234">
      <x:c r="A234" s="66" t="n">
        <x:v>46167.51261574074</x:v>
      </x:c>
      <x:c r="B234" s="66" t="str">
        <x:v>MKT_1003</x:v>
      </x:c>
      <x:c r="C234" s="66" t="n">
        <x:v>46167.51388888889</x:v>
      </x:c>
      <x:c r="D234" t="n">
        <x:v>110</x:v>
      </x:c>
      <x:c r="E234" t="str">
        <x:v>YES</x:v>
      </x:c>
      <x:c r="F234" s="74" t="n">
        <x:v>0.91</x:v>
      </x:c>
      <x:c r="G234" s="74" t="n">
        <x:v>0.91</x:v>
      </x:c>
      <x:c r="H234" s="74" t="n">
        <x:v>0.9450000000000001</x:v>
      </x:c>
      <x:c r="I234" s="74" t="n">
        <x:f>IF(E234="YES",H234,1-H234)</x:f>
        <x:v>0.9450000000000001</x:v>
      </x:c>
      <x:c r="J234" s="76" t="n">
        <x:f>Assumptions!$C$12+Assumptions!$C$11*F234</x:f>
        <x:v>0.003</x:v>
      </x:c>
      <x:c r="K234" s="76" t="n">
        <x:f>I234-F234-J234</x:f>
        <x:v>0.03200000000000003</x:v>
      </x:c>
      <x:c r="L234" s="74" t="n">
        <x:f>MAX(0,IFERROR(K234/(1-F234),0))</x:f>
        <x:v>0.355555555555556</x:v>
      </x:c>
      <x:c r="M234" s="74" t="n">
        <x:f>MIN(Assumptions!$C$8*L234,Assumptions!$C$5)</x:f>
        <x:v>0.005</x:v>
      </x:c>
      <x:c r="N234" s="78" t="n">
        <x:f>IF(ROW()=16,Assumptions!$C$4,V233)</x:f>
        <x:v>9926.657845820859</x:v>
      </x:c>
      <x:c r="O234" s="78" t="n">
        <x:f>IF(AND(K234&gt;IF(F234&gt;=Assumptions!$C$21,Assumptions!$C$10,Assumptions!$C$9),D234&gt;Assumptions!$C$23),N234*M234,0)</x:f>
        <x:v>49.63328922910429</x:v>
      </x:c>
      <x:c r="P234" s="78" t="n">
        <x:f>IFERROR(O234/F234,0)</x:f>
        <x:v>54.54207607593878</x:v>
      </x:c>
      <x:c r="Q234" s="78" t="n">
        <x:v>1</x:v>
      </x:c>
      <x:c r="R234" s="78" t="str">
        <x:v>Resolve</x:v>
      </x:c>
      <x:c r="S234" s="78" t="n">
        <x:f>IF(R234="Resolve",IF(IF(E234="YES",Q234,1-Q234)=1,P234*(1-F234),-O234),P234*(G234-F234))</x:f>
        <x:v>4.908786846834489</x:v>
      </x:c>
      <x:c r="T234" s="78" t="n">
        <x:f>P234*J234</x:f>
        <x:v>0.16362622822781633</x:v>
      </x:c>
      <x:c r="U234" s="78" t="n">
        <x:f>S234-T234</x:f>
        <x:v>4.745160618606673</x:v>
      </x:c>
      <x:c r="V234" s="78" t="n">
        <x:f>N234+U234</x:f>
        <x:v>9931.403006439465</x:v>
      </x:c>
      <x:c r="W234" s="74" t="n">
        <x:f>IFERROR(V234/MAX($V$16:V234)-1,0)</x:f>
        <x:v>-0.017260286496022625</x:v>
      </x:c>
      <x:c r="X234" t="str">
        <x:f>IF(O234&gt;0,"TRADE","NO_TRADE")</x:f>
        <x:v>TRADE</x:v>
      </x:c>
    </x:row>
    <x:row r="235">
      <x:c r="A235" s="66" t="n">
        <x:v>46167.51267361111</x:v>
      </x:c>
      <x:c r="B235" s="66" t="str">
        <x:v>MKT_1003</x:v>
      </x:c>
      <x:c r="C235" s="66" t="n">
        <x:v>46167.51388888889</x:v>
      </x:c>
      <x:c r="D235" t="n">
        <x:v>105</x:v>
      </x:c>
      <x:c r="E235" t="str">
        <x:v>NO</x:v>
      </x:c>
      <x:c r="F235" s="74" t="n">
        <x:v>0.83</x:v>
      </x:c>
      <x:c r="G235" s="74" t="n">
        <x:v>0.83</x:v>
      </x:c>
      <x:c r="H235" s="74" t="n">
        <x:v>0.82</x:v>
      </x:c>
      <x:c r="I235" s="74" t="n">
        <x:f>IF(E235="YES",H235,1-H235)</x:f>
        <x:v>0.18000000000000005</x:v>
      </x:c>
      <x:c r="J235" s="76" t="n">
        <x:f>Assumptions!$C$12+Assumptions!$C$11*F235</x:f>
        <x:v>0.003</x:v>
      </x:c>
      <x:c r="K235" s="76" t="n">
        <x:f>I235-F235-J235</x:f>
        <x:v>-0.6529999999999999</x:v>
      </x:c>
      <x:c r="L235" s="74" t="n">
        <x:f>MAX(0,IFERROR(K235/(1-F235),0))</x:f>
        <x:v>0</x:v>
      </x:c>
      <x:c r="M235" s="74" t="n">
        <x:f>MIN(Assumptions!$C$8*L235,Assumptions!$C$5)</x:f>
        <x:v>0</x:v>
      </x:c>
      <x:c r="N235" s="78" t="n">
        <x:f>IF(ROW()=16,Assumptions!$C$4,V234)</x:f>
        <x:v>9931.403006439465</x:v>
      </x:c>
      <x:c r="O235" s="78" t="n">
        <x:f>IF(AND(K235&gt;IF(F235&gt;=Assumptions!$C$21,Assumptions!$C$10,Assumptions!$C$9),D235&gt;Assumptions!$C$23),N235*M235,0)</x:f>
        <x:v>0</x:v>
      </x:c>
      <x:c r="P235" s="78" t="n">
        <x:f>IFERROR(O235/F235,0)</x:f>
        <x:v>0</x:v>
      </x:c>
      <x:c r="Q235" s="78" t="n">
        <x:v>1</x:v>
      </x:c>
      <x:c r="R235" s="78" t="str">
        <x:v>Resolve</x:v>
      </x:c>
      <x:c r="S235" s="78" t="n">
        <x:f>IF(R235="Resolve",IF(IF(E235="YES",Q235,1-Q235)=1,P235*(1-F235),-O235),P235*(G235-F235))</x:f>
        <x:v>0</x:v>
      </x:c>
      <x:c r="T235" s="78" t="n">
        <x:f>P235*J235</x:f>
        <x:v>0</x:v>
      </x:c>
      <x:c r="U235" s="78" t="n">
        <x:f>S235-T235</x:f>
        <x:v>0</x:v>
      </x:c>
      <x:c r="V235" s="78" t="n">
        <x:f>N235+U235</x:f>
        <x:v>9931.403006439465</x:v>
      </x:c>
      <x:c r="W235" s="74" t="n">
        <x:f>IFERROR(V235/MAX($V$16:V235)-1,0)</x:f>
        <x:v>-0.017260286496022625</x:v>
      </x:c>
      <x:c r="X235" t="str">
        <x:f>IF(O235&gt;0,"TRADE","NO_TRADE")</x:f>
        <x:v>NO_TRADE</x:v>
      </x:c>
    </x:row>
    <x:row r="236">
      <x:c r="A236" s="66" t="n">
        <x:v>46167.51273148148</x:v>
      </x:c>
      <x:c r="B236" s="66" t="str">
        <x:v>MKT_1003</x:v>
      </x:c>
      <x:c r="C236" s="66" t="n">
        <x:v>46167.51388888889</x:v>
      </x:c>
      <x:c r="D236" t="n">
        <x:v>100</x:v>
      </x:c>
      <x:c r="E236" t="str">
        <x:v>YES</x:v>
      </x:c>
      <x:c r="F236" s="74" t="n">
        <x:v>0.52</x:v>
      </x:c>
      <x:c r="G236" s="74" t="n">
        <x:v>0.52</x:v>
      </x:c>
      <x:c r="H236" s="74" t="n">
        <x:v>0.535</x:v>
      </x:c>
      <x:c r="I236" s="74" t="n">
        <x:f>IF(E236="YES",H236,1-H236)</x:f>
        <x:v>0.535</x:v>
      </x:c>
      <x:c r="J236" s="76" t="n">
        <x:f>Assumptions!$C$12+Assumptions!$C$11*F236</x:f>
        <x:v>0.003</x:v>
      </x:c>
      <x:c r="K236" s="76" t="n">
        <x:f>I236-F236-J236</x:f>
        <x:v>0.012000000000000014</x:v>
      </x:c>
      <x:c r="L236" s="74" t="n">
        <x:f>MAX(0,IFERROR(K236/(1-F236),0))</x:f>
        <x:v>0.02500000000000003</x:v>
      </x:c>
      <x:c r="M236" s="74" t="n">
        <x:f>MIN(Assumptions!$C$8*L236,Assumptions!$C$5)</x:f>
        <x:v>0.005</x:v>
      </x:c>
      <x:c r="N236" s="78" t="n">
        <x:f>IF(ROW()=16,Assumptions!$C$4,V235)</x:f>
        <x:v>9931.403006439465</x:v>
      </x:c>
      <x:c r="O236" s="78" t="n">
        <x:f>IF(AND(K236&gt;IF(F236&gt;=Assumptions!$C$21,Assumptions!$C$10,Assumptions!$C$9),D236&gt;Assumptions!$C$23),N236*M236,0)</x:f>
        <x:v>49.65701503219732</x:v>
      </x:c>
      <x:c r="P236" s="78" t="n">
        <x:f>IFERROR(O236/F236,0)</x:f>
        <x:v>95.49425967730254</x:v>
      </x:c>
      <x:c r="Q236" s="78" t="n">
        <x:v>0</x:v>
      </x:c>
      <x:c r="R236" s="78" t="str">
        <x:v>Resolve</x:v>
      </x:c>
      <x:c r="S236" s="78" t="n">
        <x:f>IF(R236="Resolve",IF(IF(E236="YES",Q236,1-Q236)=1,P236*(1-F236),-O236),P236*(G236-F236))</x:f>
        <x:v>-49.65701503219732</x:v>
      </x:c>
      <x:c r="T236" s="78" t="n">
        <x:f>P236*J236</x:f>
        <x:v>0.2864827790319076</x:v>
      </x:c>
      <x:c r="U236" s="78" t="n">
        <x:f>S236-T236</x:f>
        <x:v>-49.94349781122923</x:v>
      </x:c>
      <x:c r="V236" s="78" t="n">
        <x:f>N236+U236</x:f>
        <x:v>9881.459508628235</x:v>
      </x:c>
      <x:c r="W236" s="74" t="n">
        <x:f>IFERROR(V236/MAX($V$16:V236)-1,0)</x:f>
        <x:v>-0.02220233332450905</x:v>
      </x:c>
      <x:c r="X236" t="str">
        <x:f>IF(O236&gt;0,"TRADE","NO_TRADE")</x:f>
        <x:v>TRADE</x:v>
      </x:c>
    </x:row>
    <x:row r="237">
      <x:c r="A237" s="66" t="n">
        <x:v>46167.51278935185</x:v>
      </x:c>
      <x:c r="B237" s="66" t="str">
        <x:v>MKT_1003</x:v>
      </x:c>
      <x:c r="C237" s="66" t="n">
        <x:v>46167.51388888889</x:v>
      </x:c>
      <x:c r="D237" t="n">
        <x:v>95</x:v>
      </x:c>
      <x:c r="E237" t="str">
        <x:v>YES</x:v>
      </x:c>
      <x:c r="F237" s="74" t="n">
        <x:v>0.61</x:v>
      </x:c>
      <x:c r="G237" s="74" t="n">
        <x:v>0.61</x:v>
      </x:c>
      <x:c r="H237" s="74" t="n">
        <x:v>0.63</x:v>
      </x:c>
      <x:c r="I237" s="74" t="n">
        <x:f>IF(E237="YES",H237,1-H237)</x:f>
        <x:v>0.63</x:v>
      </x:c>
      <x:c r="J237" s="76" t="n">
        <x:f>Assumptions!$C$12+Assumptions!$C$11*F237</x:f>
        <x:v>0.003</x:v>
      </x:c>
      <x:c r="K237" s="76" t="n">
        <x:f>I237-F237-J237</x:f>
        <x:v>0.01700000000000002</x:v>
      </x:c>
      <x:c r="L237" s="74" t="n">
        <x:f>MAX(0,IFERROR(K237/(1-F237),0))</x:f>
        <x:v>0.043589743589743636</x:v>
      </x:c>
      <x:c r="M237" s="74" t="n">
        <x:f>MIN(Assumptions!$C$8*L237,Assumptions!$C$5)</x:f>
        <x:v>0.005</x:v>
      </x:c>
      <x:c r="N237" s="78" t="n">
        <x:f>IF(ROW()=16,Assumptions!$C$4,V236)</x:f>
        <x:v>9881.459508628235</x:v>
      </x:c>
      <x:c r="O237" s="78" t="n">
        <x:f>IF(AND(K237&gt;IF(F237&gt;=Assumptions!$C$21,Assumptions!$C$10,Assumptions!$C$9),D237&gt;Assumptions!$C$23),N237*M237,0)</x:f>
        <x:v>49.407297543141176</x:v>
      </x:c>
      <x:c r="P237" s="78" t="n">
        <x:f>IFERROR(O237/F237,0)</x:f>
        <x:v>80.99556974285439</x:v>
      </x:c>
      <x:c r="Q237" s="78" t="n">
        <x:v>1</x:v>
      </x:c>
      <x:c r="R237" s="78" t="str">
        <x:v>Resolve</x:v>
      </x:c>
      <x:c r="S237" s="78" t="n">
        <x:f>IF(R237="Resolve",IF(IF(E237="YES",Q237,1-Q237)=1,P237*(1-F237),-O237),P237*(G237-F237))</x:f>
        <x:v>31.588272199713213</x:v>
      </x:c>
      <x:c r="T237" s="78" t="n">
        <x:f>P237*J237</x:f>
        <x:v>0.24298670922856316</x:v>
      </x:c>
      <x:c r="U237" s="78" t="n">
        <x:f>S237-T237</x:f>
        <x:v>31.34528549048465</x:v>
      </x:c>
      <x:c r="V237" s="78" t="n">
        <x:f>N237+U237</x:f>
        <x:v>9912.80479411872</x:v>
      </x:c>
      <x:c r="W237" s="74" t="n">
        <x:f>IFERROR(V237/MAX($V$16:V237)-1,0)</x:f>
        <x:v>-0.01910063089005487</x:v>
      </x:c>
      <x:c r="X237" t="str">
        <x:f>IF(O237&gt;0,"TRADE","NO_TRADE")</x:f>
        <x:v>TRADE</x:v>
      </x:c>
    </x:row>
    <x:row r="238">
      <x:c r="A238" s="66" t="n">
        <x:v>46167.51284722222</x:v>
      </x:c>
      <x:c r="B238" s="66" t="str">
        <x:v>MKT_1003</x:v>
      </x:c>
      <x:c r="C238" s="66" t="n">
        <x:v>46167.51388888889</x:v>
      </x:c>
      <x:c r="D238" t="n">
        <x:v>90</x:v>
      </x:c>
      <x:c r="E238" t="str">
        <x:v>NO</x:v>
      </x:c>
      <x:c r="F238" s="74" t="n">
        <x:v>0.74</x:v>
      </x:c>
      <x:c r="G238" s="74" t="n">
        <x:v>0.74</x:v>
      </x:c>
      <x:c r="H238" s="74" t="n">
        <x:v>0.735</x:v>
      </x:c>
      <x:c r="I238" s="74" t="n">
        <x:f>IF(E238="YES",H238,1-H238)</x:f>
        <x:v>0.265</x:v>
      </x:c>
      <x:c r="J238" s="76" t="n">
        <x:f>Assumptions!$C$12+Assumptions!$C$11*F238</x:f>
        <x:v>0.003</x:v>
      </x:c>
      <x:c r="K238" s="76" t="n">
        <x:f>I238-F238-J238</x:f>
        <x:v>-0.478</x:v>
      </x:c>
      <x:c r="L238" s="74" t="n">
        <x:f>MAX(0,IFERROR(K238/(1-F238),0))</x:f>
        <x:v>0</x:v>
      </x:c>
      <x:c r="M238" s="74" t="n">
        <x:f>MIN(Assumptions!$C$8*L238,Assumptions!$C$5)</x:f>
        <x:v>0</x:v>
      </x:c>
      <x:c r="N238" s="78" t="n">
        <x:f>IF(ROW()=16,Assumptions!$C$4,V237)</x:f>
        <x:v>9912.80479411872</x:v>
      </x:c>
      <x:c r="O238" s="78" t="n">
        <x:f>IF(AND(K238&gt;IF(F238&gt;=Assumptions!$C$21,Assumptions!$C$10,Assumptions!$C$9),D238&gt;Assumptions!$C$23),N238*M238,0)</x:f>
        <x:v>0</x:v>
      </x:c>
      <x:c r="P238" s="78" t="n">
        <x:f>IFERROR(O238/F238,0)</x:f>
        <x:v>0</x:v>
      </x:c>
      <x:c r="Q238" s="78" t="n">
        <x:v>1</x:v>
      </x:c>
      <x:c r="R238" s="78" t="str">
        <x:v>Resolve</x:v>
      </x:c>
      <x:c r="S238" s="78" t="n">
        <x:f>IF(R238="Resolve",IF(IF(E238="YES",Q238,1-Q238)=1,P238*(1-F238),-O238),P238*(G238-F238))</x:f>
        <x:v>0</x:v>
      </x:c>
      <x:c r="T238" s="78" t="n">
        <x:f>P238*J238</x:f>
        <x:v>0</x:v>
      </x:c>
      <x:c r="U238" s="78" t="n">
        <x:f>S238-T238</x:f>
        <x:v>0</x:v>
      </x:c>
      <x:c r="V238" s="78" t="n">
        <x:f>N238+U238</x:f>
        <x:v>9912.80479411872</x:v>
      </x:c>
      <x:c r="W238" s="74" t="n">
        <x:f>IFERROR(V238/MAX($V$16:V238)-1,0)</x:f>
        <x:v>-0.01910063089005487</x:v>
      </x:c>
      <x:c r="X238" t="str">
        <x:f>IF(O238&gt;0,"TRADE","NO_TRADE")</x:f>
        <x:v>NO_TRADE</x:v>
      </x:c>
    </x:row>
    <x:row r="239">
      <x:c r="A239" s="66" t="n">
        <x:v>46167.51290509259</x:v>
      </x:c>
      <x:c r="B239" s="66" t="str">
        <x:v>MKT_1003</x:v>
      </x:c>
      <x:c r="C239" s="66" t="n">
        <x:v>46167.51388888889</x:v>
      </x:c>
      <x:c r="D239" t="n">
        <x:v>85</x:v>
      </x:c>
      <x:c r="E239" t="str">
        <x:v>YES</x:v>
      </x:c>
      <x:c r="F239" s="74" t="n">
        <x:v>0.88</x:v>
      </x:c>
      <x:c r="G239" s="74" t="n">
        <x:v>0.88</x:v>
      </x:c>
      <x:c r="H239" s="74" t="n">
        <x:v>0.91</x:v>
      </x:c>
      <x:c r="I239" s="74" t="n">
        <x:f>IF(E239="YES",H239,1-H239)</x:f>
        <x:v>0.91</x:v>
      </x:c>
      <x:c r="J239" s="76" t="n">
        <x:f>Assumptions!$C$12+Assumptions!$C$11*F239</x:f>
        <x:v>0.003</x:v>
      </x:c>
      <x:c r="K239" s="76" t="n">
        <x:f>I239-F239-J239</x:f>
        <x:v>0.027000000000000027</x:v>
      </x:c>
      <x:c r="L239" s="74" t="n">
        <x:f>MAX(0,IFERROR(K239/(1-F239),0))</x:f>
        <x:v>0.22500000000000023</x:v>
      </x:c>
      <x:c r="M239" s="74" t="n">
        <x:f>MIN(Assumptions!$C$8*L239,Assumptions!$C$5)</x:f>
        <x:v>0.005</x:v>
      </x:c>
      <x:c r="N239" s="78" t="n">
        <x:f>IF(ROW()=16,Assumptions!$C$4,V238)</x:f>
        <x:v>9912.80479411872</x:v>
      </x:c>
      <x:c r="O239" s="78" t="n">
        <x:f>IF(AND(K239&gt;IF(F239&gt;=Assumptions!$C$21,Assumptions!$C$10,Assumptions!$C$9),D239&gt;Assumptions!$C$23),N239*M239,0)</x:f>
        <x:v>49.5640239705936</x:v>
      </x:c>
      <x:c r="P239" s="78" t="n">
        <x:f>IFERROR(O239/F239,0)</x:f>
        <x:v>56.32275451203819</x:v>
      </x:c>
      <x:c r="Q239" s="78" t="n">
        <x:v>1</x:v>
      </x:c>
      <x:c r="R239" s="78" t="str">
        <x:v>Resolve</x:v>
      </x:c>
      <x:c r="S239" s="78" t="n">
        <x:f>IF(R239="Resolve",IF(IF(E239="YES",Q239,1-Q239)=1,P239*(1-F239),-O239),P239*(G239-F239))</x:f>
        <x:v>6.758730541444582</x:v>
      </x:c>
      <x:c r="T239" s="78" t="n">
        <x:f>P239*J239</x:f>
        <x:v>0.16896826353611458</x:v>
      </x:c>
      <x:c r="U239" s="78" t="n">
        <x:f>S239-T239</x:f>
        <x:v>6.589762277908468</x:v>
      </x:c>
      <x:c r="V239" s="78" t="n">
        <x:f>N239+U239</x:f>
        <x:v>9919.394556396628</x:v>
      </x:c>
      <x:c r="W239" s="74" t="n">
        <x:f>IFERROR(V239/MAX($V$16:V239)-1,0)</x:f>
        <x:v>-0.018448555741271466</x:v>
      </x:c>
      <x:c r="X239" t="str">
        <x:f>IF(O239&gt;0,"TRADE","NO_TRADE")</x:f>
        <x:v>TRADE</x:v>
      </x:c>
    </x:row>
    <x:row r="240">
      <x:c r="A240" s="66" t="n">
        <x:v>46167.51296296297</x:v>
      </x:c>
      <x:c r="B240" s="66" t="str">
        <x:v>MKT_1003</x:v>
      </x:c>
      <x:c r="C240" s="66" t="n">
        <x:v>46167.51388888889</x:v>
      </x:c>
      <x:c r="D240" t="n">
        <x:v>80</x:v>
      </x:c>
      <x:c r="E240" t="str">
        <x:v>YES</x:v>
      </x:c>
      <x:c r="F240" s="74" t="n">
        <x:v>0.94</x:v>
      </x:c>
      <x:c r="G240" s="74" t="n">
        <x:v>0.94</x:v>
      </x:c>
      <x:c r="H240" s="74" t="n">
        <x:v>0.98</x:v>
      </x:c>
      <x:c r="I240" s="74" t="n">
        <x:f>IF(E240="YES",H240,1-H240)</x:f>
        <x:v>0.98</x:v>
      </x:c>
      <x:c r="J240" s="76" t="n">
        <x:f>Assumptions!$C$12+Assumptions!$C$11*F240</x:f>
        <x:v>0.003</x:v>
      </x:c>
      <x:c r="K240" s="76" t="n">
        <x:f>I240-F240-J240</x:f>
        <x:v>0.03700000000000003</x:v>
      </x:c>
      <x:c r="L240" s="74" t="n">
        <x:f>MAX(0,IFERROR(K240/(1-F240),0))</x:f>
        <x:v>0.6166666666666667</x:v>
      </x:c>
      <x:c r="M240" s="74" t="n">
        <x:f>MIN(Assumptions!$C$8*L240,Assumptions!$C$5)</x:f>
        <x:v>0.005</x:v>
      </x:c>
      <x:c r="N240" s="78" t="n">
        <x:f>IF(ROW()=16,Assumptions!$C$4,V239)</x:f>
        <x:v>9919.394556396628</x:v>
      </x:c>
      <x:c r="O240" s="78" t="n">
        <x:f>IF(AND(K240&gt;IF(F240&gt;=Assumptions!$C$21,Assumptions!$C$10,Assumptions!$C$9),D240&gt;Assumptions!$C$23),N240*M240,0)</x:f>
        <x:v>49.59697278198314</x:v>
      </x:c>
      <x:c r="P240" s="78" t="n">
        <x:f>IFERROR(O240/F240,0)</x:f>
        <x:v>52.76273700210972</x:v>
      </x:c>
      <x:c r="Q240" s="78" t="n">
        <x:v>0</x:v>
      </x:c>
      <x:c r="R240" s="78" t="str">
        <x:v>Resolve</x:v>
      </x:c>
      <x:c r="S240" s="78" t="n">
        <x:f>IF(R240="Resolve",IF(IF(E240="YES",Q240,1-Q240)=1,P240*(1-F240),-O240),P240*(G240-F240))</x:f>
        <x:v>-49.59697278198314</x:v>
      </x:c>
      <x:c r="T240" s="78" t="n">
        <x:f>P240*J240</x:f>
        <x:v>0.15828821100632917</x:v>
      </x:c>
      <x:c r="U240" s="78" t="n">
        <x:f>S240-T240</x:f>
        <x:v>-49.75526099298947</x:v>
      </x:c>
      <x:c r="V240" s="78" t="n">
        <x:f>N240+U240</x:f>
        <x:v>9869.639295403638</x:v>
      </x:c>
      <x:c r="W240" s="74" t="n">
        <x:f>IFERROR(V240/MAX($V$16:V240)-1,0)</x:f>
        <x:v>-0.02337197601752672</x:v>
      </x:c>
      <x:c r="X240" t="str">
        <x:f>IF(O240&gt;0,"TRADE","NO_TRADE")</x:f>
        <x:v>TRADE</x:v>
      </x:c>
    </x:row>
    <x:row r="241">
      <x:c r="A241" s="66" t="n">
        <x:v>46167.513020833336</x:v>
      </x:c>
      <x:c r="B241" s="66" t="str">
        <x:v>MKT_1003</x:v>
      </x:c>
      <x:c r="C241" s="66" t="n">
        <x:v>46167.51388888889</x:v>
      </x:c>
      <x:c r="D241" t="n">
        <x:v>75</x:v>
      </x:c>
      <x:c r="E241" t="str">
        <x:v>NO</x:v>
      </x:c>
      <x:c r="F241" s="74" t="n">
        <x:v>0.95</x:v>
      </x:c>
      <x:c r="G241" s="74" t="n">
        <x:v>0.95</x:v>
      </x:c>
      <x:c r="H241" s="74" t="n">
        <x:v>0.968</x:v>
      </x:c>
      <x:c r="I241" s="74" t="n">
        <x:f>IF(E241="YES",H241,1-H241)</x:f>
        <x:v>0.03200000000000003</x:v>
      </x:c>
      <x:c r="J241" s="76" t="n">
        <x:f>Assumptions!$C$12+Assumptions!$C$11*F241</x:f>
        <x:v>0.003</x:v>
      </x:c>
      <x:c r="K241" s="76" t="n">
        <x:f>I241-F241-J241</x:f>
        <x:v>-0.9209999999999999</x:v>
      </x:c>
      <x:c r="L241" s="74" t="n">
        <x:f>MAX(0,IFERROR(K241/(1-F241),0))</x:f>
        <x:v>0</x:v>
      </x:c>
      <x:c r="M241" s="74" t="n">
        <x:f>MIN(Assumptions!$C$8*L241,Assumptions!$C$5)</x:f>
        <x:v>0</x:v>
      </x:c>
      <x:c r="N241" s="78" t="n">
        <x:f>IF(ROW()=16,Assumptions!$C$4,V240)</x:f>
        <x:v>9869.639295403638</x:v>
      </x:c>
      <x:c r="O241" s="78" t="n">
        <x:f>IF(AND(K241&gt;IF(F241&gt;=Assumptions!$C$21,Assumptions!$C$10,Assumptions!$C$9),D241&gt;Assumptions!$C$23),N241*M241,0)</x:f>
        <x:v>0</x:v>
      </x:c>
      <x:c r="P241" s="78" t="n">
        <x:f>IFERROR(O241/F241,0)</x:f>
        <x:v>0</x:v>
      </x:c>
      <x:c r="Q241" s="78" t="n">
        <x:v>1</x:v>
      </x:c>
      <x:c r="R241" s="78" t="str">
        <x:v>Resolve</x:v>
      </x:c>
      <x:c r="S241" s="78" t="n">
        <x:f>IF(R241="Resolve",IF(IF(E241="YES",Q241,1-Q241)=1,P241*(1-F241),-O241),P241*(G241-F241))</x:f>
        <x:v>0</x:v>
      </x:c>
      <x:c r="T241" s="78" t="n">
        <x:f>P241*J241</x:f>
        <x:v>0</x:v>
      </x:c>
      <x:c r="U241" s="78" t="n">
        <x:f>S241-T241</x:f>
        <x:v>0</x:v>
      </x:c>
      <x:c r="V241" s="78" t="n">
        <x:f>N241+U241</x:f>
        <x:v>9869.639295403638</x:v>
      </x:c>
      <x:c r="W241" s="74" t="n">
        <x:f>IFERROR(V241/MAX($V$16:V241)-1,0)</x:f>
        <x:v>-0.02337197601752672</x:v>
      </x:c>
      <x:c r="X241" t="str">
        <x:f>IF(O241&gt;0,"TRADE","NO_TRADE")</x:f>
        <x:v>NO_TRADE</x:v>
      </x:c>
    </x:row>
    <x:row r="242">
      <x:c r="A242" s="66" t="n">
        <x:v>46167.513078703705</x:v>
      </x:c>
      <x:c r="B242" s="66" t="str">
        <x:v>MKT_1003</x:v>
      </x:c>
      <x:c r="C242" s="66" t="n">
        <x:v>46167.51388888889</x:v>
      </x:c>
      <x:c r="D242" t="n">
        <x:v>70</x:v>
      </x:c>
      <x:c r="E242" t="str">
        <x:v>YES</x:v>
      </x:c>
      <x:c r="F242" s="74" t="n">
        <x:v>0.57</x:v>
      </x:c>
      <x:c r="G242" s="74" t="n">
        <x:v>0.57</x:v>
      </x:c>
      <x:c r="H242" s="74" t="n">
        <x:v>0.582</x:v>
      </x:c>
      <x:c r="I242" s="74" t="n">
        <x:f>IF(E242="YES",H242,1-H242)</x:f>
        <x:v>0.582</x:v>
      </x:c>
      <x:c r="J242" s="76" t="n">
        <x:f>Assumptions!$C$12+Assumptions!$C$11*F242</x:f>
        <x:v>0.003</x:v>
      </x:c>
      <x:c r="K242" s="76" t="n">
        <x:f>I242-F242-J242</x:f>
        <x:v>0.009000000000000011</x:v>
      </x:c>
      <x:c r="L242" s="74" t="n">
        <x:f>MAX(0,IFERROR(K242/(1-F242),0))</x:f>
        <x:v>0.02093023255813956</x:v>
      </x:c>
      <x:c r="M242" s="74" t="n">
        <x:f>MIN(Assumptions!$C$8*L242,Assumptions!$C$5)</x:f>
        <x:v>0.005</x:v>
      </x:c>
      <x:c r="N242" s="78" t="n">
        <x:f>IF(ROW()=16,Assumptions!$C$4,V241)</x:f>
        <x:v>9869.639295403638</x:v>
      </x:c>
      <x:c r="O242" s="78" t="n">
        <x:f>IF(AND(K242&gt;IF(F242&gt;=Assumptions!$C$21,Assumptions!$C$10,Assumptions!$C$9),D242&gt;Assumptions!$C$23),N242*M242,0)</x:f>
        <x:v>49.34819647701819</x:v>
      </x:c>
      <x:c r="P242" s="78" t="n">
        <x:f>IFERROR(O242/F242,0)</x:f>
        <x:v>86.57578329301438</x:v>
      </x:c>
      <x:c r="Q242" s="78" t="n">
        <x:v>1</x:v>
      </x:c>
      <x:c r="R242" s="78" t="str">
        <x:v>Resolve</x:v>
      </x:c>
      <x:c r="S242" s="78" t="n">
        <x:f>IF(R242="Resolve",IF(IF(E242="YES",Q242,1-Q242)=1,P242*(1-F242),-O242),P242*(G242-F242))</x:f>
        <x:v>37.22758681599619</x:v>
      </x:c>
      <x:c r="T242" s="78" t="n">
        <x:f>P242*J242</x:f>
        <x:v>0.25972734987904317</x:v>
      </x:c>
      <x:c r="U242" s="78" t="n">
        <x:f>S242-T242</x:f>
        <x:v>36.96785946611715</x:v>
      </x:c>
      <x:c r="V242" s="78" t="n">
        <x:f>N242+U242</x:f>
        <x:v>9906.607154869755</x:v>
      </x:c>
      <x:c r="W242" s="74" t="n">
        <x:f>IFERROR(V242/MAX($V$16:V242)-1,0)</x:f>
        <x:v>-0.019713904383838132</x:v>
      </x:c>
      <x:c r="X242" t="str">
        <x:f>IF(O242&gt;0,"TRADE","NO_TRADE")</x:f>
        <x:v>TRADE</x:v>
      </x:c>
    </x:row>
    <x:row r="243">
      <x:c r="A243" s="66" t="n">
        <x:v>46167.513136574074</x:v>
      </x:c>
      <x:c r="B243" s="66" t="str">
        <x:v>MKT_1003</x:v>
      </x:c>
      <x:c r="C243" s="66" t="n">
        <x:v>46167.51388888889</x:v>
      </x:c>
      <x:c r="D243" t="n">
        <x:v>65</x:v>
      </x:c>
      <x:c r="E243" t="str">
        <x:v>YES</x:v>
      </x:c>
      <x:c r="F243" s="74" t="n">
        <x:v>0.68</x:v>
      </x:c>
      <x:c r="G243" s="74" t="n">
        <x:v>0.68</x:v>
      </x:c>
      <x:c r="H243" s="74" t="n">
        <x:v>0.7050000000000001</x:v>
      </x:c>
      <x:c r="I243" s="74" t="n">
        <x:f>IF(E243="YES",H243,1-H243)</x:f>
        <x:v>0.7050000000000001</x:v>
      </x:c>
      <x:c r="J243" s="76" t="n">
        <x:f>Assumptions!$C$12+Assumptions!$C$11*F243</x:f>
        <x:v>0.003</x:v>
      </x:c>
      <x:c r="K243" s="76" t="n">
        <x:f>I243-F243-J243</x:f>
        <x:v>0.022000000000000023</x:v>
      </x:c>
      <x:c r="L243" s="74" t="n">
        <x:f>MAX(0,IFERROR(K243/(1-F243),0))</x:f>
        <x:v>0.06875000000000009</x:v>
      </x:c>
      <x:c r="M243" s="74" t="n">
        <x:f>MIN(Assumptions!$C$8*L243,Assumptions!$C$5)</x:f>
        <x:v>0.005</x:v>
      </x:c>
      <x:c r="N243" s="78" t="n">
        <x:f>IF(ROW()=16,Assumptions!$C$4,V242)</x:f>
        <x:v>9906.607154869755</x:v>
      </x:c>
      <x:c r="O243" s="78" t="n">
        <x:f>IF(AND(K243&gt;IF(F243&gt;=Assumptions!$C$21,Assumptions!$C$10,Assumptions!$C$9),D243&gt;Assumptions!$C$23),N243*M243,0)</x:f>
        <x:v>49.533035774348775</x:v>
      </x:c>
      <x:c r="P243" s="78" t="n">
        <x:f>IFERROR(O243/F243,0)</x:f>
        <x:v>72.84269966815995</x:v>
      </x:c>
      <x:c r="Q243" s="78" t="n">
        <x:v>0</x:v>
      </x:c>
      <x:c r="R243" s="78" t="str">
        <x:v>Resolve</x:v>
      </x:c>
      <x:c r="S243" s="78" t="n">
        <x:f>IF(R243="Resolve",IF(IF(E243="YES",Q243,1-Q243)=1,P243*(1-F243),-O243),P243*(G243-F243))</x:f>
        <x:v>-49.533035774348775</x:v>
      </x:c>
      <x:c r="T243" s="78" t="n">
        <x:f>P243*J243</x:f>
        <x:v>0.21852809900447986</x:v>
      </x:c>
      <x:c r="U243" s="78" t="n">
        <x:f>S243-T243</x:f>
        <x:v>-49.751563873353255</x:v>
      </x:c>
      <x:c r="V243" s="78" t="n">
        <x:f>N243+U243</x:f>
        <x:v>9856.855590996402</x:v>
      </x:c>
      <x:c r="W243" s="74" t="n">
        <x:f>IFERROR(V243/MAX($V$16:V243)-1,0)</x:f>
        <x:v>-0.02463695881991046</x:v>
      </x:c>
      <x:c r="X243" t="str">
        <x:f>IF(O243&gt;0,"TRADE","NO_TRADE")</x:f>
        <x:v>TRADE</x:v>
      </x:c>
    </x:row>
    <x:row r="244">
      <x:c r="A244" s="66" t="n">
        <x:v>46167.513194444444</x:v>
      </x:c>
      <x:c r="B244" s="66" t="str">
        <x:v>MKT_1003</x:v>
      </x:c>
      <x:c r="C244" s="66" t="n">
        <x:v>46167.51388888889</x:v>
      </x:c>
      <x:c r="D244" t="n">
        <x:v>60</x:v>
      </x:c>
      <x:c r="E244" t="str">
        <x:v>NO</x:v>
      </x:c>
      <x:c r="F244" s="74" t="n">
        <x:v>0.91</x:v>
      </x:c>
      <x:c r="G244" s="74" t="n">
        <x:v>0.91</x:v>
      </x:c>
      <x:c r="H244" s="74" t="n">
        <x:v>0.9450000000000001</x:v>
      </x:c>
      <x:c r="I244" s="74" t="n">
        <x:f>IF(E244="YES",H244,1-H244)</x:f>
        <x:v>0.05499999999999994</x:v>
      </x:c>
      <x:c r="J244" s="76" t="n">
        <x:f>Assumptions!$C$12+Assumptions!$C$11*F244</x:f>
        <x:v>0.003</x:v>
      </x:c>
      <x:c r="K244" s="76" t="n">
        <x:f>I244-F244-J244</x:f>
        <x:v>-0.8580000000000001</x:v>
      </x:c>
      <x:c r="L244" s="74" t="n">
        <x:f>MAX(0,IFERROR(K244/(1-F244),0))</x:f>
        <x:v>0</x:v>
      </x:c>
      <x:c r="M244" s="74" t="n">
        <x:f>MIN(Assumptions!$C$8*L244,Assumptions!$C$5)</x:f>
        <x:v>0</x:v>
      </x:c>
      <x:c r="N244" s="78" t="n">
        <x:f>IF(ROW()=16,Assumptions!$C$4,V243)</x:f>
        <x:v>9856.855590996402</x:v>
      </x:c>
      <x:c r="O244" s="78" t="n">
        <x:f>IF(AND(K244&gt;IF(F244&gt;=Assumptions!$C$21,Assumptions!$C$10,Assumptions!$C$9),D244&gt;Assumptions!$C$23),N244*M244,0)</x:f>
        <x:v>0</x:v>
      </x:c>
      <x:c r="P244" s="78" t="n">
        <x:f>IFERROR(O244/F244,0)</x:f>
        <x:v>0</x:v>
      </x:c>
      <x:c r="Q244" s="78" t="n">
        <x:v>1</x:v>
      </x:c>
      <x:c r="R244" s="78" t="str">
        <x:v>Resolve</x:v>
      </x:c>
      <x:c r="S244" s="78" t="n">
        <x:f>IF(R244="Resolve",IF(IF(E244="YES",Q244,1-Q244)=1,P244*(1-F244),-O244),P244*(G244-F244))</x:f>
        <x:v>0</x:v>
      </x:c>
      <x:c r="T244" s="78" t="n">
        <x:f>P244*J244</x:f>
        <x:v>0</x:v>
      </x:c>
      <x:c r="U244" s="78" t="n">
        <x:f>S244-T244</x:f>
        <x:v>0</x:v>
      </x:c>
      <x:c r="V244" s="78" t="n">
        <x:f>N244+U244</x:f>
        <x:v>9856.855590996402</x:v>
      </x:c>
      <x:c r="W244" s="74" t="n">
        <x:f>IFERROR(V244/MAX($V$16:V244)-1,0)</x:f>
        <x:v>-0.02463695881991046</x:v>
      </x:c>
      <x:c r="X244" t="str">
        <x:f>IF(O244&gt;0,"TRADE","NO_TRADE")</x:f>
        <x:v>NO_TRADE</x:v>
      </x:c>
    </x:row>
    <x:row r="245">
      <x:c r="A245" s="66" t="n">
        <x:v>46167.51325231481</x:v>
      </x:c>
      <x:c r="B245" s="66" t="str">
        <x:v>MKT_1003</x:v>
      </x:c>
      <x:c r="C245" s="66" t="n">
        <x:v>46167.51388888889</x:v>
      </x:c>
      <x:c r="D245" t="n">
        <x:v>55</x:v>
      </x:c>
      <x:c r="E245" t="str">
        <x:v>YES</x:v>
      </x:c>
      <x:c r="F245" s="74" t="n">
        <x:v>0.83</x:v>
      </x:c>
      <x:c r="G245" s="74" t="n">
        <x:v>0.83</x:v>
      </x:c>
      <x:c r="H245" s="74" t="n">
        <x:v>0.82</x:v>
      </x:c>
      <x:c r="I245" s="74" t="n">
        <x:f>IF(E245="YES",H245,1-H245)</x:f>
        <x:v>0.82</x:v>
      </x:c>
      <x:c r="J245" s="76" t="n">
        <x:f>Assumptions!$C$12+Assumptions!$C$11*F245</x:f>
        <x:v>0.003</x:v>
      </x:c>
      <x:c r="K245" s="76" t="n">
        <x:f>I245-F245-J245</x:f>
        <x:v>-0.013000000000000008</x:v>
      </x:c>
      <x:c r="L245" s="74" t="n">
        <x:f>MAX(0,IFERROR(K245/(1-F245),0))</x:f>
        <x:v>0</x:v>
      </x:c>
      <x:c r="M245" s="74" t="n">
        <x:f>MIN(Assumptions!$C$8*L245,Assumptions!$C$5)</x:f>
        <x:v>0</x:v>
      </x:c>
      <x:c r="N245" s="78" t="n">
        <x:f>IF(ROW()=16,Assumptions!$C$4,V244)</x:f>
        <x:v>9856.855590996402</x:v>
      </x:c>
      <x:c r="O245" s="78" t="n">
        <x:f>IF(AND(K245&gt;IF(F245&gt;=Assumptions!$C$21,Assumptions!$C$10,Assumptions!$C$9),D245&gt;Assumptions!$C$23),N245*M245,0)</x:f>
        <x:v>0</x:v>
      </x:c>
      <x:c r="P245" s="78" t="n">
        <x:f>IFERROR(O245/F245,0)</x:f>
        <x:v>0</x:v>
      </x:c>
      <x:c r="Q245" s="78" t="n">
        <x:v>1</x:v>
      </x:c>
      <x:c r="R245" s="78" t="str">
        <x:v>Resolve</x:v>
      </x:c>
      <x:c r="S245" s="78" t="n">
        <x:f>IF(R245="Resolve",IF(IF(E245="YES",Q245,1-Q245)=1,P245*(1-F245),-O245),P245*(G245-F245))</x:f>
        <x:v>0</x:v>
      </x:c>
      <x:c r="T245" s="78" t="n">
        <x:f>P245*J245</x:f>
        <x:v>0</x:v>
      </x:c>
      <x:c r="U245" s="78" t="n">
        <x:f>S245-T245</x:f>
        <x:v>0</x:v>
      </x:c>
      <x:c r="V245" s="78" t="n">
        <x:f>N245+U245</x:f>
        <x:v>9856.855590996402</x:v>
      </x:c>
      <x:c r="W245" s="74" t="n">
        <x:f>IFERROR(V245/MAX($V$16:V245)-1,0)</x:f>
        <x:v>-0.02463695881991046</x:v>
      </x:c>
      <x:c r="X245" t="str">
        <x:f>IF(O245&gt;0,"TRADE","NO_TRADE")</x:f>
        <x:v>NO_TRADE</x:v>
      </x:c>
    </x:row>
    <x:row r="246">
      <x:c r="A246" s="66" t="n">
        <x:v>46167.51331018518</x:v>
      </x:c>
      <x:c r="B246" s="66" t="str">
        <x:v>MKT_1003</x:v>
      </x:c>
      <x:c r="C246" s="66" t="n">
        <x:v>46167.51388888889</x:v>
      </x:c>
      <x:c r="D246" t="n">
        <x:v>50</x:v>
      </x:c>
      <x:c r="E246" t="str">
        <x:v>YES</x:v>
      </x:c>
      <x:c r="F246" s="74" t="n">
        <x:v>0.52</x:v>
      </x:c>
      <x:c r="G246" s="74" t="n">
        <x:v>0.52</x:v>
      </x:c>
      <x:c r="H246" s="74" t="n">
        <x:v>0.535</x:v>
      </x:c>
      <x:c r="I246" s="74" t="n">
        <x:f>IF(E246="YES",H246,1-H246)</x:f>
        <x:v>0.535</x:v>
      </x:c>
      <x:c r="J246" s="76" t="n">
        <x:f>Assumptions!$C$12+Assumptions!$C$11*F246</x:f>
        <x:v>0.003</x:v>
      </x:c>
      <x:c r="K246" s="76" t="n">
        <x:f>I246-F246-J246</x:f>
        <x:v>0.012000000000000014</x:v>
      </x:c>
      <x:c r="L246" s="74" t="n">
        <x:f>MAX(0,IFERROR(K246/(1-F246),0))</x:f>
        <x:v>0.02500000000000003</x:v>
      </x:c>
      <x:c r="M246" s="74" t="n">
        <x:f>MIN(Assumptions!$C$8*L246,Assumptions!$C$5)</x:f>
        <x:v>0.005</x:v>
      </x:c>
      <x:c r="N246" s="78" t="n">
        <x:f>IF(ROW()=16,Assumptions!$C$4,V245)</x:f>
        <x:v>9856.855590996402</x:v>
      </x:c>
      <x:c r="O246" s="78" t="n">
        <x:f>IF(AND(K246&gt;IF(F246&gt;=Assumptions!$C$21,Assumptions!$C$10,Assumptions!$C$9),D246&gt;Assumptions!$C$23),N246*M246,0)</x:f>
        <x:v>49.28427795498201</x:v>
      </x:c>
      <x:c r="P246" s="78" t="n">
        <x:f>IFERROR(O246/F246,0)</x:f>
        <x:v>94.77745760573463</x:v>
      </x:c>
      <x:c r="Q246" s="78" t="n">
        <x:v>1</x:v>
      </x:c>
      <x:c r="R246" s="78" t="str">
        <x:v>Resolve</x:v>
      </x:c>
      <x:c r="S246" s="78" t="n">
        <x:f>IF(R246="Resolve",IF(IF(E246="YES",Q246,1-Q246)=1,P246*(1-F246),-O246),P246*(G246-F246))</x:f>
        <x:v>45.493179650752616</x:v>
      </x:c>
      <x:c r="T246" s="78" t="n">
        <x:f>P246*J246</x:f>
        <x:v>0.28433237281720386</x:v>
      </x:c>
      <x:c r="U246" s="78" t="n">
        <x:f>S246-T246</x:f>
        <x:v>45.20884727793541</x:v>
      </x:c>
      <x:c r="V246" s="78" t="n">
        <x:f>N246+U246</x:f>
        <x:v>9902.064438274338</x:v>
      </x:c>
      <x:c r="W246" s="74" t="n">
        <x:f>IFERROR(V246/MAX($V$16:V246)-1,0)</x:f>
        <x:v>-0.020163418717574766</x:v>
      </x:c>
      <x:c r="X246" t="str">
        <x:f>IF(O246&gt;0,"TRADE","NO_TRADE")</x:f>
        <x:v>TRADE</x:v>
      </x:c>
    </x:row>
    <x:row r="247">
      <x:c r="A247" s="66" t="n">
        <x:v>46167.51336805556</x:v>
      </x:c>
      <x:c r="B247" s="66" t="str">
        <x:v>MKT_1003</x:v>
      </x:c>
      <x:c r="C247" s="66" t="n">
        <x:v>46167.51388888889</x:v>
      </x:c>
      <x:c r="D247" t="n">
        <x:v>45</x:v>
      </x:c>
      <x:c r="E247" t="str">
        <x:v>NO</x:v>
      </x:c>
      <x:c r="F247" s="74" t="n">
        <x:v>0.61</x:v>
      </x:c>
      <x:c r="G247" s="74" t="n">
        <x:v>0.61</x:v>
      </x:c>
      <x:c r="H247" s="74" t="n">
        <x:v>0.63</x:v>
      </x:c>
      <x:c r="I247" s="74" t="n">
        <x:f>IF(E247="YES",H247,1-H247)</x:f>
        <x:v>0.37</x:v>
      </x:c>
      <x:c r="J247" s="76" t="n">
        <x:f>Assumptions!$C$12+Assumptions!$C$11*F247</x:f>
        <x:v>0.003</x:v>
      </x:c>
      <x:c r="K247" s="76" t="n">
        <x:f>I247-F247-J247</x:f>
        <x:v>-0.243</x:v>
      </x:c>
      <x:c r="L247" s="74" t="n">
        <x:f>MAX(0,IFERROR(K247/(1-F247),0))</x:f>
        <x:v>0</x:v>
      </x:c>
      <x:c r="M247" s="74" t="n">
        <x:f>MIN(Assumptions!$C$8*L247,Assumptions!$C$5)</x:f>
        <x:v>0</x:v>
      </x:c>
      <x:c r="N247" s="78" t="n">
        <x:f>IF(ROW()=16,Assumptions!$C$4,V246)</x:f>
        <x:v>9902.064438274338</x:v>
      </x:c>
      <x:c r="O247" s="78" t="n">
        <x:f>IF(AND(K247&gt;IF(F247&gt;=Assumptions!$C$21,Assumptions!$C$10,Assumptions!$C$9),D247&gt;Assumptions!$C$23),N247*M247,0)</x:f>
        <x:v>0</x:v>
      </x:c>
      <x:c r="P247" s="78" t="n">
        <x:f>IFERROR(O247/F247,0)</x:f>
        <x:v>0</x:v>
      </x:c>
      <x:c r="Q247" s="78" t="n">
        <x:v>0</x:v>
      </x:c>
      <x:c r="R247" s="78" t="str">
        <x:v>Resolve</x:v>
      </x:c>
      <x:c r="S247" s="78" t="n">
        <x:f>IF(R247="Resolve",IF(IF(E247="YES",Q247,1-Q247)=1,P247*(1-F247),-O247),P247*(G247-F247))</x:f>
        <x:v>0</x:v>
      </x:c>
      <x:c r="T247" s="78" t="n">
        <x:f>P247*J247</x:f>
        <x:v>0</x:v>
      </x:c>
      <x:c r="U247" s="78" t="n">
        <x:f>S247-T247</x:f>
        <x:v>0</x:v>
      </x:c>
      <x:c r="V247" s="78" t="n">
        <x:f>N247+U247</x:f>
        <x:v>9902.064438274338</x:v>
      </x:c>
      <x:c r="W247" s="74" t="n">
        <x:f>IFERROR(V247/MAX($V$16:V247)-1,0)</x:f>
        <x:v>-0.020163418717574766</x:v>
      </x:c>
      <x:c r="X247" t="str">
        <x:f>IF(O247&gt;0,"TRADE","NO_TRADE")</x:f>
        <x:v>NO_TRADE</x:v>
      </x:c>
    </x:row>
    <x:row r="248">
      <x:c r="A248" s="66" t="n">
        <x:v>46167.51342592593</x:v>
      </x:c>
      <x:c r="B248" s="66" t="str">
        <x:v>MKT_1003</x:v>
      </x:c>
      <x:c r="C248" s="66" t="n">
        <x:v>46167.51388888889</x:v>
      </x:c>
      <x:c r="D248" t="n">
        <x:v>40</x:v>
      </x:c>
      <x:c r="E248" t="str">
        <x:v>YES</x:v>
      </x:c>
      <x:c r="F248" s="74" t="n">
        <x:v>0.74</x:v>
      </x:c>
      <x:c r="G248" s="74" t="n">
        <x:v>0.74</x:v>
      </x:c>
      <x:c r="H248" s="74" t="n">
        <x:v>0.735</x:v>
      </x:c>
      <x:c r="I248" s="74" t="n">
        <x:f>IF(E248="YES",H248,1-H248)</x:f>
        <x:v>0.735</x:v>
      </x:c>
      <x:c r="J248" s="76" t="n">
        <x:f>Assumptions!$C$12+Assumptions!$C$11*F248</x:f>
        <x:v>0.003</x:v>
      </x:c>
      <x:c r="K248" s="76" t="n">
        <x:f>I248-F248-J248</x:f>
        <x:v>-0.008000000000000004</x:v>
      </x:c>
      <x:c r="L248" s="74" t="n">
        <x:f>MAX(0,IFERROR(K248/(1-F248),0))</x:f>
        <x:v>0</x:v>
      </x:c>
      <x:c r="M248" s="74" t="n">
        <x:f>MIN(Assumptions!$C$8*L248,Assumptions!$C$5)</x:f>
        <x:v>0</x:v>
      </x:c>
      <x:c r="N248" s="78" t="n">
        <x:f>IF(ROW()=16,Assumptions!$C$4,V247)</x:f>
        <x:v>9902.064438274338</x:v>
      </x:c>
      <x:c r="O248" s="78" t="n">
        <x:f>IF(AND(K248&gt;IF(F248&gt;=Assumptions!$C$21,Assumptions!$C$10,Assumptions!$C$9),D248&gt;Assumptions!$C$23),N248*M248,0)</x:f>
        <x:v>0</x:v>
      </x:c>
      <x:c r="P248" s="78" t="n">
        <x:f>IFERROR(O248/F248,0)</x:f>
        <x:v>0</x:v>
      </x:c>
      <x:c r="Q248" s="78" t="n">
        <x:v>1</x:v>
      </x:c>
      <x:c r="R248" s="78" t="str">
        <x:v>Resolve</x:v>
      </x:c>
      <x:c r="S248" s="78" t="n">
        <x:f>IF(R248="Resolve",IF(IF(E248="YES",Q248,1-Q248)=1,P248*(1-F248),-O248),P248*(G248-F248))</x:f>
        <x:v>0</x:v>
      </x:c>
      <x:c r="T248" s="78" t="n">
        <x:f>P248*J248</x:f>
        <x:v>0</x:v>
      </x:c>
      <x:c r="U248" s="78" t="n">
        <x:f>S248-T248</x:f>
        <x:v>0</x:v>
      </x:c>
      <x:c r="V248" s="78" t="n">
        <x:f>N248+U248</x:f>
        <x:v>9902.064438274338</x:v>
      </x:c>
      <x:c r="W248" s="74" t="n">
        <x:f>IFERROR(V248/MAX($V$16:V248)-1,0)</x:f>
        <x:v>-0.020163418717574766</x:v>
      </x:c>
      <x:c r="X248" t="str">
        <x:f>IF(O248&gt;0,"TRADE","NO_TRADE")</x:f>
        <x:v>NO_TRADE</x:v>
      </x:c>
    </x:row>
    <x:row r="249">
      <x:c r="A249" s="66" t="n">
        <x:v>46167.5134837963</x:v>
      </x:c>
      <x:c r="B249" s="66" t="str">
        <x:v>MKT_1003</x:v>
      </x:c>
      <x:c r="C249" s="66" t="n">
        <x:v>46167.51388888889</x:v>
      </x:c>
      <x:c r="D249" t="n">
        <x:v>35</x:v>
      </x:c>
      <x:c r="E249" t="str">
        <x:v>YES</x:v>
      </x:c>
      <x:c r="F249" s="74" t="n">
        <x:v>0.88</x:v>
      </x:c>
      <x:c r="G249" s="74" t="n">
        <x:v>0.88</x:v>
      </x:c>
      <x:c r="H249" s="74" t="n">
        <x:v>0.91</x:v>
      </x:c>
      <x:c r="I249" s="74" t="n">
        <x:f>IF(E249="YES",H249,1-H249)</x:f>
        <x:v>0.91</x:v>
      </x:c>
      <x:c r="J249" s="76" t="n">
        <x:f>Assumptions!$C$12+Assumptions!$C$11*F249</x:f>
        <x:v>0.003</x:v>
      </x:c>
      <x:c r="K249" s="76" t="n">
        <x:f>I249-F249-J249</x:f>
        <x:v>0.027000000000000027</x:v>
      </x:c>
      <x:c r="L249" s="74" t="n">
        <x:f>MAX(0,IFERROR(K249/(1-F249),0))</x:f>
        <x:v>0.22500000000000023</x:v>
      </x:c>
      <x:c r="M249" s="74" t="n">
        <x:f>MIN(Assumptions!$C$8*L249,Assumptions!$C$5)</x:f>
        <x:v>0.005</x:v>
      </x:c>
      <x:c r="N249" s="78" t="n">
        <x:f>IF(ROW()=16,Assumptions!$C$4,V248)</x:f>
        <x:v>9902.064438274338</x:v>
      </x:c>
      <x:c r="O249" s="78" t="n">
        <x:f>IF(AND(K249&gt;IF(F249&gt;=Assumptions!$C$21,Assumptions!$C$10,Assumptions!$C$9),D249&gt;Assumptions!$C$23),N249*M249,0)</x:f>
        <x:v>49.51032219137169</x:v>
      </x:c>
      <x:c r="P249" s="78" t="n">
        <x:f>IFERROR(O249/F249,0)</x:f>
        <x:v>56.26172976292238</x:v>
      </x:c>
      <x:c r="Q249" s="78" t="n">
        <x:v>1</x:v>
      </x:c>
      <x:c r="R249" s="78" t="str">
        <x:v>Resolve</x:v>
      </x:c>
      <x:c r="S249" s="78" t="n">
        <x:f>IF(R249="Resolve",IF(IF(E249="YES",Q249,1-Q249)=1,P249*(1-F249),-O249),P249*(G249-F249))</x:f>
        <x:v>6.751407571550685</x:v>
      </x:c>
      <x:c r="T249" s="78" t="n">
        <x:f>P249*J249</x:f>
        <x:v>0.16878518928876715</x:v>
      </x:c>
      <x:c r="U249" s="78" t="n">
        <x:f>S249-T249</x:f>
        <x:v>6.582622382261918</x:v>
      </x:c>
      <x:c r="V249" s="78" t="n">
        <x:f>N249+U249</x:f>
        <x:v>9908.6470606566</x:v>
      </x:c>
      <x:c r="W249" s="74" t="n">
        <x:f>IFERROR(V249/MAX($V$16:V249)-1,0)</x:f>
        <x:v>-0.019512050081153975</x:v>
      </x:c>
      <x:c r="X249" t="str">
        <x:f>IF(O249&gt;0,"TRADE","NO_TRADE")</x:f>
        <x:v>TRADE</x:v>
      </x:c>
    </x:row>
    <x:row r="250">
      <x:c r="A250" s="66" t="n">
        <x:v>46167.51354166667</x:v>
      </x:c>
      <x:c r="B250" s="66" t="str">
        <x:v>MKT_1003</x:v>
      </x:c>
      <x:c r="C250" s="66" t="n">
        <x:v>46167.51388888889</x:v>
      </x:c>
      <x:c r="D250" t="n">
        <x:v>30</x:v>
      </x:c>
      <x:c r="E250" t="str">
        <x:v>NO</x:v>
      </x:c>
      <x:c r="F250" s="74" t="n">
        <x:v>0.94</x:v>
      </x:c>
      <x:c r="G250" s="74" t="n">
        <x:v>0.94</x:v>
      </x:c>
      <x:c r="H250" s="74" t="n">
        <x:v>0.98</x:v>
      </x:c>
      <x:c r="I250" s="74" t="n">
        <x:f>IF(E250="YES",H250,1-H250)</x:f>
        <x:v>0.020000000000000018</x:v>
      </x:c>
      <x:c r="J250" s="76" t="n">
        <x:f>Assumptions!$C$12+Assumptions!$C$11*F250</x:f>
        <x:v>0.003</x:v>
      </x:c>
      <x:c r="K250" s="76" t="n">
        <x:f>I250-F250-J250</x:f>
        <x:v>-0.9229999999999999</x:v>
      </x:c>
      <x:c r="L250" s="74" t="n">
        <x:f>MAX(0,IFERROR(K250/(1-F250),0))</x:f>
        <x:v>0</x:v>
      </x:c>
      <x:c r="M250" s="74" t="n">
        <x:f>MIN(Assumptions!$C$8*L250,Assumptions!$C$5)</x:f>
        <x:v>0</x:v>
      </x:c>
      <x:c r="N250" s="78" t="n">
        <x:f>IF(ROW()=16,Assumptions!$C$4,V249)</x:f>
        <x:v>9908.6470606566</x:v>
      </x:c>
      <x:c r="O250" s="78" t="n">
        <x:f>IF(AND(K250&gt;IF(F250&gt;=Assumptions!$C$21,Assumptions!$C$10,Assumptions!$C$9),D250&gt;Assumptions!$C$23),N250*M250,0)</x:f>
        <x:v>0</x:v>
      </x:c>
      <x:c r="P250" s="78" t="n">
        <x:f>IFERROR(O250/F250,0)</x:f>
        <x:v>0</x:v>
      </x:c>
      <x:c r="Q250" s="78" t="n">
        <x:v>0</x:v>
      </x:c>
      <x:c r="R250" s="78" t="str">
        <x:v>Resolve</x:v>
      </x:c>
      <x:c r="S250" s="78" t="n">
        <x:f>IF(R250="Resolve",IF(IF(E250="YES",Q250,1-Q250)=1,P250*(1-F250),-O250),P250*(G250-F250))</x:f>
        <x:v>0</x:v>
      </x:c>
      <x:c r="T250" s="78" t="n">
        <x:f>P250*J250</x:f>
        <x:v>0</x:v>
      </x:c>
      <x:c r="U250" s="78" t="n">
        <x:f>S250-T250</x:f>
        <x:v>0</x:v>
      </x:c>
      <x:c r="V250" s="78" t="n">
        <x:f>N250+U250</x:f>
        <x:v>9908.6470606566</x:v>
      </x:c>
      <x:c r="W250" s="74" t="n">
        <x:f>IFERROR(V250/MAX($V$16:V250)-1,0)</x:f>
        <x:v>-0.019512050081153975</x:v>
      </x:c>
      <x:c r="X250" t="str">
        <x:f>IF(O250&gt;0,"TRADE","NO_TRADE")</x:f>
        <x:v>NO_TRADE</x:v>
      </x:c>
    </x:row>
    <x:row r="251">
      <x:c r="A251" s="66" t="n">
        <x:v>46167.51359953704</x:v>
      </x:c>
      <x:c r="B251" s="66" t="str">
        <x:v>MKT_1003</x:v>
      </x:c>
      <x:c r="C251" s="66" t="n">
        <x:v>46167.51388888889</x:v>
      </x:c>
      <x:c r="D251" t="n">
        <x:v>25</x:v>
      </x:c>
      <x:c r="E251" t="str">
        <x:v>YES</x:v>
      </x:c>
      <x:c r="F251" s="74" t="n">
        <x:v>0.95</x:v>
      </x:c>
      <x:c r="G251" s="74" t="n">
        <x:v>0.95</x:v>
      </x:c>
      <x:c r="H251" s="74" t="n">
        <x:v>0.968</x:v>
      </x:c>
      <x:c r="I251" s="74" t="n">
        <x:f>IF(E251="YES",H251,1-H251)</x:f>
        <x:v>0.968</x:v>
      </x:c>
      <x:c r="J251" s="76" t="n">
        <x:f>Assumptions!$C$12+Assumptions!$C$11*F251</x:f>
        <x:v>0.003</x:v>
      </x:c>
      <x:c r="K251" s="76" t="n">
        <x:f>I251-F251-J251</x:f>
        <x:v>0.015000000000000017</x:v>
      </x:c>
      <x:c r="L251" s="74" t="n">
        <x:f>MAX(0,IFERROR(K251/(1-F251),0))</x:f>
        <x:v>0.30000000000000004</x:v>
      </x:c>
      <x:c r="M251" s="74" t="n">
        <x:f>MIN(Assumptions!$C$8*L251,Assumptions!$C$5)</x:f>
        <x:v>0.005</x:v>
      </x:c>
      <x:c r="N251" s="78" t="n">
        <x:f>IF(ROW()=16,Assumptions!$C$4,V250)</x:f>
        <x:v>9908.6470606566</x:v>
      </x:c>
      <x:c r="O251" s="78" t="n">
        <x:f>IF(AND(K251&gt;IF(F251&gt;=Assumptions!$C$21,Assumptions!$C$10,Assumptions!$C$9),D251&gt;Assumptions!$C$23),N251*M251,0)</x:f>
        <x:v>49.543235303283</x:v>
      </x:c>
      <x:c r="P251" s="78" t="n">
        <x:f>IFERROR(O251/F251,0)</x:f>
        <x:v>52.15077400345579</x:v>
      </x:c>
      <x:c r="Q251" s="78" t="n">
        <x:v>1</x:v>
      </x:c>
      <x:c r="R251" s="78" t="str">
        <x:v>Resolve</x:v>
      </x:c>
      <x:c r="S251" s="78" t="n">
        <x:f>IF(R251="Resolve",IF(IF(E251="YES",Q251,1-Q251)=1,P251*(1-F251),-O251),P251*(G251-F251))</x:f>
        <x:v>2.6075387001727917</x:v>
      </x:c>
      <x:c r="T251" s="78" t="n">
        <x:f>P251*J251</x:f>
        <x:v>0.15645232201036735</x:v>
      </x:c>
      <x:c r="U251" s="78" t="n">
        <x:f>S251-T251</x:f>
        <x:v>2.451086378162424</x:v>
      </x:c>
      <x:c r="V251" s="78" t="n">
        <x:f>N251+U251</x:f>
        <x:v>9911.098147034761</x:v>
      </x:c>
      <x:c r="W251" s="74" t="n">
        <x:f>IFERROR(V251/MAX($V$16:V251)-1,0)</x:f>
        <x:v>-0.01926950832512153</x:v>
      </x:c>
      <x:c r="X251" t="str">
        <x:f>IF(O251&gt;0,"TRADE","NO_TRADE")</x:f>
        <x:v>TRADE</x:v>
      </x:c>
    </x:row>
    <x:row r="252">
      <x:c r="A252" s="66" t="n">
        <x:v>46167.513657407406</x:v>
      </x:c>
      <x:c r="B252" s="66" t="str">
        <x:v>MKT_1003</x:v>
      </x:c>
      <x:c r="C252" s="66" t="n">
        <x:v>46167.51388888889</x:v>
      </x:c>
      <x:c r="D252" t="n">
        <x:v>20</x:v>
      </x:c>
      <x:c r="E252" t="str">
        <x:v>YES</x:v>
      </x:c>
      <x:c r="F252" s="74" t="n">
        <x:v>0.57</x:v>
      </x:c>
      <x:c r="G252" s="74" t="n">
        <x:v>0.57</x:v>
      </x:c>
      <x:c r="H252" s="74" t="n">
        <x:v>0.582</x:v>
      </x:c>
      <x:c r="I252" s="74" t="n">
        <x:f>IF(E252="YES",H252,1-H252)</x:f>
        <x:v>0.582</x:v>
      </x:c>
      <x:c r="J252" s="76" t="n">
        <x:f>Assumptions!$C$12+Assumptions!$C$11*F252</x:f>
        <x:v>0.003</x:v>
      </x:c>
      <x:c r="K252" s="76" t="n">
        <x:f>I252-F252-J252</x:f>
        <x:v>0.009000000000000011</x:v>
      </x:c>
      <x:c r="L252" s="74" t="n">
        <x:f>MAX(0,IFERROR(K252/(1-F252),0))</x:f>
        <x:v>0.02093023255813956</x:v>
      </x:c>
      <x:c r="M252" s="74" t="n">
        <x:f>MIN(Assumptions!$C$8*L252,Assumptions!$C$5)</x:f>
        <x:v>0.005</x:v>
      </x:c>
      <x:c r="N252" s="78" t="n">
        <x:f>IF(ROW()=16,Assumptions!$C$4,V251)</x:f>
        <x:v>9911.098147034761</x:v>
      </x:c>
      <x:c r="O252" s="78" t="n">
        <x:f>IF(AND(K252&gt;IF(F252&gt;=Assumptions!$C$21,Assumptions!$C$10,Assumptions!$C$9),D252&gt;Assumptions!$C$23),N252*M252,0)</x:f>
        <x:v>49.555490735173805</x:v>
      </x:c>
      <x:c r="P252" s="78" t="n">
        <x:f>IFERROR(O252/F252,0)</x:f>
        <x:v>86.9394574301295</x:v>
      </x:c>
      <x:c r="Q252" s="78" t="n">
        <x:v>1</x:v>
      </x:c>
      <x:c r="R252" s="78" t="str">
        <x:v>Resolve</x:v>
      </x:c>
      <x:c r="S252" s="78" t="n">
        <x:f>IF(R252="Resolve",IF(IF(E252="YES",Q252,1-Q252)=1,P252*(1-F252),-O252),P252*(G252-F252))</x:f>
        <x:v>37.38396669495569</x:v>
      </x:c>
      <x:c r="T252" s="78" t="n">
        <x:f>P252*J252</x:f>
        <x:v>0.2608183722903885</x:v>
      </x:c>
      <x:c r="U252" s="78" t="n">
        <x:f>S252-T252</x:f>
        <x:v>37.1231483226653</x:v>
      </x:c>
      <x:c r="V252" s="78" t="n">
        <x:f>N252+U252</x:f>
        <x:v>9948.221295357427</x:v>
      </x:c>
      <x:c r="W252" s="74" t="n">
        <x:f>IFERROR(V252/MAX($V$16:V252)-1,0)</x:f>
        <x:v>-0.015596070430865638</x:v>
      </x:c>
      <x:c r="X252" t="str">
        <x:f>IF(O252&gt;0,"TRADE","NO_TRADE")</x:f>
        <x:v>TRADE</x:v>
      </x:c>
    </x:row>
    <x:row r="253">
      <x:c r="A253" s="66" t="n">
        <x:v>46167.513715277775</x:v>
      </x:c>
      <x:c r="B253" s="66" t="str">
        <x:v>MKT_1003</x:v>
      </x:c>
      <x:c r="C253" s="66" t="n">
        <x:v>46167.51388888889</x:v>
      </x:c>
      <x:c r="D253" t="n">
        <x:v>15</x:v>
      </x:c>
      <x:c r="E253" t="str">
        <x:v>NO</x:v>
      </x:c>
      <x:c r="F253" s="74" t="n">
        <x:v>0.68</x:v>
      </x:c>
      <x:c r="G253" s="74" t="n">
        <x:v>0.68</x:v>
      </x:c>
      <x:c r="H253" s="74" t="n">
        <x:v>0.7050000000000001</x:v>
      </x:c>
      <x:c r="I253" s="74" t="n">
        <x:f>IF(E253="YES",H253,1-H253)</x:f>
        <x:v>0.29499999999999993</x:v>
      </x:c>
      <x:c r="J253" s="76" t="n">
        <x:f>Assumptions!$C$12+Assumptions!$C$11*F253</x:f>
        <x:v>0.003</x:v>
      </x:c>
      <x:c r="K253" s="76" t="n">
        <x:f>I253-F253-J253</x:f>
        <x:v>-0.3880000000000001</x:v>
      </x:c>
      <x:c r="L253" s="74" t="n">
        <x:f>MAX(0,IFERROR(K253/(1-F253),0))</x:f>
        <x:v>0</x:v>
      </x:c>
      <x:c r="M253" s="74" t="n">
        <x:f>MIN(Assumptions!$C$8*L253,Assumptions!$C$5)</x:f>
        <x:v>0</x:v>
      </x:c>
      <x:c r="N253" s="78" t="n">
        <x:f>IF(ROW()=16,Assumptions!$C$4,V252)</x:f>
        <x:v>9948.221295357427</x:v>
      </x:c>
      <x:c r="O253" s="78" t="n">
        <x:f>IF(AND(K253&gt;IF(F253&gt;=Assumptions!$C$21,Assumptions!$C$10,Assumptions!$C$9),D253&gt;Assumptions!$C$23),N253*M253,0)</x:f>
        <x:v>0</x:v>
      </x:c>
      <x:c r="P253" s="78" t="n">
        <x:f>IFERROR(O253/F253,0)</x:f>
        <x:v>0</x:v>
      </x:c>
      <x:c r="Q253" s="78" t="n">
        <x:v>1</x:v>
      </x:c>
      <x:c r="R253" s="78" t="str">
        <x:v>Resolve</x:v>
      </x:c>
      <x:c r="S253" s="78" t="n">
        <x:f>IF(R253="Resolve",IF(IF(E253="YES",Q253,1-Q253)=1,P253*(1-F253),-O253),P253*(G253-F253))</x:f>
        <x:v>0</x:v>
      </x:c>
      <x:c r="T253" s="78" t="n">
        <x:f>P253*J253</x:f>
        <x:v>0</x:v>
      </x:c>
      <x:c r="U253" s="78" t="n">
        <x:f>S253-T253</x:f>
        <x:v>0</x:v>
      </x:c>
      <x:c r="V253" s="78" t="n">
        <x:f>N253+U253</x:f>
        <x:v>9948.221295357427</x:v>
      </x:c>
      <x:c r="W253" s="74" t="n">
        <x:f>IFERROR(V253/MAX($V$16:V253)-1,0)</x:f>
        <x:v>-0.015596070430865638</x:v>
      </x:c>
      <x:c r="X253" t="str">
        <x:f>IF(O253&gt;0,"TRADE","NO_TRADE")</x:f>
        <x:v>NO_TRADE</x:v>
      </x:c>
    </x:row>
    <x:row r="254">
      <x:c r="A254" s="66" t="n">
        <x:v>46167.513773148145</x:v>
      </x:c>
      <x:c r="B254" s="66" t="str">
        <x:v>MKT_1003</x:v>
      </x:c>
      <x:c r="C254" s="66" t="n">
        <x:v>46167.51388888889</x:v>
      </x:c>
      <x:c r="D254" t="n">
        <x:v>10</x:v>
      </x:c>
      <x:c r="E254" t="str">
        <x:v>YES</x:v>
      </x:c>
      <x:c r="F254" s="74" t="n">
        <x:v>0.91</x:v>
      </x:c>
      <x:c r="G254" s="74" t="n">
        <x:v>0.91</x:v>
      </x:c>
      <x:c r="H254" s="74" t="n">
        <x:v>0.9450000000000001</x:v>
      </x:c>
      <x:c r="I254" s="74" t="n">
        <x:f>IF(E254="YES",H254,1-H254)</x:f>
        <x:v>0.9450000000000001</x:v>
      </x:c>
      <x:c r="J254" s="76" t="n">
        <x:f>Assumptions!$C$12+Assumptions!$C$11*F254</x:f>
        <x:v>0.003</x:v>
      </x:c>
      <x:c r="K254" s="76" t="n">
        <x:f>I254-F254-J254</x:f>
        <x:v>0.03200000000000003</x:v>
      </x:c>
      <x:c r="L254" s="74" t="n">
        <x:f>MAX(0,IFERROR(K254/(1-F254),0))</x:f>
        <x:v>0.355555555555556</x:v>
      </x:c>
      <x:c r="M254" s="74" t="n">
        <x:f>MIN(Assumptions!$C$8*L254,Assumptions!$C$5)</x:f>
        <x:v>0.005</x:v>
      </x:c>
      <x:c r="N254" s="78" t="n">
        <x:f>IF(ROW()=16,Assumptions!$C$4,V253)</x:f>
        <x:v>9948.221295357427</x:v>
      </x:c>
      <x:c r="O254" s="78" t="n">
        <x:f>IF(AND(K254&gt;IF(F254&gt;=Assumptions!$C$21,Assumptions!$C$10,Assumptions!$C$9),D254&gt;Assumptions!$C$23),N254*M254,0)</x:f>
        <x:v>49.74110647678714</x:v>
      </x:c>
      <x:c r="P254" s="78" t="n">
        <x:f>IFERROR(O254/F254,0)</x:f>
        <x:v>54.66055656789795</x:v>
      </x:c>
      <x:c r="Q254" s="78" t="n">
        <x:v>0</x:v>
      </x:c>
      <x:c r="R254" s="78" t="str">
        <x:v>Resolve</x:v>
      </x:c>
      <x:c r="S254" s="78" t="n">
        <x:f>IF(R254="Resolve",IF(IF(E254="YES",Q254,1-Q254)=1,P254*(1-F254),-O254),P254*(G254-F254))</x:f>
        <x:v>-49.74110647678714</x:v>
      </x:c>
      <x:c r="T254" s="78" t="n">
        <x:f>P254*J254</x:f>
        <x:v>0.16398166970369385</x:v>
      </x:c>
      <x:c r="U254" s="78" t="n">
        <x:f>S254-T254</x:f>
        <x:v>-49.90508814649083</x:v>
      </x:c>
      <x:c r="V254" s="78" t="n">
        <x:f>N254+U254</x:f>
        <x:v>9898.316207210937</x:v>
      </x:c>
      <x:c r="W254" s="74" t="n">
        <x:f>IFERROR(V254/MAX($V$16:V254)-1,0)</x:f>
        <x:v>-0.020534316517110685</x:v>
      </x:c>
      <x:c r="X254" t="str">
        <x:f>IF(O254&gt;0,"TRADE","NO_TRADE")</x:f>
        <x:v>TRADE</x:v>
      </x:c>
    </x:row>
    <x:row r="255">
      <x:c r="A255" s="66" t="n">
        <x:v>46167.51383101852</x:v>
      </x:c>
      <x:c r="B255" s="66" t="str">
        <x:v>MKT_1003</x:v>
      </x:c>
      <x:c r="C255" s="66" t="n">
        <x:v>46167.51388888889</x:v>
      </x:c>
      <x:c r="D255" t="n">
        <x:v>5</x:v>
      </x:c>
      <x:c r="E255" t="str">
        <x:v>YES</x:v>
      </x:c>
      <x:c r="F255" s="74" t="n">
        <x:v>0.83</x:v>
      </x:c>
      <x:c r="G255" s="74" t="n">
        <x:v>0.83</x:v>
      </x:c>
      <x:c r="H255" s="74" t="n">
        <x:v>0.82</x:v>
      </x:c>
      <x:c r="I255" s="74" t="n">
        <x:f>IF(E255="YES",H255,1-H255)</x:f>
        <x:v>0.82</x:v>
      </x:c>
      <x:c r="J255" s="76" t="n">
        <x:f>Assumptions!$C$12+Assumptions!$C$11*F255</x:f>
        <x:v>0.003</x:v>
      </x:c>
      <x:c r="K255" s="76" t="n">
        <x:f>I255-F255-J255</x:f>
        <x:v>-0.013000000000000008</x:v>
      </x:c>
      <x:c r="L255" s="74" t="n">
        <x:f>MAX(0,IFERROR(K255/(1-F255),0))</x:f>
        <x:v>0</x:v>
      </x:c>
      <x:c r="M255" s="74" t="n">
        <x:f>MIN(Assumptions!$C$8*L255,Assumptions!$C$5)</x:f>
        <x:v>0</x:v>
      </x:c>
      <x:c r="N255" s="78" t="n">
        <x:f>IF(ROW()=16,Assumptions!$C$4,V254)</x:f>
        <x:v>9898.316207210937</x:v>
      </x:c>
      <x:c r="O255" s="78" t="n">
        <x:f>IF(AND(K255&gt;IF(F255&gt;=Assumptions!$C$21,Assumptions!$C$10,Assumptions!$C$9),D255&gt;Assumptions!$C$23),N255*M255,0)</x:f>
        <x:v>0</x:v>
      </x:c>
      <x:c r="P255" s="78" t="n">
        <x:f>IFERROR(O255/F255,0)</x:f>
        <x:v>0</x:v>
      </x:c>
      <x:c r="Q255" s="78" t="n">
        <x:v>1</x:v>
      </x:c>
      <x:c r="R255" s="78" t="str">
        <x:v>Resolve</x:v>
      </x:c>
      <x:c r="S255" s="78" t="n">
        <x:f>IF(R255="Resolve",IF(IF(E255="YES",Q255,1-Q255)=1,P255*(1-F255),-O255),P255*(G255-F255))</x:f>
        <x:v>0</x:v>
      </x:c>
      <x:c r="T255" s="78" t="n">
        <x:f>P255*J255</x:f>
        <x:v>0</x:v>
      </x:c>
      <x:c r="U255" s="78" t="n">
        <x:f>S255-T255</x:f>
        <x:v>0</x:v>
      </x:c>
      <x:c r="V255" s="78" t="n">
        <x:f>N255+U255</x:f>
        <x:v>9898.316207210937</x:v>
      </x:c>
      <x:c r="W255" s="74" t="n">
        <x:f>IFERROR(V255/MAX($V$16:V255)-1,0)</x:f>
        <x:v>-0.020534316517110685</x:v>
      </x:c>
      <x:c r="X255" t="str">
        <x:f>IF(O255&gt;0,"TRADE","NO_TRADE")</x:f>
        <x:v>NO_TRADE</x:v>
      </x:c>
    </x:row>
    <x:row r="256">
      <x:c r="A256" s="66" t="n">
        <x:v>46167.51388888889</x:v>
      </x:c>
      <x:c r="B256" s="66" t="str">
        <x:v>MKT_1004</x:v>
      </x:c>
      <x:c r="C256" s="66" t="n">
        <x:v>46167.51736111111</x:v>
      </x:c>
      <x:c r="D256" t="n">
        <x:v>300</x:v>
      </x:c>
      <x:c r="E256" t="str">
        <x:v>NO</x:v>
      </x:c>
      <x:c r="F256" s="74" t="n">
        <x:v>0.52</x:v>
      </x:c>
      <x:c r="G256" s="74" t="n">
        <x:v>0.52</x:v>
      </x:c>
      <x:c r="H256" s="74" t="n">
        <x:v>0.535</x:v>
      </x:c>
      <x:c r="I256" s="74" t="n">
        <x:f>IF(E256="YES",H256,1-H256)</x:f>
        <x:v>0.46499999999999997</x:v>
      </x:c>
      <x:c r="J256" s="76" t="n">
        <x:f>Assumptions!$C$12+Assumptions!$C$11*F256</x:f>
        <x:v>0.003</x:v>
      </x:c>
      <x:c r="K256" s="76" t="n">
        <x:f>I256-F256-J256</x:f>
        <x:v>-0.05800000000000005</x:v>
      </x:c>
      <x:c r="L256" s="74" t="n">
        <x:f>MAX(0,IFERROR(K256/(1-F256),0))</x:f>
        <x:v>0</x:v>
      </x:c>
      <x:c r="M256" s="74" t="n">
        <x:f>MIN(Assumptions!$C$8*L256,Assumptions!$C$5)</x:f>
        <x:v>0</x:v>
      </x:c>
      <x:c r="N256" s="78" t="n">
        <x:f>IF(ROW()=16,Assumptions!$C$4,V255)</x:f>
        <x:v>9898.316207210937</x:v>
      </x:c>
      <x:c r="O256" s="78" t="n">
        <x:f>IF(AND(K256&gt;IF(F256&gt;=Assumptions!$C$21,Assumptions!$C$10,Assumptions!$C$9),D256&gt;Assumptions!$C$23),N256*M256,0)</x:f>
        <x:v>0</x:v>
      </x:c>
      <x:c r="P256" s="78" t="n">
        <x:f>IFERROR(O256/F256,0)</x:f>
        <x:v>0</x:v>
      </x:c>
      <x:c r="Q256" s="78" t="n">
        <x:v>1</x:v>
      </x:c>
      <x:c r="R256" s="78" t="str">
        <x:v>Resolve</x:v>
      </x:c>
      <x:c r="S256" s="78" t="n">
        <x:f>IF(R256="Resolve",IF(IF(E256="YES",Q256,1-Q256)=1,P256*(1-F256),-O256),P256*(G256-F256))</x:f>
        <x:v>0</x:v>
      </x:c>
      <x:c r="T256" s="78" t="n">
        <x:f>P256*J256</x:f>
        <x:v>0</x:v>
      </x:c>
      <x:c r="U256" s="78" t="n">
        <x:f>S256-T256</x:f>
        <x:v>0</x:v>
      </x:c>
      <x:c r="V256" s="78" t="n">
        <x:f>N256+U256</x:f>
        <x:v>9898.316207210937</x:v>
      </x:c>
      <x:c r="W256" s="74" t="n">
        <x:f>IFERROR(V256/MAX($V$16:V256)-1,0)</x:f>
        <x:v>-0.020534316517110685</x:v>
      </x:c>
      <x:c r="X256" t="str">
        <x:f>IF(O256&gt;0,"TRADE","NO_TRADE")</x:f>
        <x:v>NO_TRADE</x:v>
      </x:c>
    </x:row>
    <x:row r="257">
      <x:c r="A257" s="66" t="n">
        <x:v>46167.51394675926</x:v>
      </x:c>
      <x:c r="B257" s="66" t="str">
        <x:v>MKT_1004</x:v>
      </x:c>
      <x:c r="C257" s="66" t="n">
        <x:v>46167.51736111111</x:v>
      </x:c>
      <x:c r="D257" t="n">
        <x:v>295</x:v>
      </x:c>
      <x:c r="E257" t="str">
        <x:v>YES</x:v>
      </x:c>
      <x:c r="F257" s="74" t="n">
        <x:v>0.61</x:v>
      </x:c>
      <x:c r="G257" s="74" t="n">
        <x:v>0.61</x:v>
      </x:c>
      <x:c r="H257" s="74" t="n">
        <x:v>0.63</x:v>
      </x:c>
      <x:c r="I257" s="74" t="n">
        <x:f>IF(E257="YES",H257,1-H257)</x:f>
        <x:v>0.63</x:v>
      </x:c>
      <x:c r="J257" s="76" t="n">
        <x:f>Assumptions!$C$12+Assumptions!$C$11*F257</x:f>
        <x:v>0.003</x:v>
      </x:c>
      <x:c r="K257" s="76" t="n">
        <x:f>I257-F257-J257</x:f>
        <x:v>0.01700000000000002</x:v>
      </x:c>
      <x:c r="L257" s="74" t="n">
        <x:f>MAX(0,IFERROR(K257/(1-F257),0))</x:f>
        <x:v>0.043589743589743636</x:v>
      </x:c>
      <x:c r="M257" s="74" t="n">
        <x:f>MIN(Assumptions!$C$8*L257,Assumptions!$C$5)</x:f>
        <x:v>0.005</x:v>
      </x:c>
      <x:c r="N257" s="78" t="n">
        <x:f>IF(ROW()=16,Assumptions!$C$4,V256)</x:f>
        <x:v>9898.316207210937</x:v>
      </x:c>
      <x:c r="O257" s="78" t="n">
        <x:f>IF(AND(K257&gt;IF(F257&gt;=Assumptions!$C$21,Assumptions!$C$10,Assumptions!$C$9),D257&gt;Assumptions!$C$23),N257*M257,0)</x:f>
        <x:v>49.49158103605469</x:v>
      </x:c>
      <x:c r="P257" s="78" t="n">
        <x:f>IFERROR(O257/F257,0)</x:f>
        <x:v>81.13373940336835</x:v>
      </x:c>
      <x:c r="Q257" s="78" t="n">
        <x:v>0</x:v>
      </x:c>
      <x:c r="R257" s="78" t="str">
        <x:v>Resolve</x:v>
      </x:c>
      <x:c r="S257" s="78" t="n">
        <x:f>IF(R257="Resolve",IF(IF(E257="YES",Q257,1-Q257)=1,P257*(1-F257),-O257),P257*(G257-F257))</x:f>
        <x:v>-49.49158103605469</x:v>
      </x:c>
      <x:c r="T257" s="78" t="n">
        <x:f>P257*J257</x:f>
        <x:v>0.24340121821010507</x:v>
      </x:c>
      <x:c r="U257" s="78" t="n">
        <x:f>S257-T257</x:f>
        <x:v>-49.73498225426479</x:v>
      </x:c>
      <x:c r="V257" s="78" t="n">
        <x:f>N257+U257</x:f>
        <x:v>9848.581224956672</x:v>
      </x:c>
      <x:c r="W257" s="74" t="n">
        <x:f>IFERROR(V257/MAX($V$16:V257)-1,0)</x:f>
        <x:v>-0.025455730156250245</x:v>
      </x:c>
      <x:c r="X257" t="str">
        <x:f>IF(O257&gt;0,"TRADE","NO_TRADE")</x:f>
        <x:v>TRADE</x:v>
      </x:c>
    </x:row>
    <x:row r="258">
      <x:c r="A258" s="66" t="n">
        <x:v>46167.51400462963</x:v>
      </x:c>
      <x:c r="B258" s="66" t="str">
        <x:v>MKT_1004</x:v>
      </x:c>
      <x:c r="C258" s="66" t="n">
        <x:v>46167.51736111111</x:v>
      </x:c>
      <x:c r="D258" t="n">
        <x:v>290</x:v>
      </x:c>
      <x:c r="E258" t="str">
        <x:v>YES</x:v>
      </x:c>
      <x:c r="F258" s="74" t="n">
        <x:v>0.74</x:v>
      </x:c>
      <x:c r="G258" s="74" t="n">
        <x:v>0.74</x:v>
      </x:c>
      <x:c r="H258" s="74" t="n">
        <x:v>0.735</x:v>
      </x:c>
      <x:c r="I258" s="74" t="n">
        <x:f>IF(E258="YES",H258,1-H258)</x:f>
        <x:v>0.735</x:v>
      </x:c>
      <x:c r="J258" s="76" t="n">
        <x:f>Assumptions!$C$12+Assumptions!$C$11*F258</x:f>
        <x:v>0.003</x:v>
      </x:c>
      <x:c r="K258" s="76" t="n">
        <x:f>I258-F258-J258</x:f>
        <x:v>-0.008000000000000004</x:v>
      </x:c>
      <x:c r="L258" s="74" t="n">
        <x:f>MAX(0,IFERROR(K258/(1-F258),0))</x:f>
        <x:v>0</x:v>
      </x:c>
      <x:c r="M258" s="74" t="n">
        <x:f>MIN(Assumptions!$C$8*L258,Assumptions!$C$5)</x:f>
        <x:v>0</x:v>
      </x:c>
      <x:c r="N258" s="78" t="n">
        <x:f>IF(ROW()=16,Assumptions!$C$4,V257)</x:f>
        <x:v>9848.581224956672</x:v>
      </x:c>
      <x:c r="O258" s="78" t="n">
        <x:f>IF(AND(K258&gt;IF(F258&gt;=Assumptions!$C$21,Assumptions!$C$10,Assumptions!$C$9),D258&gt;Assumptions!$C$23),N258*M258,0)</x:f>
        <x:v>0</x:v>
      </x:c>
      <x:c r="P258" s="78" t="n">
        <x:f>IFERROR(O258/F258,0)</x:f>
        <x:v>0</x:v>
      </x:c>
      <x:c r="Q258" s="78" t="n">
        <x:v>1</x:v>
      </x:c>
      <x:c r="R258" s="78" t="str">
        <x:v>Resolve</x:v>
      </x:c>
      <x:c r="S258" s="78" t="n">
        <x:f>IF(R258="Resolve",IF(IF(E258="YES",Q258,1-Q258)=1,P258*(1-F258),-O258),P258*(G258-F258))</x:f>
        <x:v>0</x:v>
      </x:c>
      <x:c r="T258" s="78" t="n">
        <x:f>P258*J258</x:f>
        <x:v>0</x:v>
      </x:c>
      <x:c r="U258" s="78" t="n">
        <x:f>S258-T258</x:f>
        <x:v>0</x:v>
      </x:c>
      <x:c r="V258" s="78" t="n">
        <x:f>N258+U258</x:f>
        <x:v>9848.581224956672</x:v>
      </x:c>
      <x:c r="W258" s="74" t="n">
        <x:f>IFERROR(V258/MAX($V$16:V258)-1,0)</x:f>
        <x:v>-0.025455730156250245</x:v>
      </x:c>
      <x:c r="X258" t="str">
        <x:f>IF(O258&gt;0,"TRADE","NO_TRADE")</x:f>
        <x:v>NO_TRADE</x:v>
      </x:c>
    </x:row>
    <x:row r="259">
      <x:c r="A259" s="66" t="n">
        <x:v>46167.5140625</x:v>
      </x:c>
      <x:c r="B259" s="66" t="str">
        <x:v>MKT_1004</x:v>
      </x:c>
      <x:c r="C259" s="66" t="n">
        <x:v>46167.51736111111</x:v>
      </x:c>
      <x:c r="D259" t="n">
        <x:v>285</x:v>
      </x:c>
      <x:c r="E259" t="str">
        <x:v>NO</x:v>
      </x:c>
      <x:c r="F259" s="74" t="n">
        <x:v>0.88</x:v>
      </x:c>
      <x:c r="G259" s="74" t="n">
        <x:v>0.88</x:v>
      </x:c>
      <x:c r="H259" s="74" t="n">
        <x:v>0.91</x:v>
      </x:c>
      <x:c r="I259" s="74" t="n">
        <x:f>IF(E259="YES",H259,1-H259)</x:f>
        <x:v>0.08999999999999997</x:v>
      </x:c>
      <x:c r="J259" s="76" t="n">
        <x:f>Assumptions!$C$12+Assumptions!$C$11*F259</x:f>
        <x:v>0.003</x:v>
      </x:c>
      <x:c r="K259" s="76" t="n">
        <x:f>I259-F259-J259</x:f>
        <x:v>-0.793</x:v>
      </x:c>
      <x:c r="L259" s="74" t="n">
        <x:f>MAX(0,IFERROR(K259/(1-F259),0))</x:f>
        <x:v>0</x:v>
      </x:c>
      <x:c r="M259" s="74" t="n">
        <x:f>MIN(Assumptions!$C$8*L259,Assumptions!$C$5)</x:f>
        <x:v>0</x:v>
      </x:c>
      <x:c r="N259" s="78" t="n">
        <x:f>IF(ROW()=16,Assumptions!$C$4,V258)</x:f>
        <x:v>9848.581224956672</x:v>
      </x:c>
      <x:c r="O259" s="78" t="n">
        <x:f>IF(AND(K259&gt;IF(F259&gt;=Assumptions!$C$21,Assumptions!$C$10,Assumptions!$C$9),D259&gt;Assumptions!$C$23),N259*M259,0)</x:f>
        <x:v>0</x:v>
      </x:c>
      <x:c r="P259" s="78" t="n">
        <x:f>IFERROR(O259/F259,0)</x:f>
        <x:v>0</x:v>
      </x:c>
      <x:c r="Q259" s="78" t="n">
        <x:v>1</x:v>
      </x:c>
      <x:c r="R259" s="78" t="str">
        <x:v>Resolve</x:v>
      </x:c>
      <x:c r="S259" s="78" t="n">
        <x:f>IF(R259="Resolve",IF(IF(E259="YES",Q259,1-Q259)=1,P259*(1-F259),-O259),P259*(G259-F259))</x:f>
        <x:v>0</x:v>
      </x:c>
      <x:c r="T259" s="78" t="n">
        <x:f>P259*J259</x:f>
        <x:v>0</x:v>
      </x:c>
      <x:c r="U259" s="78" t="n">
        <x:f>S259-T259</x:f>
        <x:v>0</x:v>
      </x:c>
      <x:c r="V259" s="78" t="n">
        <x:f>N259+U259</x:f>
        <x:v>9848.581224956672</x:v>
      </x:c>
      <x:c r="W259" s="74" t="n">
        <x:f>IFERROR(V259/MAX($V$16:V259)-1,0)</x:f>
        <x:v>-0.025455730156250245</x:v>
      </x:c>
      <x:c r="X259" t="str">
        <x:f>IF(O259&gt;0,"TRADE","NO_TRADE")</x:f>
        <x:v>NO_TRADE</x:v>
      </x:c>
    </x:row>
    <x:row r="260">
      <x:c r="A260" s="66" t="n">
        <x:v>46167.51412037037</x:v>
      </x:c>
      <x:c r="B260" s="66" t="str">
        <x:v>MKT_1004</x:v>
      </x:c>
      <x:c r="C260" s="66" t="n">
        <x:v>46167.51736111111</x:v>
      </x:c>
      <x:c r="D260" t="n">
        <x:v>280</x:v>
      </x:c>
      <x:c r="E260" t="str">
        <x:v>YES</x:v>
      </x:c>
      <x:c r="F260" s="74" t="n">
        <x:v>0.94</x:v>
      </x:c>
      <x:c r="G260" s="74" t="n">
        <x:v>0.94</x:v>
      </x:c>
      <x:c r="H260" s="74" t="n">
        <x:v>0.98</x:v>
      </x:c>
      <x:c r="I260" s="74" t="n">
        <x:f>IF(E260="YES",H260,1-H260)</x:f>
        <x:v>0.98</x:v>
      </x:c>
      <x:c r="J260" s="76" t="n">
        <x:f>Assumptions!$C$12+Assumptions!$C$11*F260</x:f>
        <x:v>0.003</x:v>
      </x:c>
      <x:c r="K260" s="76" t="n">
        <x:f>I260-F260-J260</x:f>
        <x:v>0.03700000000000003</x:v>
      </x:c>
      <x:c r="L260" s="74" t="n">
        <x:f>MAX(0,IFERROR(K260/(1-F260),0))</x:f>
        <x:v>0.6166666666666667</x:v>
      </x:c>
      <x:c r="M260" s="74" t="n">
        <x:f>MIN(Assumptions!$C$8*L260,Assumptions!$C$5)</x:f>
        <x:v>0.005</x:v>
      </x:c>
      <x:c r="N260" s="78" t="n">
        <x:f>IF(ROW()=16,Assumptions!$C$4,V259)</x:f>
        <x:v>9848.581224956672</x:v>
      </x:c>
      <x:c r="O260" s="78" t="n">
        <x:f>IF(AND(K260&gt;IF(F260&gt;=Assumptions!$C$21,Assumptions!$C$10,Assumptions!$C$9),D260&gt;Assumptions!$C$23),N260*M260,0)</x:f>
        <x:v>49.24290612478336</x:v>
      </x:c>
      <x:c r="P260" s="78" t="n">
        <x:f>IFERROR(O260/F260,0)</x:f>
        <x:v>52.38607034551421</x:v>
      </x:c>
      <x:c r="Q260" s="78" t="n">
        <x:v>1</x:v>
      </x:c>
      <x:c r="R260" s="78" t="str">
        <x:v>Resolve</x:v>
      </x:c>
      <x:c r="S260" s="78" t="n">
        <x:f>IF(R260="Resolve",IF(IF(E260="YES",Q260,1-Q260)=1,P260*(1-F260),-O260),P260*(G260-F260))</x:f>
        <x:v>3.1431642207308554</x:v>
      </x:c>
      <x:c r="T260" s="78" t="n">
        <x:f>P260*J260</x:f>
        <x:v>0.15715821103654265</x:v>
      </x:c>
      <x:c r="U260" s="78" t="n">
        <x:f>S260-T260</x:f>
        <x:v>2.9860060096943126</x:v>
      </x:c>
      <x:c r="V260" s="78" t="n">
        <x:f>N260+U260</x:f>
        <x:v>9851.567230966366</x:v>
      </x:c>
      <x:c r="W260" s="74" t="n">
        <x:f>IFERROR(V260/MAX($V$16:V260)-1,0)</x:f>
        <x:v>-0.02516025662762733</x:v>
      </x:c>
      <x:c r="X260" t="str">
        <x:f>IF(O260&gt;0,"TRADE","NO_TRADE")</x:f>
        <x:v>TRADE</x:v>
      </x:c>
    </x:row>
    <x:row r="261">
      <x:c r="A261" s="66" t="n">
        <x:v>46167.51417824074</x:v>
      </x:c>
      <x:c r="B261" s="66" t="str">
        <x:v>MKT_1004</x:v>
      </x:c>
      <x:c r="C261" s="66" t="n">
        <x:v>46167.51736111111</x:v>
      </x:c>
      <x:c r="D261" t="n">
        <x:v>275</x:v>
      </x:c>
      <x:c r="E261" t="str">
        <x:v>YES</x:v>
      </x:c>
      <x:c r="F261" s="74" t="n">
        <x:v>0.95</x:v>
      </x:c>
      <x:c r="G261" s="74" t="n">
        <x:v>0.95</x:v>
      </x:c>
      <x:c r="H261" s="74" t="n">
        <x:v>0.968</x:v>
      </x:c>
      <x:c r="I261" s="74" t="n">
        <x:f>IF(E261="YES",H261,1-H261)</x:f>
        <x:v>0.968</x:v>
      </x:c>
      <x:c r="J261" s="76" t="n">
        <x:f>Assumptions!$C$12+Assumptions!$C$11*F261</x:f>
        <x:v>0.003</x:v>
      </x:c>
      <x:c r="K261" s="76" t="n">
        <x:f>I261-F261-J261</x:f>
        <x:v>0.015000000000000017</x:v>
      </x:c>
      <x:c r="L261" s="74" t="n">
        <x:f>MAX(0,IFERROR(K261/(1-F261),0))</x:f>
        <x:v>0.30000000000000004</x:v>
      </x:c>
      <x:c r="M261" s="74" t="n">
        <x:f>MIN(Assumptions!$C$8*L261,Assumptions!$C$5)</x:f>
        <x:v>0.005</x:v>
      </x:c>
      <x:c r="N261" s="78" t="n">
        <x:f>IF(ROW()=16,Assumptions!$C$4,V260)</x:f>
        <x:v>9851.567230966366</x:v>
      </x:c>
      <x:c r="O261" s="78" t="n">
        <x:f>IF(AND(K261&gt;IF(F261&gt;=Assumptions!$C$21,Assumptions!$C$10,Assumptions!$C$9),D261&gt;Assumptions!$C$23),N261*M261,0)</x:f>
        <x:v>49.25783615483183</x:v>
      </x:c>
      <x:c r="P261" s="78" t="n">
        <x:f>IFERROR(O261/F261,0)</x:f>
        <x:v>51.8503538471914</x:v>
      </x:c>
      <x:c r="Q261" s="78" t="n">
        <x:v>0</x:v>
      </x:c>
      <x:c r="R261" s="78" t="str">
        <x:v>Resolve</x:v>
      </x:c>
      <x:c r="S261" s="78" t="n">
        <x:f>IF(R261="Resolve",IF(IF(E261="YES",Q261,1-Q261)=1,P261*(1-F261),-O261),P261*(G261-F261))</x:f>
        <x:v>-49.25783615483183</x:v>
      </x:c>
      <x:c r="T261" s="78" t="n">
        <x:f>P261*J261</x:f>
        <x:v>0.1555510615415742</x:v>
      </x:c>
      <x:c r="U261" s="78" t="n">
        <x:f>S261-T261</x:f>
        <x:v>-49.4133872163734</x:v>
      </x:c>
      <x:c r="V261" s="78" t="n">
        <x:f>N261+U261</x:f>
        <x:v>9802.153843749993</x:v>
      </x:c>
      <x:c r="W261" s="74" t="n">
        <x:f>IFERROR(V261/MAX($V$16:V261)-1,0)</x:f>
        <x:v>-0.030049847550963515</x:v>
      </x:c>
      <x:c r="X261" t="str">
        <x:f>IF(O261&gt;0,"TRADE","NO_TRADE")</x:f>
        <x:v>TRADE</x:v>
      </x:c>
    </x:row>
    <x:row r="262">
      <x:c r="A262" s="66" t="n">
        <x:v>46167.514236111114</x:v>
      </x:c>
      <x:c r="B262" s="66" t="str">
        <x:v>MKT_1004</x:v>
      </x:c>
      <x:c r="C262" s="66" t="n">
        <x:v>46167.51736111111</x:v>
      </x:c>
      <x:c r="D262" t="n">
        <x:v>270</x:v>
      </x:c>
      <x:c r="E262" t="str">
        <x:v>NO</x:v>
      </x:c>
      <x:c r="F262" s="74" t="n">
        <x:v>0.57</x:v>
      </x:c>
      <x:c r="G262" s="74" t="n">
        <x:v>0.57</x:v>
      </x:c>
      <x:c r="H262" s="74" t="n">
        <x:v>0.582</x:v>
      </x:c>
      <x:c r="I262" s="74" t="n">
        <x:f>IF(E262="YES",H262,1-H262)</x:f>
        <x:v>0.41800000000000004</x:v>
      </x:c>
      <x:c r="J262" s="76" t="n">
        <x:f>Assumptions!$C$12+Assumptions!$C$11*F262</x:f>
        <x:v>0.003</x:v>
      </x:c>
      <x:c r="K262" s="76" t="n">
        <x:f>I262-F262-J262</x:f>
        <x:v>-0.15499999999999992</x:v>
      </x:c>
      <x:c r="L262" s="74" t="n">
        <x:f>MAX(0,IFERROR(K262/(1-F262),0))</x:f>
        <x:v>0</x:v>
      </x:c>
      <x:c r="M262" s="74" t="n">
        <x:f>MIN(Assumptions!$C$8*L262,Assumptions!$C$5)</x:f>
        <x:v>0</x:v>
      </x:c>
      <x:c r="N262" s="78" t="n">
        <x:f>IF(ROW()=16,Assumptions!$C$4,V261)</x:f>
        <x:v>9802.153843749993</x:v>
      </x:c>
      <x:c r="O262" s="78" t="n">
        <x:f>IF(AND(K262&gt;IF(F262&gt;=Assumptions!$C$21,Assumptions!$C$10,Assumptions!$C$9),D262&gt;Assumptions!$C$23),N262*M262,0)</x:f>
        <x:v>0</x:v>
      </x:c>
      <x:c r="P262" s="78" t="n">
        <x:f>IFERROR(O262/F262,0)</x:f>
        <x:v>0</x:v>
      </x:c>
      <x:c r="Q262" s="78" t="n">
        <x:v>1</x:v>
      </x:c>
      <x:c r="R262" s="78" t="str">
        <x:v>Resolve</x:v>
      </x:c>
      <x:c r="S262" s="78" t="n">
        <x:f>IF(R262="Resolve",IF(IF(E262="YES",Q262,1-Q262)=1,P262*(1-F262),-O262),P262*(G262-F262))</x:f>
        <x:v>0</x:v>
      </x:c>
      <x:c r="T262" s="78" t="n">
        <x:f>P262*J262</x:f>
        <x:v>0</x:v>
      </x:c>
      <x:c r="U262" s="78" t="n">
        <x:f>S262-T262</x:f>
        <x:v>0</x:v>
      </x:c>
      <x:c r="V262" s="78" t="n">
        <x:f>N262+U262</x:f>
        <x:v>9802.153843749993</x:v>
      </x:c>
      <x:c r="W262" s="74" t="n">
        <x:f>IFERROR(V262/MAX($V$16:V262)-1,0)</x:f>
        <x:v>-0.030049847550963515</x:v>
      </x:c>
      <x:c r="X262" t="str">
        <x:f>IF(O262&gt;0,"TRADE","NO_TRADE")</x:f>
        <x:v>NO_TRADE</x:v>
      </x:c>
    </x:row>
    <x:row r="263">
      <x:c r="A263" s="66" t="n">
        <x:v>46167.51429398148</x:v>
      </x:c>
      <x:c r="B263" s="66" t="str">
        <x:v>MKT_1004</x:v>
      </x:c>
      <x:c r="C263" s="66" t="n">
        <x:v>46167.51736111111</x:v>
      </x:c>
      <x:c r="D263" t="n">
        <x:v>265</x:v>
      </x:c>
      <x:c r="E263" t="str">
        <x:v>YES</x:v>
      </x:c>
      <x:c r="F263" s="74" t="n">
        <x:v>0.68</x:v>
      </x:c>
      <x:c r="G263" s="74" t="n">
        <x:v>0.68</x:v>
      </x:c>
      <x:c r="H263" s="74" t="n">
        <x:v>0.7050000000000001</x:v>
      </x:c>
      <x:c r="I263" s="74" t="n">
        <x:f>IF(E263="YES",H263,1-H263)</x:f>
        <x:v>0.7050000000000001</x:v>
      </x:c>
      <x:c r="J263" s="76" t="n">
        <x:f>Assumptions!$C$12+Assumptions!$C$11*F263</x:f>
        <x:v>0.003</x:v>
      </x:c>
      <x:c r="K263" s="76" t="n">
        <x:f>I263-F263-J263</x:f>
        <x:v>0.022000000000000023</x:v>
      </x:c>
      <x:c r="L263" s="74" t="n">
        <x:f>MAX(0,IFERROR(K263/(1-F263),0))</x:f>
        <x:v>0.06875000000000009</x:v>
      </x:c>
      <x:c r="M263" s="74" t="n">
        <x:f>MIN(Assumptions!$C$8*L263,Assumptions!$C$5)</x:f>
        <x:v>0.005</x:v>
      </x:c>
      <x:c r="N263" s="78" t="n">
        <x:f>IF(ROW()=16,Assumptions!$C$4,V262)</x:f>
        <x:v>9802.153843749993</x:v>
      </x:c>
      <x:c r="O263" s="78" t="n">
        <x:f>IF(AND(K263&gt;IF(F263&gt;=Assumptions!$C$21,Assumptions!$C$10,Assumptions!$C$9),D263&gt;Assumptions!$C$23),N263*M263,0)</x:f>
        <x:v>49.010769218749964</x:v>
      </x:c>
      <x:c r="P263" s="78" t="n">
        <x:f>IFERROR(O263/F263,0)</x:f>
        <x:v>72.07466061580877</x:v>
      </x:c>
      <x:c r="Q263" s="78" t="n">
        <x:v>1</x:v>
      </x:c>
      <x:c r="R263" s="78" t="str">
        <x:v>Resolve</x:v>
      </x:c>
      <x:c r="S263" s="78" t="n">
        <x:f>IF(R263="Resolve",IF(IF(E263="YES",Q263,1-Q263)=1,P263*(1-F263),-O263),P263*(G263-F263))</x:f>
        <x:v>23.063891397058804</x:v>
      </x:c>
      <x:c r="T263" s="78" t="n">
        <x:f>P263*J263</x:f>
        <x:v>0.2162239818474263</x:v>
      </x:c>
      <x:c r="U263" s="78" t="n">
        <x:f>S263-T263</x:f>
        <x:v>22.847667415211376</x:v>
      </x:c>
      <x:c r="V263" s="78" t="n">
        <x:f>N263+U263</x:f>
        <x:v>9825.001511165205</x:v>
      </x:c>
      <x:c r="W263" s="74" t="n">
        <x:f>IFERROR(V263/MAX($V$16:V263)-1,0)</x:f>
        <x:v>-0.02778900785738736</x:v>
      </x:c>
      <x:c r="X263" t="str">
        <x:f>IF(O263&gt;0,"TRADE","NO_TRADE")</x:f>
        <x:v>TRADE</x:v>
      </x:c>
    </x:row>
    <x:row r="264">
      <x:c r="A264" s="66" t="n">
        <x:v>46167.51435185185</x:v>
      </x:c>
      <x:c r="B264" s="66" t="str">
        <x:v>MKT_1004</x:v>
      </x:c>
      <x:c r="C264" s="66" t="n">
        <x:v>46167.51736111111</x:v>
      </x:c>
      <x:c r="D264" t="n">
        <x:v>260</x:v>
      </x:c>
      <x:c r="E264" t="str">
        <x:v>YES</x:v>
      </x:c>
      <x:c r="F264" s="74" t="n">
        <x:v>0.91</x:v>
      </x:c>
      <x:c r="G264" s="74" t="n">
        <x:v>0.91</x:v>
      </x:c>
      <x:c r="H264" s="74" t="n">
        <x:v>0.9450000000000001</x:v>
      </x:c>
      <x:c r="I264" s="74" t="n">
        <x:f>IF(E264="YES",H264,1-H264)</x:f>
        <x:v>0.9450000000000001</x:v>
      </x:c>
      <x:c r="J264" s="76" t="n">
        <x:f>Assumptions!$C$12+Assumptions!$C$11*F264</x:f>
        <x:v>0.003</x:v>
      </x:c>
      <x:c r="K264" s="76" t="n">
        <x:f>I264-F264-J264</x:f>
        <x:v>0.03200000000000003</x:v>
      </x:c>
      <x:c r="L264" s="74" t="n">
        <x:f>MAX(0,IFERROR(K264/(1-F264),0))</x:f>
        <x:v>0.355555555555556</x:v>
      </x:c>
      <x:c r="M264" s="74" t="n">
        <x:f>MIN(Assumptions!$C$8*L264,Assumptions!$C$5)</x:f>
        <x:v>0.005</x:v>
      </x:c>
      <x:c r="N264" s="78" t="n">
        <x:f>IF(ROW()=16,Assumptions!$C$4,V263)</x:f>
        <x:v>9825.001511165205</x:v>
      </x:c>
      <x:c r="O264" s="78" t="n">
        <x:f>IF(AND(K264&gt;IF(F264&gt;=Assumptions!$C$21,Assumptions!$C$10,Assumptions!$C$9),D264&gt;Assumptions!$C$23),N264*M264,0)</x:f>
        <x:v>49.12500755582602</x:v>
      </x:c>
      <x:c r="P264" s="78" t="n">
        <x:f>IFERROR(O264/F264,0)</x:f>
        <x:v>53.983524786622</x:v>
      </x:c>
      <x:c r="Q264" s="78" t="n">
        <x:v>0</x:v>
      </x:c>
      <x:c r="R264" s="78" t="str">
        <x:v>Resolve</x:v>
      </x:c>
      <x:c r="S264" s="78" t="n">
        <x:f>IF(R264="Resolve",IF(IF(E264="YES",Q264,1-Q264)=1,P264*(1-F264),-O264),P264*(G264-F264))</x:f>
        <x:v>-49.12500755582602</x:v>
      </x:c>
      <x:c r="T264" s="78" t="n">
        <x:f>P264*J264</x:f>
        <x:v>0.161950574359866</x:v>
      </x:c>
      <x:c r="U264" s="78" t="n">
        <x:f>S264-T264</x:f>
        <x:v>-49.28695813018589</x:v>
      </x:c>
      <x:c r="V264" s="78" t="n">
        <x:f>N264+U264</x:f>
        <x:v>9775.714553035019</x:v>
      </x:c>
      <x:c r="W264" s="74" t="n">
        <x:f>IFERROR(V264/MAX($V$16:V264)-1,0)</x:f>
        <x:v>-0.03266608827401485</x:v>
      </x:c>
      <x:c r="X264" t="str">
        <x:f>IF(O264&gt;0,"TRADE","NO_TRADE")</x:f>
        <x:v>TRADE</x:v>
      </x:c>
    </x:row>
    <x:row r="265">
      <x:c r="A265" s="66" t="n">
        <x:v>46167.51440972222</x:v>
      </x:c>
      <x:c r="B265" s="66" t="str">
        <x:v>MKT_1004</x:v>
      </x:c>
      <x:c r="C265" s="66" t="n">
        <x:v>46167.51736111111</x:v>
      </x:c>
      <x:c r="D265" t="n">
        <x:v>255</x:v>
      </x:c>
      <x:c r="E265" t="str">
        <x:v>NO</x:v>
      </x:c>
      <x:c r="F265" s="74" t="n">
        <x:v>0.83</x:v>
      </x:c>
      <x:c r="G265" s="74" t="n">
        <x:v>0.83</x:v>
      </x:c>
      <x:c r="H265" s="74" t="n">
        <x:v>0.82</x:v>
      </x:c>
      <x:c r="I265" s="74" t="n">
        <x:f>IF(E265="YES",H265,1-H265)</x:f>
        <x:v>0.18000000000000005</x:v>
      </x:c>
      <x:c r="J265" s="76" t="n">
        <x:f>Assumptions!$C$12+Assumptions!$C$11*F265</x:f>
        <x:v>0.003</x:v>
      </x:c>
      <x:c r="K265" s="76" t="n">
        <x:f>I265-F265-J265</x:f>
        <x:v>-0.6529999999999999</x:v>
      </x:c>
      <x:c r="L265" s="74" t="n">
        <x:f>MAX(0,IFERROR(K265/(1-F265),0))</x:f>
        <x:v>0</x:v>
      </x:c>
      <x:c r="M265" s="74" t="n">
        <x:f>MIN(Assumptions!$C$8*L265,Assumptions!$C$5)</x:f>
        <x:v>0</x:v>
      </x:c>
      <x:c r="N265" s="78" t="n">
        <x:f>IF(ROW()=16,Assumptions!$C$4,V264)</x:f>
        <x:v>9775.714553035019</x:v>
      </x:c>
      <x:c r="O265" s="78" t="n">
        <x:f>IF(AND(K265&gt;IF(F265&gt;=Assumptions!$C$21,Assumptions!$C$10,Assumptions!$C$9),D265&gt;Assumptions!$C$23),N265*M265,0)</x:f>
        <x:v>0</x:v>
      </x:c>
      <x:c r="P265" s="78" t="n">
        <x:f>IFERROR(O265/F265,0)</x:f>
        <x:v>0</x:v>
      </x:c>
      <x:c r="Q265" s="78" t="n">
        <x:v>1</x:v>
      </x:c>
      <x:c r="R265" s="78" t="str">
        <x:v>Resolve</x:v>
      </x:c>
      <x:c r="S265" s="78" t="n">
        <x:f>IF(R265="Resolve",IF(IF(E265="YES",Q265,1-Q265)=1,P265*(1-F265),-O265),P265*(G265-F265))</x:f>
        <x:v>0</x:v>
      </x:c>
      <x:c r="T265" s="78" t="n">
        <x:f>P265*J265</x:f>
        <x:v>0</x:v>
      </x:c>
      <x:c r="U265" s="78" t="n">
        <x:f>S265-T265</x:f>
        <x:v>0</x:v>
      </x:c>
      <x:c r="V265" s="78" t="n">
        <x:f>N265+U265</x:f>
        <x:v>9775.714553035019</x:v>
      </x:c>
      <x:c r="W265" s="74" t="n">
        <x:f>IFERROR(V265/MAX($V$16:V265)-1,0)</x:f>
        <x:v>-0.03266608827401485</x:v>
      </x:c>
      <x:c r="X265" t="str">
        <x:f>IF(O265&gt;0,"TRADE","NO_TRADE")</x:f>
        <x:v>NO_TRADE</x:v>
      </x:c>
    </x:row>
    <x:row r="266">
      <x:c r="A266" s="66" t="n">
        <x:v>46167.51446759259</x:v>
      </x:c>
      <x:c r="B266" s="66" t="str">
        <x:v>MKT_1004</x:v>
      </x:c>
      <x:c r="C266" s="66" t="n">
        <x:v>46167.51736111111</x:v>
      </x:c>
      <x:c r="D266" t="n">
        <x:v>250</x:v>
      </x:c>
      <x:c r="E266" t="str">
        <x:v>YES</x:v>
      </x:c>
      <x:c r="F266" s="74" t="n">
        <x:v>0.52</x:v>
      </x:c>
      <x:c r="G266" s="74" t="n">
        <x:v>0.52</x:v>
      </x:c>
      <x:c r="H266" s="74" t="n">
        <x:v>0.535</x:v>
      </x:c>
      <x:c r="I266" s="74" t="n">
        <x:f>IF(E266="YES",H266,1-H266)</x:f>
        <x:v>0.535</x:v>
      </x:c>
      <x:c r="J266" s="76" t="n">
        <x:f>Assumptions!$C$12+Assumptions!$C$11*F266</x:f>
        <x:v>0.003</x:v>
      </x:c>
      <x:c r="K266" s="76" t="n">
        <x:f>I266-F266-J266</x:f>
        <x:v>0.012000000000000014</x:v>
      </x:c>
      <x:c r="L266" s="74" t="n">
        <x:f>MAX(0,IFERROR(K266/(1-F266),0))</x:f>
        <x:v>0.02500000000000003</x:v>
      </x:c>
      <x:c r="M266" s="74" t="n">
        <x:f>MIN(Assumptions!$C$8*L266,Assumptions!$C$5)</x:f>
        <x:v>0.005</x:v>
      </x:c>
      <x:c r="N266" s="78" t="n">
        <x:f>IF(ROW()=16,Assumptions!$C$4,V265)</x:f>
        <x:v>9775.714553035019</x:v>
      </x:c>
      <x:c r="O266" s="78" t="n">
        <x:f>IF(AND(K266&gt;IF(F266&gt;=Assumptions!$C$21,Assumptions!$C$10,Assumptions!$C$9),D266&gt;Assumptions!$C$23),N266*M266,0)</x:f>
        <x:v>48.87857276517509</x:v>
      </x:c>
      <x:c r="P266" s="78" t="n">
        <x:f>IFERROR(O266/F266,0)</x:f>
        <x:v>93.9972553176444</x:v>
      </x:c>
      <x:c r="Q266" s="78" t="n">
        <x:v>1</x:v>
      </x:c>
      <x:c r="R266" s="78" t="str">
        <x:v>Resolve</x:v>
      </x:c>
      <x:c r="S266" s="78" t="n">
        <x:f>IF(R266="Resolve",IF(IF(E266="YES",Q266,1-Q266)=1,P266*(1-F266),-O266),P266*(G266-F266))</x:f>
        <x:v>45.11868255246931</x:v>
      </x:c>
      <x:c r="T266" s="78" t="n">
        <x:f>P266*J266</x:f>
        <x:v>0.28199176595293324</x:v>
      </x:c>
      <x:c r="U266" s="78" t="n">
        <x:f>S266-T266</x:f>
        <x:v>44.83669078651638</x:v>
      </x:c>
      <x:c r="V266" s="78" t="n">
        <x:f>N266+U266</x:f>
        <x:v>9820.551243821536</x:v>
      </x:c>
      <x:c r="W266" s="74" t="n">
        <x:f>IFERROR(V266/MAX($V$16:V266)-1,0)</x:f>
        <x:v>-0.028229374082733183</x:v>
      </x:c>
      <x:c r="X266" t="str">
        <x:f>IF(O266&gt;0,"TRADE","NO_TRADE")</x:f>
        <x:v>TRADE</x:v>
      </x:c>
    </x:row>
    <x:row r="267">
      <x:c r="A267" s="66" t="n">
        <x:v>46167.51452546296</x:v>
      </x:c>
      <x:c r="B267" s="66" t="str">
        <x:v>MKT_1004</x:v>
      </x:c>
      <x:c r="C267" s="66" t="n">
        <x:v>46167.51736111111</x:v>
      </x:c>
      <x:c r="D267" t="n">
        <x:v>245</x:v>
      </x:c>
      <x:c r="E267" t="str">
        <x:v>YES</x:v>
      </x:c>
      <x:c r="F267" s="74" t="n">
        <x:v>0.61</x:v>
      </x:c>
      <x:c r="G267" s="74" t="n">
        <x:v>0.61</x:v>
      </x:c>
      <x:c r="H267" s="74" t="n">
        <x:v>0.63</x:v>
      </x:c>
      <x:c r="I267" s="74" t="n">
        <x:f>IF(E267="YES",H267,1-H267)</x:f>
        <x:v>0.63</x:v>
      </x:c>
      <x:c r="J267" s="76" t="n">
        <x:f>Assumptions!$C$12+Assumptions!$C$11*F267</x:f>
        <x:v>0.003</x:v>
      </x:c>
      <x:c r="K267" s="76" t="n">
        <x:f>I267-F267-J267</x:f>
        <x:v>0.01700000000000002</x:v>
      </x:c>
      <x:c r="L267" s="74" t="n">
        <x:f>MAX(0,IFERROR(K267/(1-F267),0))</x:f>
        <x:v>0.043589743589743636</x:v>
      </x:c>
      <x:c r="M267" s="74" t="n">
        <x:f>MIN(Assumptions!$C$8*L267,Assumptions!$C$5)</x:f>
        <x:v>0.005</x:v>
      </x:c>
      <x:c r="N267" s="78" t="n">
        <x:f>IF(ROW()=16,Assumptions!$C$4,V266)</x:f>
        <x:v>9820.551243821536</x:v>
      </x:c>
      <x:c r="O267" s="78" t="n">
        <x:f>IF(AND(K267&gt;IF(F267&gt;=Assumptions!$C$21,Assumptions!$C$10,Assumptions!$C$9),D267&gt;Assumptions!$C$23),N267*M267,0)</x:f>
        <x:v>49.102756219107675</x:v>
      </x:c>
      <x:c r="P267" s="78" t="n">
        <x:f>IFERROR(O267/F267,0)</x:f>
        <x:v>80.49632167066832</x:v>
      </x:c>
      <x:c r="Q267" s="78" t="n">
        <x:v>1</x:v>
      </x:c>
      <x:c r="R267" s="78" t="str">
        <x:v>Resolve</x:v>
      </x:c>
      <x:c r="S267" s="78" t="n">
        <x:f>IF(R267="Resolve",IF(IF(E267="YES",Q267,1-Q267)=1,P267*(1-F267),-O267),P267*(G267-F267))</x:f>
        <x:v>31.393565451560647</x:v>
      </x:c>
      <x:c r="T267" s="78" t="n">
        <x:f>P267*J267</x:f>
        <x:v>0.24148896501200498</x:v>
      </x:c>
      <x:c r="U267" s="78" t="n">
        <x:f>S267-T267</x:f>
        <x:v>31.15207648654864</x:v>
      </x:c>
      <x:c r="V267" s="78" t="n">
        <x:f>N267+U267</x:f>
        <x:v>9851.703320308085</x:v>
      </x:c>
      <x:c r="W267" s="74" t="n">
        <x:f>IFERROR(V267/MAX($V$16:V267)-1,0)</x:f>
        <x:v>-0.025146790211995618</x:v>
      </x:c>
      <x:c r="X267" t="str">
        <x:f>IF(O267&gt;0,"TRADE","NO_TRADE")</x:f>
        <x:v>TRADE</x:v>
      </x:c>
    </x:row>
    <x:row r="268">
      <x:c r="A268" s="66" t="n">
        <x:v>46167.51458333333</x:v>
      </x:c>
      <x:c r="B268" s="66" t="str">
        <x:v>MKT_1004</x:v>
      </x:c>
      <x:c r="C268" s="66" t="n">
        <x:v>46167.51736111111</x:v>
      </x:c>
      <x:c r="D268" t="n">
        <x:v>240</x:v>
      </x:c>
      <x:c r="E268" t="str">
        <x:v>NO</x:v>
      </x:c>
      <x:c r="F268" s="74" t="n">
        <x:v>0.74</x:v>
      </x:c>
      <x:c r="G268" s="74" t="n">
        <x:v>0.74</x:v>
      </x:c>
      <x:c r="H268" s="74" t="n">
        <x:v>0.735</x:v>
      </x:c>
      <x:c r="I268" s="74" t="n">
        <x:f>IF(E268="YES",H268,1-H268)</x:f>
        <x:v>0.265</x:v>
      </x:c>
      <x:c r="J268" s="76" t="n">
        <x:f>Assumptions!$C$12+Assumptions!$C$11*F268</x:f>
        <x:v>0.003</x:v>
      </x:c>
      <x:c r="K268" s="76" t="n">
        <x:f>I268-F268-J268</x:f>
        <x:v>-0.478</x:v>
      </x:c>
      <x:c r="L268" s="74" t="n">
        <x:f>MAX(0,IFERROR(K268/(1-F268),0))</x:f>
        <x:v>0</x:v>
      </x:c>
      <x:c r="M268" s="74" t="n">
        <x:f>MIN(Assumptions!$C$8*L268,Assumptions!$C$5)</x:f>
        <x:v>0</x:v>
      </x:c>
      <x:c r="N268" s="78" t="n">
        <x:f>IF(ROW()=16,Assumptions!$C$4,V267)</x:f>
        <x:v>9851.703320308085</x:v>
      </x:c>
      <x:c r="O268" s="78" t="n">
        <x:f>IF(AND(K268&gt;IF(F268&gt;=Assumptions!$C$21,Assumptions!$C$10,Assumptions!$C$9),D268&gt;Assumptions!$C$23),N268*M268,0)</x:f>
        <x:v>0</x:v>
      </x:c>
      <x:c r="P268" s="78" t="n">
        <x:f>IFERROR(O268/F268,0)</x:f>
        <x:v>0</x:v>
      </x:c>
      <x:c r="Q268" s="78" t="n">
        <x:v>0</x:v>
      </x:c>
      <x:c r="R268" s="78" t="str">
        <x:v>Resolve</x:v>
      </x:c>
      <x:c r="S268" s="78" t="n">
        <x:f>IF(R268="Resolve",IF(IF(E268="YES",Q268,1-Q268)=1,P268*(1-F268),-O268),P268*(G268-F268))</x:f>
        <x:v>0</x:v>
      </x:c>
      <x:c r="T268" s="78" t="n">
        <x:f>P268*J268</x:f>
        <x:v>0</x:v>
      </x:c>
      <x:c r="U268" s="78" t="n">
        <x:f>S268-T268</x:f>
        <x:v>0</x:v>
      </x:c>
      <x:c r="V268" s="78" t="n">
        <x:f>N268+U268</x:f>
        <x:v>9851.703320308085</x:v>
      </x:c>
      <x:c r="W268" s="74" t="n">
        <x:f>IFERROR(V268/MAX($V$16:V268)-1,0)</x:f>
        <x:v>-0.025146790211995618</x:v>
      </x:c>
      <x:c r="X268" t="str">
        <x:f>IF(O268&gt;0,"TRADE","NO_TRADE")</x:f>
        <x:v>NO_TRADE</x:v>
      </x:c>
    </x:row>
    <x:row r="269">
      <x:c r="A269" s="66" t="n">
        <x:v>46167.51464120371</x:v>
      </x:c>
      <x:c r="B269" s="66" t="str">
        <x:v>MKT_1004</x:v>
      </x:c>
      <x:c r="C269" s="66" t="n">
        <x:v>46167.51736111111</x:v>
      </x:c>
      <x:c r="D269" t="n">
        <x:v>235</x:v>
      </x:c>
      <x:c r="E269" t="str">
        <x:v>YES</x:v>
      </x:c>
      <x:c r="F269" s="74" t="n">
        <x:v>0.88</x:v>
      </x:c>
      <x:c r="G269" s="74" t="n">
        <x:v>0.88</x:v>
      </x:c>
      <x:c r="H269" s="74" t="n">
        <x:v>0.91</x:v>
      </x:c>
      <x:c r="I269" s="74" t="n">
        <x:f>IF(E269="YES",H269,1-H269)</x:f>
        <x:v>0.91</x:v>
      </x:c>
      <x:c r="J269" s="76" t="n">
        <x:f>Assumptions!$C$12+Assumptions!$C$11*F269</x:f>
        <x:v>0.003</x:v>
      </x:c>
      <x:c r="K269" s="76" t="n">
        <x:f>I269-F269-J269</x:f>
        <x:v>0.027000000000000027</x:v>
      </x:c>
      <x:c r="L269" s="74" t="n">
        <x:f>MAX(0,IFERROR(K269/(1-F269),0))</x:f>
        <x:v>0.22500000000000023</x:v>
      </x:c>
      <x:c r="M269" s="74" t="n">
        <x:f>MIN(Assumptions!$C$8*L269,Assumptions!$C$5)</x:f>
        <x:v>0.005</x:v>
      </x:c>
      <x:c r="N269" s="78" t="n">
        <x:f>IF(ROW()=16,Assumptions!$C$4,V268)</x:f>
        <x:v>9851.703320308085</x:v>
      </x:c>
      <x:c r="O269" s="78" t="n">
        <x:f>IF(AND(K269&gt;IF(F269&gt;=Assumptions!$C$21,Assumptions!$C$10,Assumptions!$C$9),D269&gt;Assumptions!$C$23),N269*M269,0)</x:f>
        <x:v>49.25851660154042</x:v>
      </x:c>
      <x:c r="P269" s="78" t="n">
        <x:f>IFERROR(O269/F269,0)</x:f>
        <x:v>55.975587047205025</x:v>
      </x:c>
      <x:c r="Q269" s="78" t="n">
        <x:v>1</x:v>
      </x:c>
      <x:c r="R269" s="78" t="str">
        <x:v>Resolve</x:v>
      </x:c>
      <x:c r="S269" s="78" t="n">
        <x:f>IF(R269="Resolve",IF(IF(E269="YES",Q269,1-Q269)=1,P269*(1-F269),-O269),P269*(G269-F269))</x:f>
        <x:v>6.717070445664603</x:v>
      </x:c>
      <x:c r="T269" s="78" t="n">
        <x:f>P269*J269</x:f>
        <x:v>0.1679267611416151</x:v>
      </x:c>
      <x:c r="U269" s="78" t="n">
        <x:f>S269-T269</x:f>
        <x:v>6.549143684522988</x:v>
      </x:c>
      <x:c r="V269" s="78" t="n">
        <x:f>N269+U269</x:f>
        <x:v>9858.252463992607</x:v>
      </x:c>
      <x:c r="W269" s="74" t="n">
        <x:f>IFERROR(V269/MAX($V$16:V269)-1,0)</x:f>
        <x:v>-0.02449873438503425</x:v>
      </x:c>
      <x:c r="X269" t="str">
        <x:f>IF(O269&gt;0,"TRADE","NO_TRADE")</x:f>
        <x:v>TRADE</x:v>
      </x:c>
    </x:row>
    <x:row r="270">
      <x:c r="A270" s="66" t="n">
        <x:v>46167.514699074076</x:v>
      </x:c>
      <x:c r="B270" s="66" t="str">
        <x:v>MKT_1004</x:v>
      </x:c>
      <x:c r="C270" s="66" t="n">
        <x:v>46167.51736111111</x:v>
      </x:c>
      <x:c r="D270" t="n">
        <x:v>230</x:v>
      </x:c>
      <x:c r="E270" t="str">
        <x:v>YES</x:v>
      </x:c>
      <x:c r="F270" s="74" t="n">
        <x:v>0.94</x:v>
      </x:c>
      <x:c r="G270" s="74" t="n">
        <x:v>0.94</x:v>
      </x:c>
      <x:c r="H270" s="74" t="n">
        <x:v>0.98</x:v>
      </x:c>
      <x:c r="I270" s="74" t="n">
        <x:f>IF(E270="YES",H270,1-H270)</x:f>
        <x:v>0.98</x:v>
      </x:c>
      <x:c r="J270" s="76" t="n">
        <x:f>Assumptions!$C$12+Assumptions!$C$11*F270</x:f>
        <x:v>0.003</x:v>
      </x:c>
      <x:c r="K270" s="76" t="n">
        <x:f>I270-F270-J270</x:f>
        <x:v>0.03700000000000003</x:v>
      </x:c>
      <x:c r="L270" s="74" t="n">
        <x:f>MAX(0,IFERROR(K270/(1-F270),0))</x:f>
        <x:v>0.6166666666666667</x:v>
      </x:c>
      <x:c r="M270" s="74" t="n">
        <x:f>MIN(Assumptions!$C$8*L270,Assumptions!$C$5)</x:f>
        <x:v>0.005</x:v>
      </x:c>
      <x:c r="N270" s="78" t="n">
        <x:f>IF(ROW()=16,Assumptions!$C$4,V269)</x:f>
        <x:v>9858.252463992607</x:v>
      </x:c>
      <x:c r="O270" s="78" t="n">
        <x:f>IF(AND(K270&gt;IF(F270&gt;=Assumptions!$C$21,Assumptions!$C$10,Assumptions!$C$9),D270&gt;Assumptions!$C$23),N270*M270,0)</x:f>
        <x:v>49.29126231996304</x:v>
      </x:c>
      <x:c r="P270" s="78" t="n">
        <x:f>IFERROR(O270/F270,0)</x:f>
        <x:v>52.43751310634366</x:v>
      </x:c>
      <x:c r="Q270" s="78" t="n">
        <x:v>1</x:v>
      </x:c>
      <x:c r="R270" s="78" t="str">
        <x:v>Resolve</x:v>
      </x:c>
      <x:c r="S270" s="78" t="n">
        <x:f>IF(R270="Resolve",IF(IF(E270="YES",Q270,1-Q270)=1,P270*(1-F270),-O270),P270*(G270-F270))</x:f>
        <x:v>3.146250786380622</x:v>
      </x:c>
      <x:c r="T270" s="78" t="n">
        <x:f>P270*J270</x:f>
        <x:v>0.15731253931903097</x:v>
      </x:c>
      <x:c r="U270" s="78" t="n">
        <x:f>S270-T270</x:f>
        <x:v>2.9889382470615913</x:v>
      </x:c>
      <x:c r="V270" s="78" t="n">
        <x:f>N270+U270</x:f>
        <x:v>9861.241402239668</x:v>
      </x:c>
      <x:c r="W270" s="74" t="n">
        <x:f>IFERROR(V270/MAX($V$16:V270)-1,0)</x:f>
        <x:v>-0.024202970703438353</x:v>
      </x:c>
      <x:c r="X270" t="str">
        <x:f>IF(O270&gt;0,"TRADE","NO_TRADE")</x:f>
        <x:v>TRADE</x:v>
      </x:c>
    </x:row>
    <x:row r="271">
      <x:c r="A271" s="66" t="n">
        <x:v>46167.514756944445</x:v>
      </x:c>
      <x:c r="B271" s="66" t="str">
        <x:v>MKT_1004</x:v>
      </x:c>
      <x:c r="C271" s="66" t="n">
        <x:v>46167.51736111111</x:v>
      </x:c>
      <x:c r="D271" t="n">
        <x:v>225</x:v>
      </x:c>
      <x:c r="E271" t="str">
        <x:v>NO</x:v>
      </x:c>
      <x:c r="F271" s="74" t="n">
        <x:v>0.95</x:v>
      </x:c>
      <x:c r="G271" s="74" t="n">
        <x:v>0.95</x:v>
      </x:c>
      <x:c r="H271" s="74" t="n">
        <x:v>0.968</x:v>
      </x:c>
      <x:c r="I271" s="74" t="n">
        <x:f>IF(E271="YES",H271,1-H271)</x:f>
        <x:v>0.03200000000000003</x:v>
      </x:c>
      <x:c r="J271" s="76" t="n">
        <x:f>Assumptions!$C$12+Assumptions!$C$11*F271</x:f>
        <x:v>0.003</x:v>
      </x:c>
      <x:c r="K271" s="76" t="n">
        <x:f>I271-F271-J271</x:f>
        <x:v>-0.9209999999999999</x:v>
      </x:c>
      <x:c r="L271" s="74" t="n">
        <x:f>MAX(0,IFERROR(K271/(1-F271),0))</x:f>
        <x:v>0</x:v>
      </x:c>
      <x:c r="M271" s="74" t="n">
        <x:f>MIN(Assumptions!$C$8*L271,Assumptions!$C$5)</x:f>
        <x:v>0</x:v>
      </x:c>
      <x:c r="N271" s="78" t="n">
        <x:f>IF(ROW()=16,Assumptions!$C$4,V270)</x:f>
        <x:v>9861.241402239668</x:v>
      </x:c>
      <x:c r="O271" s="78" t="n">
        <x:f>IF(AND(K271&gt;IF(F271&gt;=Assumptions!$C$21,Assumptions!$C$10,Assumptions!$C$9),D271&gt;Assumptions!$C$23),N271*M271,0)</x:f>
        <x:v>0</x:v>
      </x:c>
      <x:c r="P271" s="78" t="n">
        <x:f>IFERROR(O271/F271,0)</x:f>
        <x:v>0</x:v>
      </x:c>
      <x:c r="Q271" s="78" t="n">
        <x:v>0</x:v>
      </x:c>
      <x:c r="R271" s="78" t="str">
        <x:v>Resolve</x:v>
      </x:c>
      <x:c r="S271" s="78" t="n">
        <x:f>IF(R271="Resolve",IF(IF(E271="YES",Q271,1-Q271)=1,P271*(1-F271),-O271),P271*(G271-F271))</x:f>
        <x:v>0</x:v>
      </x:c>
      <x:c r="T271" s="78" t="n">
        <x:f>P271*J271</x:f>
        <x:v>0</x:v>
      </x:c>
      <x:c r="U271" s="78" t="n">
        <x:f>S271-T271</x:f>
        <x:v>0</x:v>
      </x:c>
      <x:c r="V271" s="78" t="n">
        <x:f>N271+U271</x:f>
        <x:v>9861.241402239668</x:v>
      </x:c>
      <x:c r="W271" s="74" t="n">
        <x:f>IFERROR(V271/MAX($V$16:V271)-1,0)</x:f>
        <x:v>-0.024202970703438353</x:v>
      </x:c>
      <x:c r="X271" t="str">
        <x:f>IF(O271&gt;0,"TRADE","NO_TRADE")</x:f>
        <x:v>NO_TRADE</x:v>
      </x:c>
    </x:row>
    <x:row r="272">
      <x:c r="A272" s="66" t="n">
        <x:v>46167.514814814815</x:v>
      </x:c>
      <x:c r="B272" s="66" t="str">
        <x:v>MKT_1004</x:v>
      </x:c>
      <x:c r="C272" s="66" t="n">
        <x:v>46167.51736111111</x:v>
      </x:c>
      <x:c r="D272" t="n">
        <x:v>220</x:v>
      </x:c>
      <x:c r="E272" t="str">
        <x:v>YES</x:v>
      </x:c>
      <x:c r="F272" s="74" t="n">
        <x:v>0.57</x:v>
      </x:c>
      <x:c r="G272" s="74" t="n">
        <x:v>0.57</x:v>
      </x:c>
      <x:c r="H272" s="74" t="n">
        <x:v>0.582</x:v>
      </x:c>
      <x:c r="I272" s="74" t="n">
        <x:f>IF(E272="YES",H272,1-H272)</x:f>
        <x:v>0.582</x:v>
      </x:c>
      <x:c r="J272" s="76" t="n">
        <x:f>Assumptions!$C$12+Assumptions!$C$11*F272</x:f>
        <x:v>0.003</x:v>
      </x:c>
      <x:c r="K272" s="76" t="n">
        <x:f>I272-F272-J272</x:f>
        <x:v>0.009000000000000011</x:v>
      </x:c>
      <x:c r="L272" s="74" t="n">
        <x:f>MAX(0,IFERROR(K272/(1-F272),0))</x:f>
        <x:v>0.02093023255813956</x:v>
      </x:c>
      <x:c r="M272" s="74" t="n">
        <x:f>MIN(Assumptions!$C$8*L272,Assumptions!$C$5)</x:f>
        <x:v>0.005</x:v>
      </x:c>
      <x:c r="N272" s="78" t="n">
        <x:f>IF(ROW()=16,Assumptions!$C$4,V271)</x:f>
        <x:v>9861.241402239668</x:v>
      </x:c>
      <x:c r="O272" s="78" t="n">
        <x:f>IF(AND(K272&gt;IF(F272&gt;=Assumptions!$C$21,Assumptions!$C$10,Assumptions!$C$9),D272&gt;Assumptions!$C$23),N272*M272,0)</x:f>
        <x:v>49.30620701119834</x:v>
      </x:c>
      <x:c r="P272" s="78" t="n">
        <x:f>IFERROR(O272/F272,0)</x:f>
        <x:v>86.50211756350586</x:v>
      </x:c>
      <x:c r="Q272" s="78" t="n">
        <x:v>1</x:v>
      </x:c>
      <x:c r="R272" s="78" t="str">
        <x:v>Resolve</x:v>
      </x:c>
      <x:c r="S272" s="78" t="n">
        <x:f>IF(R272="Resolve",IF(IF(E272="YES",Q272,1-Q272)=1,P272*(1-F272),-O272),P272*(G272-F272))</x:f>
        <x:v>37.195910552307524</x:v>
      </x:c>
      <x:c r="T272" s="78" t="n">
        <x:f>P272*J272</x:f>
        <x:v>0.2595063526905176</x:v>
      </x:c>
      <x:c r="U272" s="78" t="n">
        <x:f>S272-T272</x:f>
        <x:v>36.93640419961701</x:v>
      </x:c>
      <x:c r="V272" s="78" t="n">
        <x:f>N272+U272</x:f>
        <x:v>9898.177806439286</x:v>
      </x:c>
      <x:c r="W272" s="74" t="n">
        <x:f>IFERROR(V272/MAX($V$16:V272)-1,0)</x:f>
        <x:v>-0.02054801165510811</x:v>
      </x:c>
      <x:c r="X272" t="str">
        <x:f>IF(O272&gt;0,"TRADE","NO_TRADE")</x:f>
        <x:v>TRADE</x:v>
      </x:c>
    </x:row>
    <x:row r="273">
      <x:c r="A273" s="66" t="n">
        <x:v>46167.514872685184</x:v>
      </x:c>
      <x:c r="B273" s="66" t="str">
        <x:v>MKT_1004</x:v>
      </x:c>
      <x:c r="C273" s="66" t="n">
        <x:v>46167.51736111111</x:v>
      </x:c>
      <x:c r="D273" t="n">
        <x:v>215</x:v>
      </x:c>
      <x:c r="E273" t="str">
        <x:v>YES</x:v>
      </x:c>
      <x:c r="F273" s="74" t="n">
        <x:v>0.68</x:v>
      </x:c>
      <x:c r="G273" s="74" t="n">
        <x:v>0.68</x:v>
      </x:c>
      <x:c r="H273" s="74" t="n">
        <x:v>0.7050000000000001</x:v>
      </x:c>
      <x:c r="I273" s="74" t="n">
        <x:f>IF(E273="YES",H273,1-H273)</x:f>
        <x:v>0.7050000000000001</x:v>
      </x:c>
      <x:c r="J273" s="76" t="n">
        <x:f>Assumptions!$C$12+Assumptions!$C$11*F273</x:f>
        <x:v>0.003</x:v>
      </x:c>
      <x:c r="K273" s="76" t="n">
        <x:f>I273-F273-J273</x:f>
        <x:v>0.022000000000000023</x:v>
      </x:c>
      <x:c r="L273" s="74" t="n">
        <x:f>MAX(0,IFERROR(K273/(1-F273),0))</x:f>
        <x:v>0.06875000000000009</x:v>
      </x:c>
      <x:c r="M273" s="74" t="n">
        <x:f>MIN(Assumptions!$C$8*L273,Assumptions!$C$5)</x:f>
        <x:v>0.005</x:v>
      </x:c>
      <x:c r="N273" s="78" t="n">
        <x:f>IF(ROW()=16,Assumptions!$C$4,V272)</x:f>
        <x:v>9898.177806439286</x:v>
      </x:c>
      <x:c r="O273" s="78" t="n">
        <x:f>IF(AND(K273&gt;IF(F273&gt;=Assumptions!$C$21,Assumptions!$C$10,Assumptions!$C$9),D273&gt;Assumptions!$C$23),N273*M273,0)</x:f>
        <x:v>49.49088903219643</x:v>
      </x:c>
      <x:c r="P273" s="78" t="n">
        <x:f>IFERROR(O273/F273,0)</x:f>
        <x:v>72.78071916499474</x:v>
      </x:c>
      <x:c r="Q273" s="78" t="n">
        <x:v>1</x:v>
      </x:c>
      <x:c r="R273" s="78" t="str">
        <x:v>Resolve</x:v>
      </x:c>
      <x:c r="S273" s="78" t="n">
        <x:f>IF(R273="Resolve",IF(IF(E273="YES",Q273,1-Q273)=1,P273*(1-F273),-O273),P273*(G273-F273))</x:f>
        <x:v>23.28983013279831</x:v>
      </x:c>
      <x:c r="T273" s="78" t="n">
        <x:f>P273*J273</x:f>
        <x:v>0.2183421574949842</x:v>
      </x:c>
      <x:c r="U273" s="78" t="n">
        <x:f>S273-T273</x:f>
        <x:v>23.071487975303327</x:v>
      </x:c>
      <x:c r="V273" s="78" t="n">
        <x:f>N273+U273</x:f>
        <x:v>9921.249294414589</x:v>
      </x:c>
      <x:c r="W273" s="74" t="n">
        <x:f>IFERROR(V273/MAX($V$16:V273)-1,0)</x:f>
        <x:v>-0.01826502429992194</x:v>
      </x:c>
      <x:c r="X273" t="str">
        <x:f>IF(O273&gt;0,"TRADE","NO_TRADE")</x:f>
        <x:v>TRADE</x:v>
      </x:c>
    </x:row>
    <x:row r="274">
      <x:c r="A274" s="66" t="n">
        <x:v>46167.51493055555</x:v>
      </x:c>
      <x:c r="B274" s="66" t="str">
        <x:v>MKT_1004</x:v>
      </x:c>
      <x:c r="C274" s="66" t="n">
        <x:v>46167.51736111111</x:v>
      </x:c>
      <x:c r="D274" t="n">
        <x:v>210</x:v>
      </x:c>
      <x:c r="E274" t="str">
        <x:v>NO</x:v>
      </x:c>
      <x:c r="F274" s="74" t="n">
        <x:v>0.91</x:v>
      </x:c>
      <x:c r="G274" s="74" t="n">
        <x:v>0.91</x:v>
      </x:c>
      <x:c r="H274" s="74" t="n">
        <x:v>0.9450000000000001</x:v>
      </x:c>
      <x:c r="I274" s="74" t="n">
        <x:f>IF(E274="YES",H274,1-H274)</x:f>
        <x:v>0.05499999999999994</x:v>
      </x:c>
      <x:c r="J274" s="76" t="n">
        <x:f>Assumptions!$C$12+Assumptions!$C$11*F274</x:f>
        <x:v>0.003</x:v>
      </x:c>
      <x:c r="K274" s="76" t="n">
        <x:f>I274-F274-J274</x:f>
        <x:v>-0.8580000000000001</x:v>
      </x:c>
      <x:c r="L274" s="74" t="n">
        <x:f>MAX(0,IFERROR(K274/(1-F274),0))</x:f>
        <x:v>0</x:v>
      </x:c>
      <x:c r="M274" s="74" t="n">
        <x:f>MIN(Assumptions!$C$8*L274,Assumptions!$C$5)</x:f>
        <x:v>0</x:v>
      </x:c>
      <x:c r="N274" s="78" t="n">
        <x:f>IF(ROW()=16,Assumptions!$C$4,V273)</x:f>
        <x:v>9921.249294414589</x:v>
      </x:c>
      <x:c r="O274" s="78" t="n">
        <x:f>IF(AND(K274&gt;IF(F274&gt;=Assumptions!$C$21,Assumptions!$C$10,Assumptions!$C$9),D274&gt;Assumptions!$C$23),N274*M274,0)</x:f>
        <x:v>0</x:v>
      </x:c>
      <x:c r="P274" s="78" t="n">
        <x:f>IFERROR(O274/F274,0)</x:f>
        <x:v>0</x:v>
      </x:c>
      <x:c r="Q274" s="78" t="n">
        <x:v>1</x:v>
      </x:c>
      <x:c r="R274" s="78" t="str">
        <x:v>Resolve</x:v>
      </x:c>
      <x:c r="S274" s="78" t="n">
        <x:f>IF(R274="Resolve",IF(IF(E274="YES",Q274,1-Q274)=1,P274*(1-F274),-O274),P274*(G274-F274))</x:f>
        <x:v>0</x:v>
      </x:c>
      <x:c r="T274" s="78" t="n">
        <x:f>P274*J274</x:f>
        <x:v>0</x:v>
      </x:c>
      <x:c r="U274" s="78" t="n">
        <x:f>S274-T274</x:f>
        <x:v>0</x:v>
      </x:c>
      <x:c r="V274" s="78" t="n">
        <x:f>N274+U274</x:f>
        <x:v>9921.249294414589</x:v>
      </x:c>
      <x:c r="W274" s="74" t="n">
        <x:f>IFERROR(V274/MAX($V$16:V274)-1,0)</x:f>
        <x:v>-0.01826502429992194</x:v>
      </x:c>
      <x:c r="X274" t="str">
        <x:f>IF(O274&gt;0,"TRADE","NO_TRADE")</x:f>
        <x:v>NO_TRADE</x:v>
      </x:c>
    </x:row>
    <x:row r="275">
      <x:c r="A275" s="66" t="n">
        <x:v>46167.51498842592</x:v>
      </x:c>
      <x:c r="B275" s="66" t="str">
        <x:v>MKT_1004</x:v>
      </x:c>
      <x:c r="C275" s="66" t="n">
        <x:v>46167.51736111111</x:v>
      </x:c>
      <x:c r="D275" t="n">
        <x:v>205</x:v>
      </x:c>
      <x:c r="E275" t="str">
        <x:v>YES</x:v>
      </x:c>
      <x:c r="F275" s="74" t="n">
        <x:v>0.83</x:v>
      </x:c>
      <x:c r="G275" s="74" t="n">
        <x:v>0.83</x:v>
      </x:c>
      <x:c r="H275" s="74" t="n">
        <x:v>0.82</x:v>
      </x:c>
      <x:c r="I275" s="74" t="n">
        <x:f>IF(E275="YES",H275,1-H275)</x:f>
        <x:v>0.82</x:v>
      </x:c>
      <x:c r="J275" s="76" t="n">
        <x:f>Assumptions!$C$12+Assumptions!$C$11*F275</x:f>
        <x:v>0.003</x:v>
      </x:c>
      <x:c r="K275" s="76" t="n">
        <x:f>I275-F275-J275</x:f>
        <x:v>-0.013000000000000008</x:v>
      </x:c>
      <x:c r="L275" s="74" t="n">
        <x:f>MAX(0,IFERROR(K275/(1-F275),0))</x:f>
        <x:v>0</x:v>
      </x:c>
      <x:c r="M275" s="74" t="n">
        <x:f>MIN(Assumptions!$C$8*L275,Assumptions!$C$5)</x:f>
        <x:v>0</x:v>
      </x:c>
      <x:c r="N275" s="78" t="n">
        <x:f>IF(ROW()=16,Assumptions!$C$4,V274)</x:f>
        <x:v>9921.249294414589</x:v>
      </x:c>
      <x:c r="O275" s="78" t="n">
        <x:f>IF(AND(K275&gt;IF(F275&gt;=Assumptions!$C$21,Assumptions!$C$10,Assumptions!$C$9),D275&gt;Assumptions!$C$23),N275*M275,0)</x:f>
        <x:v>0</x:v>
      </x:c>
      <x:c r="P275" s="78" t="n">
        <x:f>IFERROR(O275/F275,0)</x:f>
        <x:v>0</x:v>
      </x:c>
      <x:c r="Q275" s="78" t="n">
        <x:v>0</x:v>
      </x:c>
      <x:c r="R275" s="78" t="str">
        <x:v>Resolve</x:v>
      </x:c>
      <x:c r="S275" s="78" t="n">
        <x:f>IF(R275="Resolve",IF(IF(E275="YES",Q275,1-Q275)=1,P275*(1-F275),-O275),P275*(G275-F275))</x:f>
        <x:v>0</x:v>
      </x:c>
      <x:c r="T275" s="78" t="n">
        <x:f>P275*J275</x:f>
        <x:v>0</x:v>
      </x:c>
      <x:c r="U275" s="78" t="n">
        <x:f>S275-T275</x:f>
        <x:v>0</x:v>
      </x:c>
      <x:c r="V275" s="78" t="n">
        <x:f>N275+U275</x:f>
        <x:v>9921.249294414589</x:v>
      </x:c>
      <x:c r="W275" s="74" t="n">
        <x:f>IFERROR(V275/MAX($V$16:V275)-1,0)</x:f>
        <x:v>-0.01826502429992194</x:v>
      </x:c>
      <x:c r="X275" t="str">
        <x:f>IF(O275&gt;0,"TRADE","NO_TRADE")</x:f>
        <x:v>NO_TRADE</x:v>
      </x:c>
    </x:row>
    <x:row r="276">
      <x:c r="A276" s="66" t="n">
        <x:v>46167.5150462963</x:v>
      </x:c>
      <x:c r="B276" s="66" t="str">
        <x:v>MKT_1004</x:v>
      </x:c>
      <x:c r="C276" s="66" t="n">
        <x:v>46167.51736111111</x:v>
      </x:c>
      <x:c r="D276" t="n">
        <x:v>200</x:v>
      </x:c>
      <x:c r="E276" t="str">
        <x:v>YES</x:v>
      </x:c>
      <x:c r="F276" s="74" t="n">
        <x:v>0.52</x:v>
      </x:c>
      <x:c r="G276" s="74" t="n">
        <x:v>0.52</x:v>
      </x:c>
      <x:c r="H276" s="74" t="n">
        <x:v>0.535</x:v>
      </x:c>
      <x:c r="I276" s="74" t="n">
        <x:f>IF(E276="YES",H276,1-H276)</x:f>
        <x:v>0.535</x:v>
      </x:c>
      <x:c r="J276" s="76" t="n">
        <x:f>Assumptions!$C$12+Assumptions!$C$11*F276</x:f>
        <x:v>0.003</x:v>
      </x:c>
      <x:c r="K276" s="76" t="n">
        <x:f>I276-F276-J276</x:f>
        <x:v>0.012000000000000014</x:v>
      </x:c>
      <x:c r="L276" s="74" t="n">
        <x:f>MAX(0,IFERROR(K276/(1-F276),0))</x:f>
        <x:v>0.02500000000000003</x:v>
      </x:c>
      <x:c r="M276" s="74" t="n">
        <x:f>MIN(Assumptions!$C$8*L276,Assumptions!$C$5)</x:f>
        <x:v>0.005</x:v>
      </x:c>
      <x:c r="N276" s="78" t="n">
        <x:f>IF(ROW()=16,Assumptions!$C$4,V275)</x:f>
        <x:v>9921.249294414589</x:v>
      </x:c>
      <x:c r="O276" s="78" t="n">
        <x:f>IF(AND(K276&gt;IF(F276&gt;=Assumptions!$C$21,Assumptions!$C$10,Assumptions!$C$9),D276&gt;Assumptions!$C$23),N276*M276,0)</x:f>
        <x:v>49.60624647207295</x:v>
      </x:c>
      <x:c r="P276" s="78" t="n">
        <x:f>IFERROR(O276/F276,0)</x:f>
        <x:v>95.39662783090951</x:v>
      </x:c>
      <x:c r="Q276" s="78" t="n">
        <x:v>1</x:v>
      </x:c>
      <x:c r="R276" s="78" t="str">
        <x:v>Resolve</x:v>
      </x:c>
      <x:c r="S276" s="78" t="n">
        <x:f>IF(R276="Resolve",IF(IF(E276="YES",Q276,1-Q276)=1,P276*(1-F276),-O276),P276*(G276-F276))</x:f>
        <x:v>45.79038135883656</x:v>
      </x:c>
      <x:c r="T276" s="78" t="n">
        <x:f>P276*J276</x:f>
        <x:v>0.28618988349272856</x:v>
      </x:c>
      <x:c r="U276" s="78" t="n">
        <x:f>S276-T276</x:f>
        <x:v>45.50419147534383</x:v>
      </x:c>
      <x:c r="V276" s="78" t="n">
        <x:f>N276+U276</x:f>
        <x:v>9966.753485889933</x:v>
      </x:c>
      <x:c r="W276" s="74" t="n">
        <x:f>IFERROR(V276/MAX($V$16:V276)-1,0)</x:f>
        <x:v>-0.01376225907483597</x:v>
      </x:c>
      <x:c r="X276" t="str">
        <x:f>IF(O276&gt;0,"TRADE","NO_TRADE")</x:f>
        <x:v>TRADE</x:v>
      </x:c>
    </x:row>
    <x:row r="277">
      <x:c r="A277" s="66" t="n">
        <x:v>46167.51510416667</x:v>
      </x:c>
      <x:c r="B277" s="66" t="str">
        <x:v>MKT_1004</x:v>
      </x:c>
      <x:c r="C277" s="66" t="n">
        <x:v>46167.51736111111</x:v>
      </x:c>
      <x:c r="D277" t="n">
        <x:v>195</x:v>
      </x:c>
      <x:c r="E277" t="str">
        <x:v>NO</x:v>
      </x:c>
      <x:c r="F277" s="74" t="n">
        <x:v>0.61</x:v>
      </x:c>
      <x:c r="G277" s="74" t="n">
        <x:v>0.61</x:v>
      </x:c>
      <x:c r="H277" s="74" t="n">
        <x:v>0.63</x:v>
      </x:c>
      <x:c r="I277" s="74" t="n">
        <x:f>IF(E277="YES",H277,1-H277)</x:f>
        <x:v>0.37</x:v>
      </x:c>
      <x:c r="J277" s="76" t="n">
        <x:f>Assumptions!$C$12+Assumptions!$C$11*F277</x:f>
        <x:v>0.003</x:v>
      </x:c>
      <x:c r="K277" s="76" t="n">
        <x:f>I277-F277-J277</x:f>
        <x:v>-0.243</x:v>
      </x:c>
      <x:c r="L277" s="74" t="n">
        <x:f>MAX(0,IFERROR(K277/(1-F277),0))</x:f>
        <x:v>0</x:v>
      </x:c>
      <x:c r="M277" s="74" t="n">
        <x:f>MIN(Assumptions!$C$8*L277,Assumptions!$C$5)</x:f>
        <x:v>0</x:v>
      </x:c>
      <x:c r="N277" s="78" t="n">
        <x:f>IF(ROW()=16,Assumptions!$C$4,V276)</x:f>
        <x:v>9966.753485889933</x:v>
      </x:c>
      <x:c r="O277" s="78" t="n">
        <x:f>IF(AND(K277&gt;IF(F277&gt;=Assumptions!$C$21,Assumptions!$C$10,Assumptions!$C$9),D277&gt;Assumptions!$C$23),N277*M277,0)</x:f>
        <x:v>0</x:v>
      </x:c>
      <x:c r="P277" s="78" t="n">
        <x:f>IFERROR(O277/F277,0)</x:f>
        <x:v>0</x:v>
      </x:c>
      <x:c r="Q277" s="78" t="n">
        <x:v>1</x:v>
      </x:c>
      <x:c r="R277" s="78" t="str">
        <x:v>Resolve</x:v>
      </x:c>
      <x:c r="S277" s="78" t="n">
        <x:f>IF(R277="Resolve",IF(IF(E277="YES",Q277,1-Q277)=1,P277*(1-F277),-O277),P277*(G277-F277))</x:f>
        <x:v>0</x:v>
      </x:c>
      <x:c r="T277" s="78" t="n">
        <x:f>P277*J277</x:f>
        <x:v>0</x:v>
      </x:c>
      <x:c r="U277" s="78" t="n">
        <x:f>S277-T277</x:f>
        <x:v>0</x:v>
      </x:c>
      <x:c r="V277" s="78" t="n">
        <x:f>N277+U277</x:f>
        <x:v>9966.753485889933</x:v>
      </x:c>
      <x:c r="W277" s="74" t="n">
        <x:f>IFERROR(V277/MAX($V$16:V277)-1,0)</x:f>
        <x:v>-0.01376225907483597</x:v>
      </x:c>
      <x:c r="X277" t="str">
        <x:f>IF(O277&gt;0,"TRADE","NO_TRADE")</x:f>
        <x:v>NO_TRADE</x:v>
      </x:c>
    </x:row>
    <x:row r="278">
      <x:c r="A278" s="66" t="n">
        <x:v>46167.51516203704</x:v>
      </x:c>
      <x:c r="B278" s="66" t="str">
        <x:v>MKT_1004</x:v>
      </x:c>
      <x:c r="C278" s="66" t="n">
        <x:v>46167.51736111111</x:v>
      </x:c>
      <x:c r="D278" t="n">
        <x:v>190</x:v>
      </x:c>
      <x:c r="E278" t="str">
        <x:v>YES</x:v>
      </x:c>
      <x:c r="F278" s="74" t="n">
        <x:v>0.74</x:v>
      </x:c>
      <x:c r="G278" s="74" t="n">
        <x:v>0.74</x:v>
      </x:c>
      <x:c r="H278" s="74" t="n">
        <x:v>0.735</x:v>
      </x:c>
      <x:c r="I278" s="74" t="n">
        <x:f>IF(E278="YES",H278,1-H278)</x:f>
        <x:v>0.735</x:v>
      </x:c>
      <x:c r="J278" s="76" t="n">
        <x:f>Assumptions!$C$12+Assumptions!$C$11*F278</x:f>
        <x:v>0.003</x:v>
      </x:c>
      <x:c r="K278" s="76" t="n">
        <x:f>I278-F278-J278</x:f>
        <x:v>-0.008000000000000004</x:v>
      </x:c>
      <x:c r="L278" s="74" t="n">
        <x:f>MAX(0,IFERROR(K278/(1-F278),0))</x:f>
        <x:v>0</x:v>
      </x:c>
      <x:c r="M278" s="74" t="n">
        <x:f>MIN(Assumptions!$C$8*L278,Assumptions!$C$5)</x:f>
        <x:v>0</x:v>
      </x:c>
      <x:c r="N278" s="78" t="n">
        <x:f>IF(ROW()=16,Assumptions!$C$4,V277)</x:f>
        <x:v>9966.753485889933</x:v>
      </x:c>
      <x:c r="O278" s="78" t="n">
        <x:f>IF(AND(K278&gt;IF(F278&gt;=Assumptions!$C$21,Assumptions!$C$10,Assumptions!$C$9),D278&gt;Assumptions!$C$23),N278*M278,0)</x:f>
        <x:v>0</x:v>
      </x:c>
      <x:c r="P278" s="78" t="n">
        <x:f>IFERROR(O278/F278,0)</x:f>
        <x:v>0</x:v>
      </x:c>
      <x:c r="Q278" s="78" t="n">
        <x:v>0</x:v>
      </x:c>
      <x:c r="R278" s="78" t="str">
        <x:v>Resolve</x:v>
      </x:c>
      <x:c r="S278" s="78" t="n">
        <x:f>IF(R278="Resolve",IF(IF(E278="YES",Q278,1-Q278)=1,P278*(1-F278),-O278),P278*(G278-F278))</x:f>
        <x:v>0</x:v>
      </x:c>
      <x:c r="T278" s="78" t="n">
        <x:f>P278*J278</x:f>
        <x:v>0</x:v>
      </x:c>
      <x:c r="U278" s="78" t="n">
        <x:f>S278-T278</x:f>
        <x:v>0</x:v>
      </x:c>
      <x:c r="V278" s="78" t="n">
        <x:f>N278+U278</x:f>
        <x:v>9966.753485889933</x:v>
      </x:c>
      <x:c r="W278" s="74" t="n">
        <x:f>IFERROR(V278/MAX($V$16:V278)-1,0)</x:f>
        <x:v>-0.01376225907483597</x:v>
      </x:c>
      <x:c r="X278" t="str">
        <x:f>IF(O278&gt;0,"TRADE","NO_TRADE")</x:f>
        <x:v>NO_TRADE</x:v>
      </x:c>
    </x:row>
    <x:row r="279">
      <x:c r="A279" s="66" t="n">
        <x:v>46167.51521990741</x:v>
      </x:c>
      <x:c r="B279" s="66" t="str">
        <x:v>MKT_1004</x:v>
      </x:c>
      <x:c r="C279" s="66" t="n">
        <x:v>46167.51736111111</x:v>
      </x:c>
      <x:c r="D279" t="n">
        <x:v>185</x:v>
      </x:c>
      <x:c r="E279" t="str">
        <x:v>YES</x:v>
      </x:c>
      <x:c r="F279" s="74" t="n">
        <x:v>0.88</x:v>
      </x:c>
      <x:c r="G279" s="74" t="n">
        <x:v>0.88</x:v>
      </x:c>
      <x:c r="H279" s="74" t="n">
        <x:v>0.91</x:v>
      </x:c>
      <x:c r="I279" s="74" t="n">
        <x:f>IF(E279="YES",H279,1-H279)</x:f>
        <x:v>0.91</x:v>
      </x:c>
      <x:c r="J279" s="76" t="n">
        <x:f>Assumptions!$C$12+Assumptions!$C$11*F279</x:f>
        <x:v>0.003</x:v>
      </x:c>
      <x:c r="K279" s="76" t="n">
        <x:f>I279-F279-J279</x:f>
        <x:v>0.027000000000000027</x:v>
      </x:c>
      <x:c r="L279" s="74" t="n">
        <x:f>MAX(0,IFERROR(K279/(1-F279),0))</x:f>
        <x:v>0.22500000000000023</x:v>
      </x:c>
      <x:c r="M279" s="74" t="n">
        <x:f>MIN(Assumptions!$C$8*L279,Assumptions!$C$5)</x:f>
        <x:v>0.005</x:v>
      </x:c>
      <x:c r="N279" s="78" t="n">
        <x:f>IF(ROW()=16,Assumptions!$C$4,V278)</x:f>
        <x:v>9966.753485889933</x:v>
      </x:c>
      <x:c r="O279" s="78" t="n">
        <x:f>IF(AND(K279&gt;IF(F279&gt;=Assumptions!$C$21,Assumptions!$C$10,Assumptions!$C$9),D279&gt;Assumptions!$C$23),N279*M279,0)</x:f>
        <x:v>49.833767429449665</x:v>
      </x:c>
      <x:c r="P279" s="78" t="n">
        <x:f>IFERROR(O279/F279,0)</x:f>
        <x:v>56.62928116982916</x:v>
      </x:c>
      <x:c r="Q279" s="78" t="n">
        <x:v>1</x:v>
      </x:c>
      <x:c r="R279" s="78" t="str">
        <x:v>Resolve</x:v>
      </x:c>
      <x:c r="S279" s="78" t="n">
        <x:f>IF(R279="Resolve",IF(IF(E279="YES",Q279,1-Q279)=1,P279*(1-F279),-O279),P279*(G279-F279))</x:f>
        <x:v>6.7955137403795</x:v>
      </x:c>
      <x:c r="T279" s="78" t="n">
        <x:f>P279*J279</x:f>
        <x:v>0.1698878435094875</x:v>
      </x:c>
      <x:c r="U279" s="78" t="n">
        <x:f>S279-T279</x:f>
        <x:v>6.625625896870012</x:v>
      </x:c>
      <x:c r="V279" s="78" t="n">
        <x:f>N279+U279</x:f>
        <x:v>9973.379111786802</x:v>
      </x:c>
      <x:c r="W279" s="74" t="n">
        <x:f>IFERROR(V279/MAX($V$16:V279)-1,0)</x:f>
        <x:v>-0.013106635122061894</x:v>
      </x:c>
      <x:c r="X279" t="str">
        <x:f>IF(O279&gt;0,"TRADE","NO_TRADE")</x:f>
        <x:v>TRADE</x:v>
      </x:c>
    </x:row>
    <x:row r="280">
      <x:c r="A280" s="66" t="n">
        <x:v>46167.51527777778</x:v>
      </x:c>
      <x:c r="B280" s="66" t="str">
        <x:v>MKT_1004</x:v>
      </x:c>
      <x:c r="C280" s="66" t="n">
        <x:v>46167.51736111111</x:v>
      </x:c>
      <x:c r="D280" t="n">
        <x:v>180</x:v>
      </x:c>
      <x:c r="E280" t="str">
        <x:v>NO</x:v>
      </x:c>
      <x:c r="F280" s="74" t="n">
        <x:v>0.94</x:v>
      </x:c>
      <x:c r="G280" s="74" t="n">
        <x:v>0.94</x:v>
      </x:c>
      <x:c r="H280" s="74" t="n">
        <x:v>0.98</x:v>
      </x:c>
      <x:c r="I280" s="74" t="n">
        <x:f>IF(E280="YES",H280,1-H280)</x:f>
        <x:v>0.020000000000000018</x:v>
      </x:c>
      <x:c r="J280" s="76" t="n">
        <x:f>Assumptions!$C$12+Assumptions!$C$11*F280</x:f>
        <x:v>0.003</x:v>
      </x:c>
      <x:c r="K280" s="76" t="n">
        <x:f>I280-F280-J280</x:f>
        <x:v>-0.9229999999999999</x:v>
      </x:c>
      <x:c r="L280" s="74" t="n">
        <x:f>MAX(0,IFERROR(K280/(1-F280),0))</x:f>
        <x:v>0</x:v>
      </x:c>
      <x:c r="M280" s="74" t="n">
        <x:f>MIN(Assumptions!$C$8*L280,Assumptions!$C$5)</x:f>
        <x:v>0</x:v>
      </x:c>
      <x:c r="N280" s="78" t="n">
        <x:f>IF(ROW()=16,Assumptions!$C$4,V279)</x:f>
        <x:v>9973.379111786802</x:v>
      </x:c>
      <x:c r="O280" s="78" t="n">
        <x:f>IF(AND(K280&gt;IF(F280&gt;=Assumptions!$C$21,Assumptions!$C$10,Assumptions!$C$9),D280&gt;Assumptions!$C$23),N280*M280,0)</x:f>
        <x:v>0</x:v>
      </x:c>
      <x:c r="P280" s="78" t="n">
        <x:f>IFERROR(O280/F280,0)</x:f>
        <x:v>0</x:v>
      </x:c>
      <x:c r="Q280" s="78" t="n">
        <x:v>1</x:v>
      </x:c>
      <x:c r="R280" s="78" t="str">
        <x:v>Resolve</x:v>
      </x:c>
      <x:c r="S280" s="78" t="n">
        <x:f>IF(R280="Resolve",IF(IF(E280="YES",Q280,1-Q280)=1,P280*(1-F280),-O280),P280*(G280-F280))</x:f>
        <x:v>0</x:v>
      </x:c>
      <x:c r="T280" s="78" t="n">
        <x:f>P280*J280</x:f>
        <x:v>0</x:v>
      </x:c>
      <x:c r="U280" s="78" t="n">
        <x:f>S280-T280</x:f>
        <x:v>0</x:v>
      </x:c>
      <x:c r="V280" s="78" t="n">
        <x:f>N280+U280</x:f>
        <x:v>9973.379111786802</x:v>
      </x:c>
      <x:c r="W280" s="74" t="n">
        <x:f>IFERROR(V280/MAX($V$16:V280)-1,0)</x:f>
        <x:v>-0.013106635122061894</x:v>
      </x:c>
      <x:c r="X280" t="str">
        <x:f>IF(O280&gt;0,"TRADE","NO_TRADE")</x:f>
        <x:v>NO_TRADE</x:v>
      </x:c>
    </x:row>
    <x:row r="281">
      <x:c r="A281" s="66" t="n">
        <x:v>46167.515335648146</x:v>
      </x:c>
      <x:c r="B281" s="66" t="str">
        <x:v>MKT_1004</x:v>
      </x:c>
      <x:c r="C281" s="66" t="n">
        <x:v>46167.51736111111</x:v>
      </x:c>
      <x:c r="D281" t="n">
        <x:v>175</x:v>
      </x:c>
      <x:c r="E281" t="str">
        <x:v>YES</x:v>
      </x:c>
      <x:c r="F281" s="74" t="n">
        <x:v>0.95</x:v>
      </x:c>
      <x:c r="G281" s="74" t="n">
        <x:v>0.95</x:v>
      </x:c>
      <x:c r="H281" s="74" t="n">
        <x:v>0.968</x:v>
      </x:c>
      <x:c r="I281" s="74" t="n">
        <x:f>IF(E281="YES",H281,1-H281)</x:f>
        <x:v>0.968</x:v>
      </x:c>
      <x:c r="J281" s="76" t="n">
        <x:f>Assumptions!$C$12+Assumptions!$C$11*F281</x:f>
        <x:v>0.003</x:v>
      </x:c>
      <x:c r="K281" s="76" t="n">
        <x:f>I281-F281-J281</x:f>
        <x:v>0.015000000000000017</x:v>
      </x:c>
      <x:c r="L281" s="74" t="n">
        <x:f>MAX(0,IFERROR(K281/(1-F281),0))</x:f>
        <x:v>0.30000000000000004</x:v>
      </x:c>
      <x:c r="M281" s="74" t="n">
        <x:f>MIN(Assumptions!$C$8*L281,Assumptions!$C$5)</x:f>
        <x:v>0.005</x:v>
      </x:c>
      <x:c r="N281" s="78" t="n">
        <x:f>IF(ROW()=16,Assumptions!$C$4,V280)</x:f>
        <x:v>9973.379111786802</x:v>
      </x:c>
      <x:c r="O281" s="78" t="n">
        <x:f>IF(AND(K281&gt;IF(F281&gt;=Assumptions!$C$21,Assumptions!$C$10,Assumptions!$C$9),D281&gt;Assumptions!$C$23),N281*M281,0)</x:f>
        <x:v>49.86689555893401</x:v>
      </x:c>
      <x:c r="P281" s="78" t="n">
        <x:f>IFERROR(O281/F281,0)</x:f>
        <x:v>52.49146900940423</x:v>
      </x:c>
      <x:c r="Q281" s="78" t="n">
        <x:v>1</x:v>
      </x:c>
      <x:c r="R281" s="78" t="str">
        <x:v>Resolve</x:v>
      </x:c>
      <x:c r="S281" s="78" t="n">
        <x:f>IF(R281="Resolve",IF(IF(E281="YES",Q281,1-Q281)=1,P281*(1-F281),-O281),P281*(G281-F281))</x:f>
        <x:v>2.624573450470214</x:v>
      </x:c>
      <x:c r="T281" s="78" t="n">
        <x:f>P281*J281</x:f>
        <x:v>0.1574744070282127</x:v>
      </x:c>
      <x:c r="U281" s="78" t="n">
        <x:f>S281-T281</x:f>
        <x:v>2.4670990434420013</x:v>
      </x:c>
      <x:c r="V281" s="78" t="n">
        <x:f>N281+U281</x:f>
        <x:v>9975.846210830245</x:v>
      </x:c>
      <x:c r="W281" s="74" t="n">
        <x:f>IFERROR(V281/MAX($V$16:V281)-1,0)</x:f>
        <x:v>-0.012862508868644706</x:v>
      </x:c>
      <x:c r="X281" t="str">
        <x:f>IF(O281&gt;0,"TRADE","NO_TRADE")</x:f>
        <x:v>TRADE</x:v>
      </x:c>
    </x:row>
    <x:row r="282">
      <x:c r="A282" s="66" t="n">
        <x:v>46167.515393518515</x:v>
      </x:c>
      <x:c r="B282" s="66" t="str">
        <x:v>MKT_1004</x:v>
      </x:c>
      <x:c r="C282" s="66" t="n">
        <x:v>46167.51736111111</x:v>
      </x:c>
      <x:c r="D282" t="n">
        <x:v>170</x:v>
      </x:c>
      <x:c r="E282" t="str">
        <x:v>YES</x:v>
      </x:c>
      <x:c r="F282" s="74" t="n">
        <x:v>0.57</x:v>
      </x:c>
      <x:c r="G282" s="74" t="n">
        <x:v>0.57</x:v>
      </x:c>
      <x:c r="H282" s="74" t="n">
        <x:v>0.582</x:v>
      </x:c>
      <x:c r="I282" s="74" t="n">
        <x:f>IF(E282="YES",H282,1-H282)</x:f>
        <x:v>0.582</x:v>
      </x:c>
      <x:c r="J282" s="76" t="n">
        <x:f>Assumptions!$C$12+Assumptions!$C$11*F282</x:f>
        <x:v>0.003</x:v>
      </x:c>
      <x:c r="K282" s="76" t="n">
        <x:f>I282-F282-J282</x:f>
        <x:v>0.009000000000000011</x:v>
      </x:c>
      <x:c r="L282" s="74" t="n">
        <x:f>MAX(0,IFERROR(K282/(1-F282),0))</x:f>
        <x:v>0.02093023255813956</x:v>
      </x:c>
      <x:c r="M282" s="74" t="n">
        <x:f>MIN(Assumptions!$C$8*L282,Assumptions!$C$5)</x:f>
        <x:v>0.005</x:v>
      </x:c>
      <x:c r="N282" s="78" t="n">
        <x:f>IF(ROW()=16,Assumptions!$C$4,V281)</x:f>
        <x:v>9975.846210830245</x:v>
      </x:c>
      <x:c r="O282" s="78" t="n">
        <x:f>IF(AND(K282&gt;IF(F282&gt;=Assumptions!$C$21,Assumptions!$C$10,Assumptions!$C$9),D282&gt;Assumptions!$C$23),N282*M282,0)</x:f>
        <x:v>49.87923105415123</x:v>
      </x:c>
      <x:c r="P282" s="78" t="n">
        <x:f>IFERROR(O282/F282,0)</x:f>
        <x:v>87.5074229020197</x:v>
      </x:c>
      <x:c r="Q282" s="78" t="n">
        <x:v>0</x:v>
      </x:c>
      <x:c r="R282" s="78" t="str">
        <x:v>Resolve</x:v>
      </x:c>
      <x:c r="S282" s="78" t="n">
        <x:f>IF(R282="Resolve",IF(IF(E282="YES",Q282,1-Q282)=1,P282*(1-F282),-O282),P282*(G282-F282))</x:f>
        <x:v>-49.87923105415123</x:v>
      </x:c>
      <x:c r="T282" s="78" t="n">
        <x:f>P282*J282</x:f>
        <x:v>0.2625222687060591</x:v>
      </x:c>
      <x:c r="U282" s="78" t="n">
        <x:f>S282-T282</x:f>
        <x:v>-50.141753322857284</x:v>
      </x:c>
      <x:c r="V282" s="78" t="n">
        <x:f>N282+U282</x:f>
        <x:v>9925.704457507387</x:v>
      </x:c>
      <x:c r="W282" s="74" t="n">
        <x:f>IFERROR(V282/MAX($V$16:V282)-1,0)</x:f>
        <x:v>-0.017824173626699746</x:v>
      </x:c>
      <x:c r="X282" t="str">
        <x:f>IF(O282&gt;0,"TRADE","NO_TRADE")</x:f>
        <x:v>TRADE</x:v>
      </x:c>
    </x:row>
    <x:row r="283">
      <x:c r="A283" s="66" t="n">
        <x:v>46167.51545138889</x:v>
      </x:c>
      <x:c r="B283" s="66" t="str">
        <x:v>MKT_1004</x:v>
      </x:c>
      <x:c r="C283" s="66" t="n">
        <x:v>46167.51736111111</x:v>
      </x:c>
      <x:c r="D283" t="n">
        <x:v>165</x:v>
      </x:c>
      <x:c r="E283" t="str">
        <x:v>NO</x:v>
      </x:c>
      <x:c r="F283" s="74" t="n">
        <x:v>0.68</x:v>
      </x:c>
      <x:c r="G283" s="74" t="n">
        <x:v>0.68</x:v>
      </x:c>
      <x:c r="H283" s="74" t="n">
        <x:v>0.7050000000000001</x:v>
      </x:c>
      <x:c r="I283" s="74" t="n">
        <x:f>IF(E283="YES",H283,1-H283)</x:f>
        <x:v>0.29499999999999993</x:v>
      </x:c>
      <x:c r="J283" s="76" t="n">
        <x:f>Assumptions!$C$12+Assumptions!$C$11*F283</x:f>
        <x:v>0.003</x:v>
      </x:c>
      <x:c r="K283" s="76" t="n">
        <x:f>I283-F283-J283</x:f>
        <x:v>-0.3880000000000001</x:v>
      </x:c>
      <x:c r="L283" s="74" t="n">
        <x:f>MAX(0,IFERROR(K283/(1-F283),0))</x:f>
        <x:v>0</x:v>
      </x:c>
      <x:c r="M283" s="74" t="n">
        <x:f>MIN(Assumptions!$C$8*L283,Assumptions!$C$5)</x:f>
        <x:v>0</x:v>
      </x:c>
      <x:c r="N283" s="78" t="n">
        <x:f>IF(ROW()=16,Assumptions!$C$4,V282)</x:f>
        <x:v>9925.704457507387</x:v>
      </x:c>
      <x:c r="O283" s="78" t="n">
        <x:f>IF(AND(K283&gt;IF(F283&gt;=Assumptions!$C$21,Assumptions!$C$10,Assumptions!$C$9),D283&gt;Assumptions!$C$23),N283*M283,0)</x:f>
        <x:v>0</x:v>
      </x:c>
      <x:c r="P283" s="78" t="n">
        <x:f>IFERROR(O283/F283,0)</x:f>
        <x:v>0</x:v>
      </x:c>
      <x:c r="Q283" s="78" t="n">
        <x:v>1</x:v>
      </x:c>
      <x:c r="R283" s="78" t="str">
        <x:v>Resolve</x:v>
      </x:c>
      <x:c r="S283" s="78" t="n">
        <x:f>IF(R283="Resolve",IF(IF(E283="YES",Q283,1-Q283)=1,P283*(1-F283),-O283),P283*(G283-F283))</x:f>
        <x:v>0</x:v>
      </x:c>
      <x:c r="T283" s="78" t="n">
        <x:f>P283*J283</x:f>
        <x:v>0</x:v>
      </x:c>
      <x:c r="U283" s="78" t="n">
        <x:f>S283-T283</x:f>
        <x:v>0</x:v>
      </x:c>
      <x:c r="V283" s="78" t="n">
        <x:f>N283+U283</x:f>
        <x:v>9925.704457507387</x:v>
      </x:c>
      <x:c r="W283" s="74" t="n">
        <x:f>IFERROR(V283/MAX($V$16:V283)-1,0)</x:f>
        <x:v>-0.017824173626699746</x:v>
      </x:c>
      <x:c r="X283" t="str">
        <x:f>IF(O283&gt;0,"TRADE","NO_TRADE")</x:f>
        <x:v>NO_TRADE</x:v>
      </x:c>
    </x:row>
    <x:row r="284">
      <x:c r="A284" s="66" t="n">
        <x:v>46167.51550925926</x:v>
      </x:c>
      <x:c r="B284" s="66" t="str">
        <x:v>MKT_1004</x:v>
      </x:c>
      <x:c r="C284" s="66" t="n">
        <x:v>46167.51736111111</x:v>
      </x:c>
      <x:c r="D284" t="n">
        <x:v>160</x:v>
      </x:c>
      <x:c r="E284" t="str">
        <x:v>YES</x:v>
      </x:c>
      <x:c r="F284" s="74" t="n">
        <x:v>0.91</x:v>
      </x:c>
      <x:c r="G284" s="74" t="n">
        <x:v>0.91</x:v>
      </x:c>
      <x:c r="H284" s="74" t="n">
        <x:v>0.9450000000000001</x:v>
      </x:c>
      <x:c r="I284" s="74" t="n">
        <x:f>IF(E284="YES",H284,1-H284)</x:f>
        <x:v>0.9450000000000001</x:v>
      </x:c>
      <x:c r="J284" s="76" t="n">
        <x:f>Assumptions!$C$12+Assumptions!$C$11*F284</x:f>
        <x:v>0.003</x:v>
      </x:c>
      <x:c r="K284" s="76" t="n">
        <x:f>I284-F284-J284</x:f>
        <x:v>0.03200000000000003</x:v>
      </x:c>
      <x:c r="L284" s="74" t="n">
        <x:f>MAX(0,IFERROR(K284/(1-F284),0))</x:f>
        <x:v>0.355555555555556</x:v>
      </x:c>
      <x:c r="M284" s="74" t="n">
        <x:f>MIN(Assumptions!$C$8*L284,Assumptions!$C$5)</x:f>
        <x:v>0.005</x:v>
      </x:c>
      <x:c r="N284" s="78" t="n">
        <x:f>IF(ROW()=16,Assumptions!$C$4,V283)</x:f>
        <x:v>9925.704457507387</x:v>
      </x:c>
      <x:c r="O284" s="78" t="n">
        <x:f>IF(AND(K284&gt;IF(F284&gt;=Assumptions!$C$21,Assumptions!$C$10,Assumptions!$C$9),D284&gt;Assumptions!$C$23),N284*M284,0)</x:f>
        <x:v>49.62852228753694</x:v>
      </x:c>
      <x:c r="P284" s="78" t="n">
        <x:f>IFERROR(O284/F284,0)</x:f>
        <x:v>54.53683767861202</x:v>
      </x:c>
      <x:c r="Q284" s="78" t="n">
        <x:v>1</x:v>
      </x:c>
      <x:c r="R284" s="78" t="str">
        <x:v>Resolve</x:v>
      </x:c>
      <x:c r="S284" s="78" t="n">
        <x:f>IF(R284="Resolve",IF(IF(E284="YES",Q284,1-Q284)=1,P284*(1-F284),-O284),P284*(G284-F284))</x:f>
        <x:v>4.90831539107508</x:v>
      </x:c>
      <x:c r="T284" s="78" t="n">
        <x:f>P284*J284</x:f>
        <x:v>0.16361051303583604</x:v>
      </x:c>
      <x:c r="U284" s="78" t="n">
        <x:f>S284-T284</x:f>
        <x:v>4.744704878039244</x:v>
      </x:c>
      <x:c r="V284" s="78" t="n">
        <x:f>N284+U284</x:f>
        <x:v>9930.449162385426</x:v>
      </x:c>
      <x:c r="W284" s="74" t="n">
        <x:f>IFERROR(V284/MAX($V$16:V284)-1,0)</x:f>
        <x:v>-0.017354671995411297</x:v>
      </x:c>
      <x:c r="X284" t="str">
        <x:f>IF(O284&gt;0,"TRADE","NO_TRADE")</x:f>
        <x:v>TRADE</x:v>
      </x:c>
    </x:row>
    <x:row r="285">
      <x:c r="A285" s="66" t="n">
        <x:v>46167.51556712963</x:v>
      </x:c>
      <x:c r="B285" s="66" t="str">
        <x:v>MKT_1004</x:v>
      </x:c>
      <x:c r="C285" s="66" t="n">
        <x:v>46167.51736111111</x:v>
      </x:c>
      <x:c r="D285" t="n">
        <x:v>155</x:v>
      </x:c>
      <x:c r="E285" t="str">
        <x:v>YES</x:v>
      </x:c>
      <x:c r="F285" s="74" t="n">
        <x:v>0.83</x:v>
      </x:c>
      <x:c r="G285" s="74" t="n">
        <x:v>0.83</x:v>
      </x:c>
      <x:c r="H285" s="74" t="n">
        <x:v>0.82</x:v>
      </x:c>
      <x:c r="I285" s="74" t="n">
        <x:f>IF(E285="YES",H285,1-H285)</x:f>
        <x:v>0.82</x:v>
      </x:c>
      <x:c r="J285" s="76" t="n">
        <x:f>Assumptions!$C$12+Assumptions!$C$11*F285</x:f>
        <x:v>0.003</x:v>
      </x:c>
      <x:c r="K285" s="76" t="n">
        <x:f>I285-F285-J285</x:f>
        <x:v>-0.013000000000000008</x:v>
      </x:c>
      <x:c r="L285" s="74" t="n">
        <x:f>MAX(0,IFERROR(K285/(1-F285),0))</x:f>
        <x:v>0</x:v>
      </x:c>
      <x:c r="M285" s="74" t="n">
        <x:f>MIN(Assumptions!$C$8*L285,Assumptions!$C$5)</x:f>
        <x:v>0</x:v>
      </x:c>
      <x:c r="N285" s="78" t="n">
        <x:f>IF(ROW()=16,Assumptions!$C$4,V284)</x:f>
        <x:v>9930.449162385426</x:v>
      </x:c>
      <x:c r="O285" s="78" t="n">
        <x:f>IF(AND(K285&gt;IF(F285&gt;=Assumptions!$C$21,Assumptions!$C$10,Assumptions!$C$9),D285&gt;Assumptions!$C$23),N285*M285,0)</x:f>
        <x:v>0</x:v>
      </x:c>
      <x:c r="P285" s="78" t="n">
        <x:f>IFERROR(O285/F285,0)</x:f>
        <x:v>0</x:v>
      </x:c>
      <x:c r="Q285" s="78" t="n">
        <x:v>0</x:v>
      </x:c>
      <x:c r="R285" s="78" t="str">
        <x:v>Resolve</x:v>
      </x:c>
      <x:c r="S285" s="78" t="n">
        <x:f>IF(R285="Resolve",IF(IF(E285="YES",Q285,1-Q285)=1,P285*(1-F285),-O285),P285*(G285-F285))</x:f>
        <x:v>0</x:v>
      </x:c>
      <x:c r="T285" s="78" t="n">
        <x:f>P285*J285</x:f>
        <x:v>0</x:v>
      </x:c>
      <x:c r="U285" s="78" t="n">
        <x:f>S285-T285</x:f>
        <x:v>0</x:v>
      </x:c>
      <x:c r="V285" s="78" t="n">
        <x:f>N285+U285</x:f>
        <x:v>9930.449162385426</x:v>
      </x:c>
      <x:c r="W285" s="74" t="n">
        <x:f>IFERROR(V285/MAX($V$16:V285)-1,0)</x:f>
        <x:v>-0.017354671995411297</x:v>
      </x:c>
      <x:c r="X285" t="str">
        <x:f>IF(O285&gt;0,"TRADE","NO_TRADE")</x:f>
        <x:v>NO_TRADE</x:v>
      </x:c>
    </x:row>
    <x:row r="286">
      <x:c r="A286" s="66" t="n">
        <x:v>46167.515625</x:v>
      </x:c>
      <x:c r="B286" s="66" t="str">
        <x:v>MKT_1004</x:v>
      </x:c>
      <x:c r="C286" s="66" t="n">
        <x:v>46167.51736111111</x:v>
      </x:c>
      <x:c r="D286" t="n">
        <x:v>150</x:v>
      </x:c>
      <x:c r="E286" t="str">
        <x:v>NO</x:v>
      </x:c>
      <x:c r="F286" s="74" t="n">
        <x:v>0.52</x:v>
      </x:c>
      <x:c r="G286" s="74" t="n">
        <x:v>0.52</x:v>
      </x:c>
      <x:c r="H286" s="74" t="n">
        <x:v>0.535</x:v>
      </x:c>
      <x:c r="I286" s="74" t="n">
        <x:f>IF(E286="YES",H286,1-H286)</x:f>
        <x:v>0.46499999999999997</x:v>
      </x:c>
      <x:c r="J286" s="76" t="n">
        <x:f>Assumptions!$C$12+Assumptions!$C$11*F286</x:f>
        <x:v>0.003</x:v>
      </x:c>
      <x:c r="K286" s="76" t="n">
        <x:f>I286-F286-J286</x:f>
        <x:v>-0.05800000000000005</x:v>
      </x:c>
      <x:c r="L286" s="74" t="n">
        <x:f>MAX(0,IFERROR(K286/(1-F286),0))</x:f>
        <x:v>0</x:v>
      </x:c>
      <x:c r="M286" s="74" t="n">
        <x:f>MIN(Assumptions!$C$8*L286,Assumptions!$C$5)</x:f>
        <x:v>0</x:v>
      </x:c>
      <x:c r="N286" s="78" t="n">
        <x:f>IF(ROW()=16,Assumptions!$C$4,V285)</x:f>
        <x:v>9930.449162385426</x:v>
      </x:c>
      <x:c r="O286" s="78" t="n">
        <x:f>IF(AND(K286&gt;IF(F286&gt;=Assumptions!$C$21,Assumptions!$C$10,Assumptions!$C$9),D286&gt;Assumptions!$C$23),N286*M286,0)</x:f>
        <x:v>0</x:v>
      </x:c>
      <x:c r="P286" s="78" t="n">
        <x:f>IFERROR(O286/F286,0)</x:f>
        <x:v>0</x:v>
      </x:c>
      <x:c r="Q286" s="78" t="n">
        <x:v>1</x:v>
      </x:c>
      <x:c r="R286" s="78" t="str">
        <x:v>Resolve</x:v>
      </x:c>
      <x:c r="S286" s="78" t="n">
        <x:f>IF(R286="Resolve",IF(IF(E286="YES",Q286,1-Q286)=1,P286*(1-F286),-O286),P286*(G286-F286))</x:f>
        <x:v>0</x:v>
      </x:c>
      <x:c r="T286" s="78" t="n">
        <x:f>P286*J286</x:f>
        <x:v>0</x:v>
      </x:c>
      <x:c r="U286" s="78" t="n">
        <x:f>S286-T286</x:f>
        <x:v>0</x:v>
      </x:c>
      <x:c r="V286" s="78" t="n">
        <x:f>N286+U286</x:f>
        <x:v>9930.449162385426</x:v>
      </x:c>
      <x:c r="W286" s="74" t="n">
        <x:f>IFERROR(V286/MAX($V$16:V286)-1,0)</x:f>
        <x:v>-0.017354671995411297</x:v>
      </x:c>
      <x:c r="X286" t="str">
        <x:f>IF(O286&gt;0,"TRADE","NO_TRADE")</x:f>
        <x:v>NO_TRADE</x:v>
      </x:c>
    </x:row>
    <x:row r="287">
      <x:c r="A287" s="66" t="n">
        <x:v>46167.51568287037</x:v>
      </x:c>
      <x:c r="B287" s="66" t="str">
        <x:v>MKT_1004</x:v>
      </x:c>
      <x:c r="C287" s="66" t="n">
        <x:v>46167.51736111111</x:v>
      </x:c>
      <x:c r="D287" t="n">
        <x:v>145</x:v>
      </x:c>
      <x:c r="E287" t="str">
        <x:v>YES</x:v>
      </x:c>
      <x:c r="F287" s="74" t="n">
        <x:v>0.61</x:v>
      </x:c>
      <x:c r="G287" s="74" t="n">
        <x:v>0.61</x:v>
      </x:c>
      <x:c r="H287" s="74" t="n">
        <x:v>0.63</x:v>
      </x:c>
      <x:c r="I287" s="74" t="n">
        <x:f>IF(E287="YES",H287,1-H287)</x:f>
        <x:v>0.63</x:v>
      </x:c>
      <x:c r="J287" s="76" t="n">
        <x:f>Assumptions!$C$12+Assumptions!$C$11*F287</x:f>
        <x:v>0.003</x:v>
      </x:c>
      <x:c r="K287" s="76" t="n">
        <x:f>I287-F287-J287</x:f>
        <x:v>0.01700000000000002</x:v>
      </x:c>
      <x:c r="L287" s="74" t="n">
        <x:f>MAX(0,IFERROR(K287/(1-F287),0))</x:f>
        <x:v>0.043589743589743636</x:v>
      </x:c>
      <x:c r="M287" s="74" t="n">
        <x:f>MIN(Assumptions!$C$8*L287,Assumptions!$C$5)</x:f>
        <x:v>0.005</x:v>
      </x:c>
      <x:c r="N287" s="78" t="n">
        <x:f>IF(ROW()=16,Assumptions!$C$4,V286)</x:f>
        <x:v>9930.449162385426</x:v>
      </x:c>
      <x:c r="O287" s="78" t="n">
        <x:f>IF(AND(K287&gt;IF(F287&gt;=Assumptions!$C$21,Assumptions!$C$10,Assumptions!$C$9),D287&gt;Assumptions!$C$23),N287*M287,0)</x:f>
        <x:v>49.65224581192713</x:v>
      </x:c>
      <x:c r="P287" s="78" t="n">
        <x:f>IFERROR(O287/F287,0)</x:f>
        <x:v>81.39712428184775</x:v>
      </x:c>
      <x:c r="Q287" s="78" t="n">
        <x:v>1</x:v>
      </x:c>
      <x:c r="R287" s="78" t="str">
        <x:v>Resolve</x:v>
      </x:c>
      <x:c r="S287" s="78" t="n">
        <x:f>IF(R287="Resolve",IF(IF(E287="YES",Q287,1-Q287)=1,P287*(1-F287),-O287),P287*(G287-F287))</x:f>
        <x:v>31.744878469920625</x:v>
      </x:c>
      <x:c r="T287" s="78" t="n">
        <x:f>P287*J287</x:f>
        <x:v>0.24419137284554326</x:v>
      </x:c>
      <x:c r="U287" s="78" t="n">
        <x:f>S287-T287</x:f>
        <x:v>31.500687097075083</x:v>
      </x:c>
      <x:c r="V287" s="78" t="n">
        <x:f>N287+U287</x:f>
        <x:v>9961.949849482502</x:v>
      </x:c>
      <x:c r="W287" s="74" t="n">
        <x:f>IFERROR(V287/MAX($V$16:V287)-1,0)</x:f>
        <x:v>-0.014237592143462319</x:v>
      </x:c>
      <x:c r="X287" t="str">
        <x:f>IF(O287&gt;0,"TRADE","NO_TRADE")</x:f>
        <x:v>TRADE</x:v>
      </x:c>
    </x:row>
    <x:row r="288">
      <x:c r="A288" s="66" t="n">
        <x:v>46167.51574074074</x:v>
      </x:c>
      <x:c r="B288" s="66" t="str">
        <x:v>MKT_1004</x:v>
      </x:c>
      <x:c r="C288" s="66" t="n">
        <x:v>46167.51736111111</x:v>
      </x:c>
      <x:c r="D288" t="n">
        <x:v>140</x:v>
      </x:c>
      <x:c r="E288" t="str">
        <x:v>YES</x:v>
      </x:c>
      <x:c r="F288" s="74" t="n">
        <x:v>0.74</x:v>
      </x:c>
      <x:c r="G288" s="74" t="n">
        <x:v>0.74</x:v>
      </x:c>
      <x:c r="H288" s="74" t="n">
        <x:v>0.735</x:v>
      </x:c>
      <x:c r="I288" s="74" t="n">
        <x:f>IF(E288="YES",H288,1-H288)</x:f>
        <x:v>0.735</x:v>
      </x:c>
      <x:c r="J288" s="76" t="n">
        <x:f>Assumptions!$C$12+Assumptions!$C$11*F288</x:f>
        <x:v>0.003</x:v>
      </x:c>
      <x:c r="K288" s="76" t="n">
        <x:f>I288-F288-J288</x:f>
        <x:v>-0.008000000000000004</x:v>
      </x:c>
      <x:c r="L288" s="74" t="n">
        <x:f>MAX(0,IFERROR(K288/(1-F288),0))</x:f>
        <x:v>0</x:v>
      </x:c>
      <x:c r="M288" s="74" t="n">
        <x:f>MIN(Assumptions!$C$8*L288,Assumptions!$C$5)</x:f>
        <x:v>0</x:v>
      </x:c>
      <x:c r="N288" s="78" t="n">
        <x:f>IF(ROW()=16,Assumptions!$C$4,V287)</x:f>
        <x:v>9961.949849482502</x:v>
      </x:c>
      <x:c r="O288" s="78" t="n">
        <x:f>IF(AND(K288&gt;IF(F288&gt;=Assumptions!$C$21,Assumptions!$C$10,Assumptions!$C$9),D288&gt;Assumptions!$C$23),N288*M288,0)</x:f>
        <x:v>0</x:v>
      </x:c>
      <x:c r="P288" s="78" t="n">
        <x:f>IFERROR(O288/F288,0)</x:f>
        <x:v>0</x:v>
      </x:c>
      <x:c r="Q288" s="78" t="n">
        <x:v>1</x:v>
      </x:c>
      <x:c r="R288" s="78" t="str">
        <x:v>Resolve</x:v>
      </x:c>
      <x:c r="S288" s="78" t="n">
        <x:f>IF(R288="Resolve",IF(IF(E288="YES",Q288,1-Q288)=1,P288*(1-F288),-O288),P288*(G288-F288))</x:f>
        <x:v>0</x:v>
      </x:c>
      <x:c r="T288" s="78" t="n">
        <x:f>P288*J288</x:f>
        <x:v>0</x:v>
      </x:c>
      <x:c r="U288" s="78" t="n">
        <x:f>S288-T288</x:f>
        <x:v>0</x:v>
      </x:c>
      <x:c r="V288" s="78" t="n">
        <x:f>N288+U288</x:f>
        <x:v>9961.949849482502</x:v>
      </x:c>
      <x:c r="W288" s="74" t="n">
        <x:f>IFERROR(V288/MAX($V$16:V288)-1,0)</x:f>
        <x:v>-0.014237592143462319</x:v>
      </x:c>
      <x:c r="X288" t="str">
        <x:f>IF(O288&gt;0,"TRADE","NO_TRADE")</x:f>
        <x:v>NO_TRADE</x:v>
      </x:c>
    </x:row>
    <x:row r="289">
      <x:c r="A289" s="66" t="n">
        <x:v>46167.51579861111</x:v>
      </x:c>
      <x:c r="B289" s="66" t="str">
        <x:v>MKT_1004</x:v>
      </x:c>
      <x:c r="C289" s="66" t="n">
        <x:v>46167.51736111111</x:v>
      </x:c>
      <x:c r="D289" t="n">
        <x:v>135</x:v>
      </x:c>
      <x:c r="E289" t="str">
        <x:v>NO</x:v>
      </x:c>
      <x:c r="F289" s="74" t="n">
        <x:v>0.88</x:v>
      </x:c>
      <x:c r="G289" s="74" t="n">
        <x:v>0.88</x:v>
      </x:c>
      <x:c r="H289" s="74" t="n">
        <x:v>0.91</x:v>
      </x:c>
      <x:c r="I289" s="74" t="n">
        <x:f>IF(E289="YES",H289,1-H289)</x:f>
        <x:v>0.08999999999999997</x:v>
      </x:c>
      <x:c r="J289" s="76" t="n">
        <x:f>Assumptions!$C$12+Assumptions!$C$11*F289</x:f>
        <x:v>0.003</x:v>
      </x:c>
      <x:c r="K289" s="76" t="n">
        <x:f>I289-F289-J289</x:f>
        <x:v>-0.793</x:v>
      </x:c>
      <x:c r="L289" s="74" t="n">
        <x:f>MAX(0,IFERROR(K289/(1-F289),0))</x:f>
        <x:v>0</x:v>
      </x:c>
      <x:c r="M289" s="74" t="n">
        <x:f>MIN(Assumptions!$C$8*L289,Assumptions!$C$5)</x:f>
        <x:v>0</x:v>
      </x:c>
      <x:c r="N289" s="78" t="n">
        <x:f>IF(ROW()=16,Assumptions!$C$4,V288)</x:f>
        <x:v>9961.949849482502</x:v>
      </x:c>
      <x:c r="O289" s="78" t="n">
        <x:f>IF(AND(K289&gt;IF(F289&gt;=Assumptions!$C$21,Assumptions!$C$10,Assumptions!$C$9),D289&gt;Assumptions!$C$23),N289*M289,0)</x:f>
        <x:v>0</x:v>
      </x:c>
      <x:c r="P289" s="78" t="n">
        <x:f>IFERROR(O289/F289,0)</x:f>
        <x:v>0</x:v>
      </x:c>
      <x:c r="Q289" s="78" t="n">
        <x:v>0</x:v>
      </x:c>
      <x:c r="R289" s="78" t="str">
        <x:v>Resolve</x:v>
      </x:c>
      <x:c r="S289" s="78" t="n">
        <x:f>IF(R289="Resolve",IF(IF(E289="YES",Q289,1-Q289)=1,P289*(1-F289),-O289),P289*(G289-F289))</x:f>
        <x:v>0</x:v>
      </x:c>
      <x:c r="T289" s="78" t="n">
        <x:f>P289*J289</x:f>
        <x:v>0</x:v>
      </x:c>
      <x:c r="U289" s="78" t="n">
        <x:f>S289-T289</x:f>
        <x:v>0</x:v>
      </x:c>
      <x:c r="V289" s="78" t="n">
        <x:f>N289+U289</x:f>
        <x:v>9961.949849482502</x:v>
      </x:c>
      <x:c r="W289" s="74" t="n">
        <x:f>IFERROR(V289/MAX($V$16:V289)-1,0)</x:f>
        <x:v>-0.014237592143462319</x:v>
      </x:c>
      <x:c r="X289" t="str">
        <x:f>IF(O289&gt;0,"TRADE","NO_TRADE")</x:f>
        <x:v>NO_TRADE</x:v>
      </x:c>
    </x:row>
    <x:row r="290">
      <x:c r="A290" s="66" t="n">
        <x:v>46167.515856481485</x:v>
      </x:c>
      <x:c r="B290" s="66" t="str">
        <x:v>MKT_1004</x:v>
      </x:c>
      <x:c r="C290" s="66" t="n">
        <x:v>46167.51736111111</x:v>
      </x:c>
      <x:c r="D290" t="n">
        <x:v>130</x:v>
      </x:c>
      <x:c r="E290" t="str">
        <x:v>YES</x:v>
      </x:c>
      <x:c r="F290" s="74" t="n">
        <x:v>0.94</x:v>
      </x:c>
      <x:c r="G290" s="74" t="n">
        <x:v>0.94</x:v>
      </x:c>
      <x:c r="H290" s="74" t="n">
        <x:v>0.98</x:v>
      </x:c>
      <x:c r="I290" s="74" t="n">
        <x:f>IF(E290="YES",H290,1-H290)</x:f>
        <x:v>0.98</x:v>
      </x:c>
      <x:c r="J290" s="76" t="n">
        <x:f>Assumptions!$C$12+Assumptions!$C$11*F290</x:f>
        <x:v>0.003</x:v>
      </x:c>
      <x:c r="K290" s="76" t="n">
        <x:f>I290-F290-J290</x:f>
        <x:v>0.03700000000000003</x:v>
      </x:c>
      <x:c r="L290" s="74" t="n">
        <x:f>MAX(0,IFERROR(K290/(1-F290),0))</x:f>
        <x:v>0.6166666666666667</x:v>
      </x:c>
      <x:c r="M290" s="74" t="n">
        <x:f>MIN(Assumptions!$C$8*L290,Assumptions!$C$5)</x:f>
        <x:v>0.005</x:v>
      </x:c>
      <x:c r="N290" s="78" t="n">
        <x:f>IF(ROW()=16,Assumptions!$C$4,V289)</x:f>
        <x:v>9961.949849482502</x:v>
      </x:c>
      <x:c r="O290" s="78" t="n">
        <x:f>IF(AND(K290&gt;IF(F290&gt;=Assumptions!$C$21,Assumptions!$C$10,Assumptions!$C$9),D290&gt;Assumptions!$C$23),N290*M290,0)</x:f>
        <x:v>49.80974924741251</x:v>
      </x:c>
      <x:c r="P290" s="78" t="n">
        <x:f>IFERROR(O290/F290,0)</x:f>
        <x:v>52.989094944055864</x:v>
      </x:c>
      <x:c r="Q290" s="78" t="n">
        <x:v>1</x:v>
      </x:c>
      <x:c r="R290" s="78" t="str">
        <x:v>Resolve</x:v>
      </x:c>
      <x:c r="S290" s="78" t="n">
        <x:f>IF(R290="Resolve",IF(IF(E290="YES",Q290,1-Q290)=1,P290*(1-F290),-O290),P290*(G290-F290))</x:f>
        <x:v>3.1793456966433546</x:v>
      </x:c>
      <x:c r="T290" s="78" t="n">
        <x:f>P290*J290</x:f>
        <x:v>0.1589672848321676</x:v>
      </x:c>
      <x:c r="U290" s="78" t="n">
        <x:f>S290-T290</x:f>
        <x:v>3.020378411811187</x:v>
      </x:c>
      <x:c r="V290" s="78" t="n">
        <x:f>N290+U290</x:f>
        <x:v>9964.970227894313</x:v>
      </x:c>
      <x:c r="W290" s="74" t="n">
        <x:f>IFERROR(V290/MAX($V$16:V290)-1,0)</x:f>
        <x:v>-0.013938717370867493</x:v>
      </x:c>
      <x:c r="X290" t="str">
        <x:f>IF(O290&gt;0,"TRADE","NO_TRADE")</x:f>
        <x:v>TRADE</x:v>
      </x:c>
    </x:row>
    <x:row r="291">
      <x:c r="A291" s="66" t="n">
        <x:v>46167.515914351854</x:v>
      </x:c>
      <x:c r="B291" s="66" t="str">
        <x:v>MKT_1004</x:v>
      </x:c>
      <x:c r="C291" s="66" t="n">
        <x:v>46167.51736111111</x:v>
      </x:c>
      <x:c r="D291" t="n">
        <x:v>125</x:v>
      </x:c>
      <x:c r="E291" t="str">
        <x:v>YES</x:v>
      </x:c>
      <x:c r="F291" s="74" t="n">
        <x:v>0.95</x:v>
      </x:c>
      <x:c r="G291" s="74" t="n">
        <x:v>0.95</x:v>
      </x:c>
      <x:c r="H291" s="74" t="n">
        <x:v>0.968</x:v>
      </x:c>
      <x:c r="I291" s="74" t="n">
        <x:f>IF(E291="YES",H291,1-H291)</x:f>
        <x:v>0.968</x:v>
      </x:c>
      <x:c r="J291" s="76" t="n">
        <x:f>Assumptions!$C$12+Assumptions!$C$11*F291</x:f>
        <x:v>0.003</x:v>
      </x:c>
      <x:c r="K291" s="76" t="n">
        <x:f>I291-F291-J291</x:f>
        <x:v>0.015000000000000017</x:v>
      </x:c>
      <x:c r="L291" s="74" t="n">
        <x:f>MAX(0,IFERROR(K291/(1-F291),0))</x:f>
        <x:v>0.30000000000000004</x:v>
      </x:c>
      <x:c r="M291" s="74" t="n">
        <x:f>MIN(Assumptions!$C$8*L291,Assumptions!$C$5)</x:f>
        <x:v>0.005</x:v>
      </x:c>
      <x:c r="N291" s="78" t="n">
        <x:f>IF(ROW()=16,Assumptions!$C$4,V290)</x:f>
        <x:v>9964.970227894313</x:v>
      </x:c>
      <x:c r="O291" s="78" t="n">
        <x:f>IF(AND(K291&gt;IF(F291&gt;=Assumptions!$C$21,Assumptions!$C$10,Assumptions!$C$9),D291&gt;Assumptions!$C$23),N291*M291,0)</x:f>
        <x:v>49.82485113947157</x:v>
      </x:c>
      <x:c r="P291" s="78" t="n">
        <x:f>IFERROR(O291/F291,0)</x:f>
        <x:v>52.44721172575955</x:v>
      </x:c>
      <x:c r="Q291" s="78" t="n">
        <x:v>1</x:v>
      </x:c>
      <x:c r="R291" s="78" t="str">
        <x:v>Resolve</x:v>
      </x:c>
      <x:c r="S291" s="78" t="n">
        <x:f>IF(R291="Resolve",IF(IF(E291="YES",Q291,1-Q291)=1,P291*(1-F291),-O291),P291*(G291-F291))</x:f>
        <x:v>2.62236058628798</x:v>
      </x:c>
      <x:c r="T291" s="78" t="n">
        <x:f>P291*J291</x:f>
        <x:v>0.15734163517727864</x:v>
      </x:c>
      <x:c r="U291" s="78" t="n">
        <x:f>S291-T291</x:f>
        <x:v>2.4650189511107015</x:v>
      </x:c>
      <x:c r="V291" s="78" t="n">
        <x:f>N291+U291</x:f>
        <x:v>9967.435246845424</x:v>
      </x:c>
      <x:c r="W291" s="74" t="n">
        <x:f>IFERROR(V291/MAX($V$16:V291)-1,0)</x:f>
        <x:v>-0.01369479694832243</x:v>
      </x:c>
      <x:c r="X291" t="str">
        <x:f>IF(O291&gt;0,"TRADE","NO_TRADE")</x:f>
        <x:v>TRADE</x:v>
      </x:c>
    </x:row>
    <x:row r="292">
      <x:c r="A292" s="66" t="n">
        <x:v>46167.51597222222</x:v>
      </x:c>
      <x:c r="B292" s="66" t="str">
        <x:v>MKT_1004</x:v>
      </x:c>
      <x:c r="C292" s="66" t="n">
        <x:v>46167.51736111111</x:v>
      </x:c>
      <x:c r="D292" t="n">
        <x:v>120</x:v>
      </x:c>
      <x:c r="E292" t="str">
        <x:v>NO</x:v>
      </x:c>
      <x:c r="F292" s="74" t="n">
        <x:v>0.57</x:v>
      </x:c>
      <x:c r="G292" s="74" t="n">
        <x:v>0.57</x:v>
      </x:c>
      <x:c r="H292" s="74" t="n">
        <x:v>0.582</x:v>
      </x:c>
      <x:c r="I292" s="74" t="n">
        <x:f>IF(E292="YES",H292,1-H292)</x:f>
        <x:v>0.41800000000000004</x:v>
      </x:c>
      <x:c r="J292" s="76" t="n">
        <x:f>Assumptions!$C$12+Assumptions!$C$11*F292</x:f>
        <x:v>0.003</x:v>
      </x:c>
      <x:c r="K292" s="76" t="n">
        <x:f>I292-F292-J292</x:f>
        <x:v>-0.15499999999999992</x:v>
      </x:c>
      <x:c r="L292" s="74" t="n">
        <x:f>MAX(0,IFERROR(K292/(1-F292),0))</x:f>
        <x:v>0</x:v>
      </x:c>
      <x:c r="M292" s="74" t="n">
        <x:f>MIN(Assumptions!$C$8*L292,Assumptions!$C$5)</x:f>
        <x:v>0</x:v>
      </x:c>
      <x:c r="N292" s="78" t="n">
        <x:f>IF(ROW()=16,Assumptions!$C$4,V291)</x:f>
        <x:v>9967.435246845424</x:v>
      </x:c>
      <x:c r="O292" s="78" t="n">
        <x:f>IF(AND(K292&gt;IF(F292&gt;=Assumptions!$C$21,Assumptions!$C$10,Assumptions!$C$9),D292&gt;Assumptions!$C$23),N292*M292,0)</x:f>
        <x:v>0</x:v>
      </x:c>
      <x:c r="P292" s="78" t="n">
        <x:f>IFERROR(O292/F292,0)</x:f>
        <x:v>0</x:v>
      </x:c>
      <x:c r="Q292" s="78" t="n">
        <x:v>0</x:v>
      </x:c>
      <x:c r="R292" s="78" t="str">
        <x:v>Resolve</x:v>
      </x:c>
      <x:c r="S292" s="78" t="n">
        <x:f>IF(R292="Resolve",IF(IF(E292="YES",Q292,1-Q292)=1,P292*(1-F292),-O292),P292*(G292-F292))</x:f>
        <x:v>0</x:v>
      </x:c>
      <x:c r="T292" s="78" t="n">
        <x:f>P292*J292</x:f>
        <x:v>0</x:v>
      </x:c>
      <x:c r="U292" s="78" t="n">
        <x:f>S292-T292</x:f>
        <x:v>0</x:v>
      </x:c>
      <x:c r="V292" s="78" t="n">
        <x:f>N292+U292</x:f>
        <x:v>9967.435246845424</x:v>
      </x:c>
      <x:c r="W292" s="74" t="n">
        <x:f>IFERROR(V292/MAX($V$16:V292)-1,0)</x:f>
        <x:v>-0.01369479694832243</x:v>
      </x:c>
      <x:c r="X292" t="str">
        <x:f>IF(O292&gt;0,"TRADE","NO_TRADE")</x:f>
        <x:v>NO_TRADE</x:v>
      </x:c>
    </x:row>
    <x:row r="293">
      <x:c r="A293" s="66" t="n">
        <x:v>46167.51603009259</x:v>
      </x:c>
      <x:c r="B293" s="66" t="str">
        <x:v>MKT_1004</x:v>
      </x:c>
      <x:c r="C293" s="66" t="n">
        <x:v>46167.51736111111</x:v>
      </x:c>
      <x:c r="D293" t="n">
        <x:v>115</x:v>
      </x:c>
      <x:c r="E293" t="str">
        <x:v>YES</x:v>
      </x:c>
      <x:c r="F293" s="74" t="n">
        <x:v>0.68</x:v>
      </x:c>
      <x:c r="G293" s="74" t="n">
        <x:v>0.68</x:v>
      </x:c>
      <x:c r="H293" s="74" t="n">
        <x:v>0.7050000000000001</x:v>
      </x:c>
      <x:c r="I293" s="74" t="n">
        <x:f>IF(E293="YES",H293,1-H293)</x:f>
        <x:v>0.7050000000000001</x:v>
      </x:c>
      <x:c r="J293" s="76" t="n">
        <x:f>Assumptions!$C$12+Assumptions!$C$11*F293</x:f>
        <x:v>0.003</x:v>
      </x:c>
      <x:c r="K293" s="76" t="n">
        <x:f>I293-F293-J293</x:f>
        <x:v>0.022000000000000023</x:v>
      </x:c>
      <x:c r="L293" s="74" t="n">
        <x:f>MAX(0,IFERROR(K293/(1-F293),0))</x:f>
        <x:v>0.06875000000000009</x:v>
      </x:c>
      <x:c r="M293" s="74" t="n">
        <x:f>MIN(Assumptions!$C$8*L293,Assumptions!$C$5)</x:f>
        <x:v>0.005</x:v>
      </x:c>
      <x:c r="N293" s="78" t="n">
        <x:f>IF(ROW()=16,Assumptions!$C$4,V292)</x:f>
        <x:v>9967.435246845424</x:v>
      </x:c>
      <x:c r="O293" s="78" t="n">
        <x:f>IF(AND(K293&gt;IF(F293&gt;=Assumptions!$C$21,Assumptions!$C$10,Assumptions!$C$9),D293&gt;Assumptions!$C$23),N293*M293,0)</x:f>
        <x:v>49.837176234227115</x:v>
      </x:c>
      <x:c r="P293" s="78" t="n">
        <x:f>IFERROR(O293/F293,0)</x:f>
        <x:v>73.28996505033399</x:v>
      </x:c>
      <x:c r="Q293" s="78" t="n">
        <x:v>1</x:v>
      </x:c>
      <x:c r="R293" s="78" t="str">
        <x:v>Resolve</x:v>
      </x:c>
      <x:c r="S293" s="78" t="n">
        <x:f>IF(R293="Resolve",IF(IF(E293="YES",Q293,1-Q293)=1,P293*(1-F293),-O293),P293*(G293-F293))</x:f>
        <x:v>23.452788816106874</x:v>
      </x:c>
      <x:c r="T293" s="78" t="n">
        <x:f>P293*J293</x:f>
        <x:v>0.21986989515100197</x:v>
      </x:c>
      <x:c r="U293" s="78" t="n">
        <x:f>S293-T293</x:f>
        <x:v>23.23291892095587</x:v>
      </x:c>
      <x:c r="V293" s="78" t="n">
        <x:f>N293+U293</x:f>
        <x:v>9990.66816576638</x:v>
      </x:c>
      <x:c r="W293" s="74" t="n">
        <x:f>IFERROR(V293/MAX($V$16:V293)-1,0)</x:f>
        <x:v>-0.011395835555915279</x:v>
      </x:c>
      <x:c r="X293" t="str">
        <x:f>IF(O293&gt;0,"TRADE","NO_TRADE")</x:f>
        <x:v>TRADE</x:v>
      </x:c>
    </x:row>
    <x:row r="294">
      <x:c r="A294" s="66" t="n">
        <x:v>46167.51608796296</x:v>
      </x:c>
      <x:c r="B294" s="66" t="str">
        <x:v>MKT_1004</x:v>
      </x:c>
      <x:c r="C294" s="66" t="n">
        <x:v>46167.51736111111</x:v>
      </x:c>
      <x:c r="D294" t="n">
        <x:v>110</x:v>
      </x:c>
      <x:c r="E294" t="str">
        <x:v>YES</x:v>
      </x:c>
      <x:c r="F294" s="74" t="n">
        <x:v>0.91</x:v>
      </x:c>
      <x:c r="G294" s="74" t="n">
        <x:v>0.91</x:v>
      </x:c>
      <x:c r="H294" s="74" t="n">
        <x:v>0.9450000000000001</x:v>
      </x:c>
      <x:c r="I294" s="74" t="n">
        <x:f>IF(E294="YES",H294,1-H294)</x:f>
        <x:v>0.9450000000000001</x:v>
      </x:c>
      <x:c r="J294" s="76" t="n">
        <x:f>Assumptions!$C$12+Assumptions!$C$11*F294</x:f>
        <x:v>0.003</x:v>
      </x:c>
      <x:c r="K294" s="76" t="n">
        <x:f>I294-F294-J294</x:f>
        <x:v>0.03200000000000003</x:v>
      </x:c>
      <x:c r="L294" s="74" t="n">
        <x:f>MAX(0,IFERROR(K294/(1-F294),0))</x:f>
        <x:v>0.355555555555556</x:v>
      </x:c>
      <x:c r="M294" s="74" t="n">
        <x:f>MIN(Assumptions!$C$8*L294,Assumptions!$C$5)</x:f>
        <x:v>0.005</x:v>
      </x:c>
      <x:c r="N294" s="78" t="n">
        <x:f>IF(ROW()=16,Assumptions!$C$4,V293)</x:f>
        <x:v>9990.66816576638</x:v>
      </x:c>
      <x:c r="O294" s="78" t="n">
        <x:f>IF(AND(K294&gt;IF(F294&gt;=Assumptions!$C$21,Assumptions!$C$10,Assumptions!$C$9),D294&gt;Assumptions!$C$23),N294*M294,0)</x:f>
        <x:v>49.9533408288319</x:v>
      </x:c>
      <x:c r="P294" s="78" t="n">
        <x:f>IFERROR(O294/F294,0)</x:f>
        <x:v>54.8937811305845</x:v>
      </x:c>
      <x:c r="Q294" s="78" t="n">
        <x:v>1</x:v>
      </x:c>
      <x:c r="R294" s="78" t="str">
        <x:v>Resolve</x:v>
      </x:c>
      <x:c r="S294" s="78" t="n">
        <x:f>IF(R294="Resolve",IF(IF(E294="YES",Q294,1-Q294)=1,P294*(1-F294),-O294),P294*(G294-F294))</x:f>
        <x:v>4.940440301752603</x:v>
      </x:c>
      <x:c r="T294" s="78" t="n">
        <x:f>P294*J294</x:f>
        <x:v>0.1646813433917535</x:v>
      </x:c>
      <x:c r="U294" s="78" t="n">
        <x:f>S294-T294</x:f>
        <x:v>4.77575895836085</x:v>
      </x:c>
      <x:c r="V294" s="78" t="n">
        <x:f>N294+U294</x:f>
        <x:v>9995.443924724741</x:v>
      </x:c>
      <x:c r="W294" s="74" t="n">
        <x:f>IFERROR(V294/MAX($V$16:V294)-1,0)</x:f>
        <x:v>-0.010923261037746768</x:v>
      </x:c>
      <x:c r="X294" t="str">
        <x:f>IF(O294&gt;0,"TRADE","NO_TRADE")</x:f>
        <x:v>TRADE</x:v>
      </x:c>
    </x:row>
    <x:row r="295">
      <x:c r="A295" s="66" t="n">
        <x:v>46167.51614583333</x:v>
      </x:c>
      <x:c r="B295" s="66" t="str">
        <x:v>MKT_1004</x:v>
      </x:c>
      <x:c r="C295" s="66" t="n">
        <x:v>46167.51736111111</x:v>
      </x:c>
      <x:c r="D295" t="n">
        <x:v>105</x:v>
      </x:c>
      <x:c r="E295" t="str">
        <x:v>NO</x:v>
      </x:c>
      <x:c r="F295" s="74" t="n">
        <x:v>0.83</x:v>
      </x:c>
      <x:c r="G295" s="74" t="n">
        <x:v>0.83</x:v>
      </x:c>
      <x:c r="H295" s="74" t="n">
        <x:v>0.82</x:v>
      </x:c>
      <x:c r="I295" s="74" t="n">
        <x:f>IF(E295="YES",H295,1-H295)</x:f>
        <x:v>0.18000000000000005</x:v>
      </x:c>
      <x:c r="J295" s="76" t="n">
        <x:f>Assumptions!$C$12+Assumptions!$C$11*F295</x:f>
        <x:v>0.003</x:v>
      </x:c>
      <x:c r="K295" s="76" t="n">
        <x:f>I295-F295-J295</x:f>
        <x:v>-0.6529999999999999</x:v>
      </x:c>
      <x:c r="L295" s="74" t="n">
        <x:f>MAX(0,IFERROR(K295/(1-F295),0))</x:f>
        <x:v>0</x:v>
      </x:c>
      <x:c r="M295" s="74" t="n">
        <x:f>MIN(Assumptions!$C$8*L295,Assumptions!$C$5)</x:f>
        <x:v>0</x:v>
      </x:c>
      <x:c r="N295" s="78" t="n">
        <x:f>IF(ROW()=16,Assumptions!$C$4,V294)</x:f>
        <x:v>9995.443924724741</x:v>
      </x:c>
      <x:c r="O295" s="78" t="n">
        <x:f>IF(AND(K295&gt;IF(F295&gt;=Assumptions!$C$21,Assumptions!$C$10,Assumptions!$C$9),D295&gt;Assumptions!$C$23),N295*M295,0)</x:f>
        <x:v>0</x:v>
      </x:c>
      <x:c r="P295" s="78" t="n">
        <x:f>IFERROR(O295/F295,0)</x:f>
        <x:v>0</x:v>
      </x:c>
      <x:c r="Q295" s="78" t="n">
        <x:v>1</x:v>
      </x:c>
      <x:c r="R295" s="78" t="str">
        <x:v>Resolve</x:v>
      </x:c>
      <x:c r="S295" s="78" t="n">
        <x:f>IF(R295="Resolve",IF(IF(E295="YES",Q295,1-Q295)=1,P295*(1-F295),-O295),P295*(G295-F295))</x:f>
        <x:v>0</x:v>
      </x:c>
      <x:c r="T295" s="78" t="n">
        <x:f>P295*J295</x:f>
        <x:v>0</x:v>
      </x:c>
      <x:c r="U295" s="78" t="n">
        <x:f>S295-T295</x:f>
        <x:v>0</x:v>
      </x:c>
      <x:c r="V295" s="78" t="n">
        <x:f>N295+U295</x:f>
        <x:v>9995.443924724741</x:v>
      </x:c>
      <x:c r="W295" s="74" t="n">
        <x:f>IFERROR(V295/MAX($V$16:V295)-1,0)</x:f>
        <x:v>-0.010923261037746768</x:v>
      </x:c>
      <x:c r="X295" t="str">
        <x:f>IF(O295&gt;0,"TRADE","NO_TRADE")</x:f>
        <x:v>NO_TRADE</x:v>
      </x:c>
    </x:row>
    <x:row r="296">
      <x:c r="A296" s="66" t="n">
        <x:v>46167.5162037037</x:v>
      </x:c>
      <x:c r="B296" s="66" t="str">
        <x:v>MKT_1004</x:v>
      </x:c>
      <x:c r="C296" s="66" t="n">
        <x:v>46167.51736111111</x:v>
      </x:c>
      <x:c r="D296" t="n">
        <x:v>100</x:v>
      </x:c>
      <x:c r="E296" t="str">
        <x:v>YES</x:v>
      </x:c>
      <x:c r="F296" s="74" t="n">
        <x:v>0.52</x:v>
      </x:c>
      <x:c r="G296" s="74" t="n">
        <x:v>0.52</x:v>
      </x:c>
      <x:c r="H296" s="74" t="n">
        <x:v>0.535</x:v>
      </x:c>
      <x:c r="I296" s="74" t="n">
        <x:f>IF(E296="YES",H296,1-H296)</x:f>
        <x:v>0.535</x:v>
      </x:c>
      <x:c r="J296" s="76" t="n">
        <x:f>Assumptions!$C$12+Assumptions!$C$11*F296</x:f>
        <x:v>0.003</x:v>
      </x:c>
      <x:c r="K296" s="76" t="n">
        <x:f>I296-F296-J296</x:f>
        <x:v>0.012000000000000014</x:v>
      </x:c>
      <x:c r="L296" s="74" t="n">
        <x:f>MAX(0,IFERROR(K296/(1-F296),0))</x:f>
        <x:v>0.02500000000000003</x:v>
      </x:c>
      <x:c r="M296" s="74" t="n">
        <x:f>MIN(Assumptions!$C$8*L296,Assumptions!$C$5)</x:f>
        <x:v>0.005</x:v>
      </x:c>
      <x:c r="N296" s="78" t="n">
        <x:f>IF(ROW()=16,Assumptions!$C$4,V295)</x:f>
        <x:v>9995.443924724741</x:v>
      </x:c>
      <x:c r="O296" s="78" t="n">
        <x:f>IF(AND(K296&gt;IF(F296&gt;=Assumptions!$C$21,Assumptions!$C$10,Assumptions!$C$9),D296&gt;Assumptions!$C$23),N296*M296,0)</x:f>
        <x:v>49.977219623623704</x:v>
      </x:c>
      <x:c r="P296" s="78" t="n">
        <x:f>IFERROR(O296/F296,0)</x:f>
        <x:v>96.11003773773788</x:v>
      </x:c>
      <x:c r="Q296" s="78" t="n">
        <x:v>0</x:v>
      </x:c>
      <x:c r="R296" s="78" t="str">
        <x:v>Resolve</x:v>
      </x:c>
      <x:c r="S296" s="78" t="n">
        <x:f>IF(R296="Resolve",IF(IF(E296="YES",Q296,1-Q296)=1,P296*(1-F296),-O296),P296*(G296-F296))</x:f>
        <x:v>-49.977219623623704</x:v>
      </x:c>
      <x:c r="T296" s="78" t="n">
        <x:f>P296*J296</x:f>
        <x:v>0.28833011321321367</x:v>
      </x:c>
      <x:c r="U296" s="78" t="n">
        <x:f>S296-T296</x:f>
        <x:v>-50.26554973683692</x:v>
      </x:c>
      <x:c r="V296" s="78" t="n">
        <x:f>N296+U296</x:f>
        <x:v>9945.178374987903</x:v>
      </x:c>
      <x:c r="W296" s="74" t="n">
        <x:f>IFERROR(V296/MAX($V$16:V296)-1,0)</x:f>
        <x:v>-0.01589717579233596</x:v>
      </x:c>
      <x:c r="X296" t="str">
        <x:f>IF(O296&gt;0,"TRADE","NO_TRADE")</x:f>
        <x:v>TRADE</x:v>
      </x:c>
    </x:row>
    <x:row r="297">
      <x:c r="A297" s="66" t="n">
        <x:v>46167.51626157408</x:v>
      </x:c>
      <x:c r="B297" s="66" t="str">
        <x:v>MKT_1004</x:v>
      </x:c>
      <x:c r="C297" s="66" t="n">
        <x:v>46167.51736111111</x:v>
      </x:c>
      <x:c r="D297" t="n">
        <x:v>95</x:v>
      </x:c>
      <x:c r="E297" t="str">
        <x:v>YES</x:v>
      </x:c>
      <x:c r="F297" s="74" t="n">
        <x:v>0.61</x:v>
      </x:c>
      <x:c r="G297" s="74" t="n">
        <x:v>0.61</x:v>
      </x:c>
      <x:c r="H297" s="74" t="n">
        <x:v>0.63</x:v>
      </x:c>
      <x:c r="I297" s="74" t="n">
        <x:f>IF(E297="YES",H297,1-H297)</x:f>
        <x:v>0.63</x:v>
      </x:c>
      <x:c r="J297" s="76" t="n">
        <x:f>Assumptions!$C$12+Assumptions!$C$11*F297</x:f>
        <x:v>0.003</x:v>
      </x:c>
      <x:c r="K297" s="76" t="n">
        <x:f>I297-F297-J297</x:f>
        <x:v>0.01700000000000002</x:v>
      </x:c>
      <x:c r="L297" s="74" t="n">
        <x:f>MAX(0,IFERROR(K297/(1-F297),0))</x:f>
        <x:v>0.043589743589743636</x:v>
      </x:c>
      <x:c r="M297" s="74" t="n">
        <x:f>MIN(Assumptions!$C$8*L297,Assumptions!$C$5)</x:f>
        <x:v>0.005</x:v>
      </x:c>
      <x:c r="N297" s="78" t="n">
        <x:f>IF(ROW()=16,Assumptions!$C$4,V296)</x:f>
        <x:v>9945.178374987903</x:v>
      </x:c>
      <x:c r="O297" s="78" t="n">
        <x:f>IF(AND(K297&gt;IF(F297&gt;=Assumptions!$C$21,Assumptions!$C$10,Assumptions!$C$9),D297&gt;Assumptions!$C$23),N297*M297,0)</x:f>
        <x:v>49.72589187493952</x:v>
      </x:c>
      <x:c r="P297" s="78" t="n">
        <x:f>IFERROR(O297/F297,0)</x:f>
        <x:v>81.51785553268775</x:v>
      </x:c>
      <x:c r="Q297" s="78" t="n">
        <x:v>1</x:v>
      </x:c>
      <x:c r="R297" s="78" t="str">
        <x:v>Resolve</x:v>
      </x:c>
      <x:c r="S297" s="78" t="n">
        <x:f>IF(R297="Resolve",IF(IF(E297="YES",Q297,1-Q297)=1,P297*(1-F297),-O297),P297*(G297-F297))</x:f>
        <x:v>31.791963657748223</x:v>
      </x:c>
      <x:c r="T297" s="78" t="n">
        <x:f>P297*J297</x:f>
        <x:v>0.24455356659806324</x:v>
      </x:c>
      <x:c r="U297" s="78" t="n">
        <x:f>S297-T297</x:f>
        <x:v>31.54741009115016</x:v>
      </x:c>
      <x:c r="V297" s="78" t="n">
        <x:f>N297+U297</x:f>
        <x:v>9976.725785079054</x:v>
      </x:c>
      <x:c r="W297" s="74" t="n">
        <x:f>IFERROR(V297/MAX($V$16:V297)-1,0)</x:f>
        <x:v>-0.012775472571283752</x:v>
      </x:c>
      <x:c r="X297" t="str">
        <x:f>IF(O297&gt;0,"TRADE","NO_TRADE")</x:f>
        <x:v>TRADE</x:v>
      </x:c>
    </x:row>
    <x:row r="298">
      <x:c r="A298" s="66" t="n">
        <x:v>46167.51631944445</x:v>
      </x:c>
      <x:c r="B298" s="66" t="str">
        <x:v>MKT_1004</x:v>
      </x:c>
      <x:c r="C298" s="66" t="n">
        <x:v>46167.51736111111</x:v>
      </x:c>
      <x:c r="D298" t="n">
        <x:v>90</x:v>
      </x:c>
      <x:c r="E298" t="str">
        <x:v>NO</x:v>
      </x:c>
      <x:c r="F298" s="74" t="n">
        <x:v>0.74</x:v>
      </x:c>
      <x:c r="G298" s="74" t="n">
        <x:v>0.74</x:v>
      </x:c>
      <x:c r="H298" s="74" t="n">
        <x:v>0.735</x:v>
      </x:c>
      <x:c r="I298" s="74" t="n">
        <x:f>IF(E298="YES",H298,1-H298)</x:f>
        <x:v>0.265</x:v>
      </x:c>
      <x:c r="J298" s="76" t="n">
        <x:f>Assumptions!$C$12+Assumptions!$C$11*F298</x:f>
        <x:v>0.003</x:v>
      </x:c>
      <x:c r="K298" s="76" t="n">
        <x:f>I298-F298-J298</x:f>
        <x:v>-0.478</x:v>
      </x:c>
      <x:c r="L298" s="74" t="n">
        <x:f>MAX(0,IFERROR(K298/(1-F298),0))</x:f>
        <x:v>0</x:v>
      </x:c>
      <x:c r="M298" s="74" t="n">
        <x:f>MIN(Assumptions!$C$8*L298,Assumptions!$C$5)</x:f>
        <x:v>0</x:v>
      </x:c>
      <x:c r="N298" s="78" t="n">
        <x:f>IF(ROW()=16,Assumptions!$C$4,V297)</x:f>
        <x:v>9976.725785079054</x:v>
      </x:c>
      <x:c r="O298" s="78" t="n">
        <x:f>IF(AND(K298&gt;IF(F298&gt;=Assumptions!$C$21,Assumptions!$C$10,Assumptions!$C$9),D298&gt;Assumptions!$C$23),N298*M298,0)</x:f>
        <x:v>0</x:v>
      </x:c>
      <x:c r="P298" s="78" t="n">
        <x:f>IFERROR(O298/F298,0)</x:f>
        <x:v>0</x:v>
      </x:c>
      <x:c r="Q298" s="78" t="n">
        <x:v>1</x:v>
      </x:c>
      <x:c r="R298" s="78" t="str">
        <x:v>Resolve</x:v>
      </x:c>
      <x:c r="S298" s="78" t="n">
        <x:f>IF(R298="Resolve",IF(IF(E298="YES",Q298,1-Q298)=1,P298*(1-F298),-O298),P298*(G298-F298))</x:f>
        <x:v>0</x:v>
      </x:c>
      <x:c r="T298" s="78" t="n">
        <x:f>P298*J298</x:f>
        <x:v>0</x:v>
      </x:c>
      <x:c r="U298" s="78" t="n">
        <x:f>S298-T298</x:f>
        <x:v>0</x:v>
      </x:c>
      <x:c r="V298" s="78" t="n">
        <x:f>N298+U298</x:f>
        <x:v>9976.725785079054</x:v>
      </x:c>
      <x:c r="W298" s="74" t="n">
        <x:f>IFERROR(V298/MAX($V$16:V298)-1,0)</x:f>
        <x:v>-0.012775472571283752</x:v>
      </x:c>
      <x:c r="X298" t="str">
        <x:f>IF(O298&gt;0,"TRADE","NO_TRADE")</x:f>
        <x:v>NO_TRADE</x:v>
      </x:c>
    </x:row>
    <x:row r="299">
      <x:c r="A299" s="66" t="n">
        <x:v>46167.516377314816</x:v>
      </x:c>
      <x:c r="B299" s="66" t="str">
        <x:v>MKT_1004</x:v>
      </x:c>
      <x:c r="C299" s="66" t="n">
        <x:v>46167.51736111111</x:v>
      </x:c>
      <x:c r="D299" t="n">
        <x:v>85</x:v>
      </x:c>
      <x:c r="E299" t="str">
        <x:v>YES</x:v>
      </x:c>
      <x:c r="F299" s="74" t="n">
        <x:v>0.88</x:v>
      </x:c>
      <x:c r="G299" s="74" t="n">
        <x:v>0.88</x:v>
      </x:c>
      <x:c r="H299" s="74" t="n">
        <x:v>0.91</x:v>
      </x:c>
      <x:c r="I299" s="74" t="n">
        <x:f>IF(E299="YES",H299,1-H299)</x:f>
        <x:v>0.91</x:v>
      </x:c>
      <x:c r="J299" s="76" t="n">
        <x:f>Assumptions!$C$12+Assumptions!$C$11*F299</x:f>
        <x:v>0.003</x:v>
      </x:c>
      <x:c r="K299" s="76" t="n">
        <x:f>I299-F299-J299</x:f>
        <x:v>0.027000000000000027</x:v>
      </x:c>
      <x:c r="L299" s="74" t="n">
        <x:f>MAX(0,IFERROR(K299/(1-F299),0))</x:f>
        <x:v>0.22500000000000023</x:v>
      </x:c>
      <x:c r="M299" s="74" t="n">
        <x:f>MIN(Assumptions!$C$8*L299,Assumptions!$C$5)</x:f>
        <x:v>0.005</x:v>
      </x:c>
      <x:c r="N299" s="78" t="n">
        <x:f>IF(ROW()=16,Assumptions!$C$4,V298)</x:f>
        <x:v>9976.725785079054</x:v>
      </x:c>
      <x:c r="O299" s="78" t="n">
        <x:f>IF(AND(K299&gt;IF(F299&gt;=Assumptions!$C$21,Assumptions!$C$10,Assumptions!$C$9),D299&gt;Assumptions!$C$23),N299*M299,0)</x:f>
        <x:v>49.88362892539527</x:v>
      </x:c>
      <x:c r="P299" s="78" t="n">
        <x:f>IFERROR(O299/F299,0)</x:f>
        <x:v>56.685941960676445</x:v>
      </x:c>
      <x:c r="Q299" s="78" t="n">
        <x:v>0</x:v>
      </x:c>
      <x:c r="R299" s="78" t="str">
        <x:v>Resolve</x:v>
      </x:c>
      <x:c r="S299" s="78" t="n">
        <x:f>IF(R299="Resolve",IF(IF(E299="YES",Q299,1-Q299)=1,P299*(1-F299),-O299),P299*(G299-F299))</x:f>
        <x:v>-49.88362892539527</x:v>
      </x:c>
      <x:c r="T299" s="78" t="n">
        <x:f>P299*J299</x:f>
        <x:v>0.17005782588202933</x:v>
      </x:c>
      <x:c r="U299" s="78" t="n">
        <x:f>S299-T299</x:f>
        <x:v>-50.0536867512773</x:v>
      </x:c>
      <x:c r="V299" s="78" t="n">
        <x:f>N299+U299</x:f>
        <x:v>9926.672098327777</x:v>
      </x:c>
      <x:c r="W299" s="74" t="n">
        <x:f>IFERROR(V299/MAX($V$16:V299)-1,0)</x:f>
        <x:v>-0.017728422899235596</x:v>
      </x:c>
      <x:c r="X299" t="str">
        <x:f>IF(O299&gt;0,"TRADE","NO_TRADE")</x:f>
        <x:v>TRADE</x:v>
      </x:c>
    </x:row>
    <x:row r="300">
      <x:c r="A300" s="66" t="n">
        <x:v>46167.516435185185</x:v>
      </x:c>
      <x:c r="B300" s="66" t="str">
        <x:v>MKT_1004</x:v>
      </x:c>
      <x:c r="C300" s="66" t="n">
        <x:v>46167.51736111111</x:v>
      </x:c>
      <x:c r="D300" t="n">
        <x:v>80</x:v>
      </x:c>
      <x:c r="E300" t="str">
        <x:v>YES</x:v>
      </x:c>
      <x:c r="F300" s="74" t="n">
        <x:v>0.94</x:v>
      </x:c>
      <x:c r="G300" s="74" t="n">
        <x:v>0.94</x:v>
      </x:c>
      <x:c r="H300" s="74" t="n">
        <x:v>0.98</x:v>
      </x:c>
      <x:c r="I300" s="74" t="n">
        <x:f>IF(E300="YES",H300,1-H300)</x:f>
        <x:v>0.98</x:v>
      </x:c>
      <x:c r="J300" s="76" t="n">
        <x:f>Assumptions!$C$12+Assumptions!$C$11*F300</x:f>
        <x:v>0.003</x:v>
      </x:c>
      <x:c r="K300" s="76" t="n">
        <x:f>I300-F300-J300</x:f>
        <x:v>0.03700000000000003</x:v>
      </x:c>
      <x:c r="L300" s="74" t="n">
        <x:f>MAX(0,IFERROR(K300/(1-F300),0))</x:f>
        <x:v>0.6166666666666667</x:v>
      </x:c>
      <x:c r="M300" s="74" t="n">
        <x:f>MIN(Assumptions!$C$8*L300,Assumptions!$C$5)</x:f>
        <x:v>0.005</x:v>
      </x:c>
      <x:c r="N300" s="78" t="n">
        <x:f>IF(ROW()=16,Assumptions!$C$4,V299)</x:f>
        <x:v>9926.672098327777</x:v>
      </x:c>
      <x:c r="O300" s="78" t="n">
        <x:f>IF(AND(K300&gt;IF(F300&gt;=Assumptions!$C$21,Assumptions!$C$10,Assumptions!$C$9),D300&gt;Assumptions!$C$23),N300*M300,0)</x:f>
        <x:v>49.63336049163889</x:v>
      </x:c>
      <x:c r="P300" s="78" t="n">
        <x:f>IFERROR(O300/F300,0)</x:f>
        <x:v>52.80144733153074</x:v>
      </x:c>
      <x:c r="Q300" s="78" t="n">
        <x:v>1</x:v>
      </x:c>
      <x:c r="R300" s="78" t="str">
        <x:v>Resolve</x:v>
      </x:c>
      <x:c r="S300" s="78" t="n">
        <x:f>IF(R300="Resolve",IF(IF(E300="YES",Q300,1-Q300)=1,P300*(1-F300),-O300),P300*(G300-F300))</x:f>
        <x:v>3.168086839891847</x:v>
      </x:c>
      <x:c r="T300" s="78" t="n">
        <x:f>P300*J300</x:f>
        <x:v>0.15840434199459222</x:v>
      </x:c>
      <x:c r="U300" s="78" t="n">
        <x:f>S300-T300</x:f>
        <x:v>3.0096824978972547</x:v>
      </x:c>
      <x:c r="V300" s="78" t="n">
        <x:f>N300+U300</x:f>
        <x:v>9929.681780825675</x:v>
      </x:c>
      <x:c r="W300" s="74" t="n">
        <x:f>IFERROR(V300/MAX($V$16:V300)-1,0)</x:f>
        <x:v>-0.017430606516816827</x:v>
      </x:c>
      <x:c r="X300" t="str">
        <x:f>IF(O300&gt;0,"TRADE","NO_TRADE")</x:f>
        <x:v>TRADE</x:v>
      </x:c>
    </x:row>
    <x:row r="301">
      <x:c r="A301" s="66" t="n">
        <x:v>46167.516493055555</x:v>
      </x:c>
      <x:c r="B301" s="66" t="str">
        <x:v>MKT_1004</x:v>
      </x:c>
      <x:c r="C301" s="66" t="n">
        <x:v>46167.51736111111</x:v>
      </x:c>
      <x:c r="D301" t="n">
        <x:v>75</x:v>
      </x:c>
      <x:c r="E301" t="str">
        <x:v>NO</x:v>
      </x:c>
      <x:c r="F301" s="74" t="n">
        <x:v>0.95</x:v>
      </x:c>
      <x:c r="G301" s="74" t="n">
        <x:v>0.95</x:v>
      </x:c>
      <x:c r="H301" s="74" t="n">
        <x:v>0.968</x:v>
      </x:c>
      <x:c r="I301" s="74" t="n">
        <x:f>IF(E301="YES",H301,1-H301)</x:f>
        <x:v>0.03200000000000003</x:v>
      </x:c>
      <x:c r="J301" s="76" t="n">
        <x:f>Assumptions!$C$12+Assumptions!$C$11*F301</x:f>
        <x:v>0.003</x:v>
      </x:c>
      <x:c r="K301" s="76" t="n">
        <x:f>I301-F301-J301</x:f>
        <x:v>-0.9209999999999999</x:v>
      </x:c>
      <x:c r="L301" s="74" t="n">
        <x:f>MAX(0,IFERROR(K301/(1-F301),0))</x:f>
        <x:v>0</x:v>
      </x:c>
      <x:c r="M301" s="74" t="n">
        <x:f>MIN(Assumptions!$C$8*L301,Assumptions!$C$5)</x:f>
        <x:v>0</x:v>
      </x:c>
      <x:c r="N301" s="78" t="n">
        <x:f>IF(ROW()=16,Assumptions!$C$4,V300)</x:f>
        <x:v>9929.681780825675</x:v>
      </x:c>
      <x:c r="O301" s="78" t="n">
        <x:f>IF(AND(K301&gt;IF(F301&gt;=Assumptions!$C$21,Assumptions!$C$10,Assumptions!$C$9),D301&gt;Assumptions!$C$23),N301*M301,0)</x:f>
        <x:v>0</x:v>
      </x:c>
      <x:c r="P301" s="78" t="n">
        <x:f>IFERROR(O301/F301,0)</x:f>
        <x:v>0</x:v>
      </x:c>
      <x:c r="Q301" s="78" t="n">
        <x:v>1</x:v>
      </x:c>
      <x:c r="R301" s="78" t="str">
        <x:v>Resolve</x:v>
      </x:c>
      <x:c r="S301" s="78" t="n">
        <x:f>IF(R301="Resolve",IF(IF(E301="YES",Q301,1-Q301)=1,P301*(1-F301),-O301),P301*(G301-F301))</x:f>
        <x:v>0</x:v>
      </x:c>
      <x:c r="T301" s="78" t="n">
        <x:f>P301*J301</x:f>
        <x:v>0</x:v>
      </x:c>
      <x:c r="U301" s="78" t="n">
        <x:f>S301-T301</x:f>
        <x:v>0</x:v>
      </x:c>
      <x:c r="V301" s="78" t="n">
        <x:f>N301+U301</x:f>
        <x:v>9929.681780825675</x:v>
      </x:c>
      <x:c r="W301" s="74" t="n">
        <x:f>IFERROR(V301/MAX($V$16:V301)-1,0)</x:f>
        <x:v>-0.017430606516816827</x:v>
      </x:c>
      <x:c r="X301" t="str">
        <x:f>IF(O301&gt;0,"TRADE","NO_TRADE")</x:f>
        <x:v>NO_TRADE</x:v>
      </x:c>
    </x:row>
    <x:row r="302">
      <x:c r="A302" s="66" t="n">
        <x:v>46167.516550925924</x:v>
      </x:c>
      <x:c r="B302" s="66" t="str">
        <x:v>MKT_1004</x:v>
      </x:c>
      <x:c r="C302" s="66" t="n">
        <x:v>46167.51736111111</x:v>
      </x:c>
      <x:c r="D302" t="n">
        <x:v>70</x:v>
      </x:c>
      <x:c r="E302" t="str">
        <x:v>YES</x:v>
      </x:c>
      <x:c r="F302" s="74" t="n">
        <x:v>0.57</x:v>
      </x:c>
      <x:c r="G302" s="74" t="n">
        <x:v>0.57</x:v>
      </x:c>
      <x:c r="H302" s="74" t="n">
        <x:v>0.582</x:v>
      </x:c>
      <x:c r="I302" s="74" t="n">
        <x:f>IF(E302="YES",H302,1-H302)</x:f>
        <x:v>0.582</x:v>
      </x:c>
      <x:c r="J302" s="76" t="n">
        <x:f>Assumptions!$C$12+Assumptions!$C$11*F302</x:f>
        <x:v>0.003</x:v>
      </x:c>
      <x:c r="K302" s="76" t="n">
        <x:f>I302-F302-J302</x:f>
        <x:v>0.009000000000000011</x:v>
      </x:c>
      <x:c r="L302" s="74" t="n">
        <x:f>MAX(0,IFERROR(K302/(1-F302),0))</x:f>
        <x:v>0.02093023255813956</x:v>
      </x:c>
      <x:c r="M302" s="74" t="n">
        <x:f>MIN(Assumptions!$C$8*L302,Assumptions!$C$5)</x:f>
        <x:v>0.005</x:v>
      </x:c>
      <x:c r="N302" s="78" t="n">
        <x:f>IF(ROW()=16,Assumptions!$C$4,V301)</x:f>
        <x:v>9929.681780825675</x:v>
      </x:c>
      <x:c r="O302" s="78" t="n">
        <x:f>IF(AND(K302&gt;IF(F302&gt;=Assumptions!$C$21,Assumptions!$C$10,Assumptions!$C$9),D302&gt;Assumptions!$C$23),N302*M302,0)</x:f>
        <x:v>49.648408904128374</x:v>
      </x:c>
      <x:c r="P302" s="78" t="n">
        <x:f>IFERROR(O302/F302,0)</x:f>
        <x:v>87.10247176162873</x:v>
      </x:c>
      <x:c r="Q302" s="78" t="n">
        <x:v>1</x:v>
      </x:c>
      <x:c r="R302" s="78" t="str">
        <x:v>Resolve</x:v>
      </x:c>
      <x:c r="S302" s="78" t="n">
        <x:f>IF(R302="Resolve",IF(IF(E302="YES",Q302,1-Q302)=1,P302*(1-F302),-O302),P302*(G302-F302))</x:f>
        <x:v>37.45406285750036</x:v>
      </x:c>
      <x:c r="T302" s="78" t="n">
        <x:f>P302*J302</x:f>
        <x:v>0.2613074152848862</x:v>
      </x:c>
      <x:c r="U302" s="78" t="n">
        <x:f>S302-T302</x:f>
        <x:v>37.19275544221547</x:v>
      </x:c>
      <x:c r="V302" s="78" t="n">
        <x:f>N302+U302</x:f>
        <x:v>9966.874536267891</x:v>
      </x:c>
      <x:c r="W302" s="74" t="n">
        <x:f>IFERROR(V302/MAX($V$16:V302)-1,0)</x:f>
        <x:v>-0.013750280806138493</x:v>
      </x:c>
      <x:c r="X302" t="str">
        <x:f>IF(O302&gt;0,"TRADE","NO_TRADE")</x:f>
        <x:v>TRADE</x:v>
      </x:c>
    </x:row>
    <x:row r="303">
      <x:c r="A303" s="66" t="n">
        <x:v>46167.51660879629</x:v>
      </x:c>
      <x:c r="B303" s="66" t="str">
        <x:v>MKT_1004</x:v>
      </x:c>
      <x:c r="C303" s="66" t="n">
        <x:v>46167.51736111111</x:v>
      </x:c>
      <x:c r="D303" t="n">
        <x:v>65</x:v>
      </x:c>
      <x:c r="E303" t="str">
        <x:v>YES</x:v>
      </x:c>
      <x:c r="F303" s="74" t="n">
        <x:v>0.68</x:v>
      </x:c>
      <x:c r="G303" s="74" t="n">
        <x:v>0.68</x:v>
      </x:c>
      <x:c r="H303" s="74" t="n">
        <x:v>0.7050000000000001</x:v>
      </x:c>
      <x:c r="I303" s="74" t="n">
        <x:f>IF(E303="YES",H303,1-H303)</x:f>
        <x:v>0.7050000000000001</x:v>
      </x:c>
      <x:c r="J303" s="76" t="n">
        <x:f>Assumptions!$C$12+Assumptions!$C$11*F303</x:f>
        <x:v>0.003</x:v>
      </x:c>
      <x:c r="K303" s="76" t="n">
        <x:f>I303-F303-J303</x:f>
        <x:v>0.022000000000000023</x:v>
      </x:c>
      <x:c r="L303" s="74" t="n">
        <x:f>MAX(0,IFERROR(K303/(1-F303),0))</x:f>
        <x:v>0.06875000000000009</x:v>
      </x:c>
      <x:c r="M303" s="74" t="n">
        <x:f>MIN(Assumptions!$C$8*L303,Assumptions!$C$5)</x:f>
        <x:v>0.005</x:v>
      </x:c>
      <x:c r="N303" s="78" t="n">
        <x:f>IF(ROW()=16,Assumptions!$C$4,V302)</x:f>
        <x:v>9966.874536267891</x:v>
      </x:c>
      <x:c r="O303" s="78" t="n">
        <x:f>IF(AND(K303&gt;IF(F303&gt;=Assumptions!$C$21,Assumptions!$C$10,Assumptions!$C$9),D303&gt;Assumptions!$C$23),N303*M303,0)</x:f>
        <x:v>49.83437268133946</x:v>
      </x:c>
      <x:c r="P303" s="78" t="n">
        <x:f>IFERROR(O303/F303,0)</x:f>
        <x:v>73.28584217844038</x:v>
      </x:c>
      <x:c r="Q303" s="78" t="n">
        <x:v>0</x:v>
      </x:c>
      <x:c r="R303" s="78" t="str">
        <x:v>Resolve</x:v>
      </x:c>
      <x:c r="S303" s="78" t="n">
        <x:f>IF(R303="Resolve",IF(IF(E303="YES",Q303,1-Q303)=1,P303*(1-F303),-O303),P303*(G303-F303))</x:f>
        <x:v>-49.83437268133946</x:v>
      </x:c>
      <x:c r="T303" s="78" t="n">
        <x:f>P303*J303</x:f>
        <x:v>0.21985752653532115</x:v>
      </x:c>
      <x:c r="U303" s="78" t="n">
        <x:f>S303-T303</x:f>
        <x:v>-50.05423020787478</x:v>
      </x:c>
      <x:c r="V303" s="78" t="n">
        <x:f>N303+U303</x:f>
        <x:v>9916.820306060015</x:v>
      </x:c>
      <x:c r="W303" s="74" t="n">
        <x:f>IFERROR(V303/MAX($V$16:V303)-1,0)</x:f>
        <x:v>-0.018703284910619455</x:v>
      </x:c>
      <x:c r="X303" t="str">
        <x:f>IF(O303&gt;0,"TRADE","NO_TRADE")</x:f>
        <x:v>TRADE</x:v>
      </x:c>
    </x:row>
    <x:row r="304">
      <x:c r="A304" s="66" t="n">
        <x:v>46167.51666666667</x:v>
      </x:c>
      <x:c r="B304" s="66" t="str">
        <x:v>MKT_1004</x:v>
      </x:c>
      <x:c r="C304" s="66" t="n">
        <x:v>46167.51736111111</x:v>
      </x:c>
      <x:c r="D304" t="n">
        <x:v>60</x:v>
      </x:c>
      <x:c r="E304" t="str">
        <x:v>NO</x:v>
      </x:c>
      <x:c r="F304" s="74" t="n">
        <x:v>0.91</x:v>
      </x:c>
      <x:c r="G304" s="74" t="n">
        <x:v>0.91</x:v>
      </x:c>
      <x:c r="H304" s="74" t="n">
        <x:v>0.9450000000000001</x:v>
      </x:c>
      <x:c r="I304" s="74" t="n">
        <x:f>IF(E304="YES",H304,1-H304)</x:f>
        <x:v>0.05499999999999994</x:v>
      </x:c>
      <x:c r="J304" s="76" t="n">
        <x:f>Assumptions!$C$12+Assumptions!$C$11*F304</x:f>
        <x:v>0.003</x:v>
      </x:c>
      <x:c r="K304" s="76" t="n">
        <x:f>I304-F304-J304</x:f>
        <x:v>-0.8580000000000001</x:v>
      </x:c>
      <x:c r="L304" s="74" t="n">
        <x:f>MAX(0,IFERROR(K304/(1-F304),0))</x:f>
        <x:v>0</x:v>
      </x:c>
      <x:c r="M304" s="74" t="n">
        <x:f>MIN(Assumptions!$C$8*L304,Assumptions!$C$5)</x:f>
        <x:v>0</x:v>
      </x:c>
      <x:c r="N304" s="78" t="n">
        <x:f>IF(ROW()=16,Assumptions!$C$4,V303)</x:f>
        <x:v>9916.820306060015</x:v>
      </x:c>
      <x:c r="O304" s="78" t="n">
        <x:f>IF(AND(K304&gt;IF(F304&gt;=Assumptions!$C$21,Assumptions!$C$10,Assumptions!$C$9),D304&gt;Assumptions!$C$23),N304*M304,0)</x:f>
        <x:v>0</x:v>
      </x:c>
      <x:c r="P304" s="78" t="n">
        <x:f>IFERROR(O304/F304,0)</x:f>
        <x:v>0</x:v>
      </x:c>
      <x:c r="Q304" s="78" t="n">
        <x:v>1</x:v>
      </x:c>
      <x:c r="R304" s="78" t="str">
        <x:v>Resolve</x:v>
      </x:c>
      <x:c r="S304" s="78" t="n">
        <x:f>IF(R304="Resolve",IF(IF(E304="YES",Q304,1-Q304)=1,P304*(1-F304),-O304),P304*(G304-F304))</x:f>
        <x:v>0</x:v>
      </x:c>
      <x:c r="T304" s="78" t="n">
        <x:f>P304*J304</x:f>
        <x:v>0</x:v>
      </x:c>
      <x:c r="U304" s="78" t="n">
        <x:f>S304-T304</x:f>
        <x:v>0</x:v>
      </x:c>
      <x:c r="V304" s="78" t="n">
        <x:f>N304+U304</x:f>
        <x:v>9916.820306060015</x:v>
      </x:c>
      <x:c r="W304" s="74" t="n">
        <x:f>IFERROR(V304/MAX($V$16:V304)-1,0)</x:f>
        <x:v>-0.018703284910619455</x:v>
      </x:c>
      <x:c r="X304" t="str">
        <x:f>IF(O304&gt;0,"TRADE","NO_TRADE")</x:f>
        <x:v>NO_TRADE</x:v>
      </x:c>
    </x:row>
    <x:row r="305">
      <x:c r="A305" s="66" t="n">
        <x:v>46167.51672453704</x:v>
      </x:c>
      <x:c r="B305" s="66" t="str">
        <x:v>MKT_1004</x:v>
      </x:c>
      <x:c r="C305" s="66" t="n">
        <x:v>46167.51736111111</x:v>
      </x:c>
      <x:c r="D305" t="n">
        <x:v>55</x:v>
      </x:c>
      <x:c r="E305" t="str">
        <x:v>YES</x:v>
      </x:c>
      <x:c r="F305" s="74" t="n">
        <x:v>0.83</x:v>
      </x:c>
      <x:c r="G305" s="74" t="n">
        <x:v>0.83</x:v>
      </x:c>
      <x:c r="H305" s="74" t="n">
        <x:v>0.82</x:v>
      </x:c>
      <x:c r="I305" s="74" t="n">
        <x:f>IF(E305="YES",H305,1-H305)</x:f>
        <x:v>0.82</x:v>
      </x:c>
      <x:c r="J305" s="76" t="n">
        <x:f>Assumptions!$C$12+Assumptions!$C$11*F305</x:f>
        <x:v>0.003</x:v>
      </x:c>
      <x:c r="K305" s="76" t="n">
        <x:f>I305-F305-J305</x:f>
        <x:v>-0.013000000000000008</x:v>
      </x:c>
      <x:c r="L305" s="74" t="n">
        <x:f>MAX(0,IFERROR(K305/(1-F305),0))</x:f>
        <x:v>0</x:v>
      </x:c>
      <x:c r="M305" s="74" t="n">
        <x:f>MIN(Assumptions!$C$8*L305,Assumptions!$C$5)</x:f>
        <x:v>0</x:v>
      </x:c>
      <x:c r="N305" s="78" t="n">
        <x:f>IF(ROW()=16,Assumptions!$C$4,V304)</x:f>
        <x:v>9916.820306060015</x:v>
      </x:c>
      <x:c r="O305" s="78" t="n">
        <x:f>IF(AND(K305&gt;IF(F305&gt;=Assumptions!$C$21,Assumptions!$C$10,Assumptions!$C$9),D305&gt;Assumptions!$C$23),N305*M305,0)</x:f>
        <x:v>0</x:v>
      </x:c>
      <x:c r="P305" s="78" t="n">
        <x:f>IFERROR(O305/F305,0)</x:f>
        <x:v>0</x:v>
      </x:c>
      <x:c r="Q305" s="78" t="n">
        <x:v>1</x:v>
      </x:c>
      <x:c r="R305" s="78" t="str">
        <x:v>Resolve</x:v>
      </x:c>
      <x:c r="S305" s="78" t="n">
        <x:f>IF(R305="Resolve",IF(IF(E305="YES",Q305,1-Q305)=1,P305*(1-F305),-O305),P305*(G305-F305))</x:f>
        <x:v>0</x:v>
      </x:c>
      <x:c r="T305" s="78" t="n">
        <x:f>P305*J305</x:f>
        <x:v>0</x:v>
      </x:c>
      <x:c r="U305" s="78" t="n">
        <x:f>S305-T305</x:f>
        <x:v>0</x:v>
      </x:c>
      <x:c r="V305" s="78" t="n">
        <x:f>N305+U305</x:f>
        <x:v>9916.820306060015</x:v>
      </x:c>
      <x:c r="W305" s="74" t="n">
        <x:f>IFERROR(V305/MAX($V$16:V305)-1,0)</x:f>
        <x:v>-0.018703284910619455</x:v>
      </x:c>
      <x:c r="X305" t="str">
        <x:f>IF(O305&gt;0,"TRADE","NO_TRADE")</x:f>
        <x:v>NO_TRADE</x:v>
      </x:c>
    </x:row>
    <x:row r="306">
      <x:c r="A306" s="66" t="n">
        <x:v>46167.51678240741</x:v>
      </x:c>
      <x:c r="B306" s="66" t="str">
        <x:v>MKT_1004</x:v>
      </x:c>
      <x:c r="C306" s="66" t="n">
        <x:v>46167.51736111111</x:v>
      </x:c>
      <x:c r="D306" t="n">
        <x:v>50</x:v>
      </x:c>
      <x:c r="E306" t="str">
        <x:v>YES</x:v>
      </x:c>
      <x:c r="F306" s="74" t="n">
        <x:v>0.52</x:v>
      </x:c>
      <x:c r="G306" s="74" t="n">
        <x:v>0.52</x:v>
      </x:c>
      <x:c r="H306" s="74" t="n">
        <x:v>0.535</x:v>
      </x:c>
      <x:c r="I306" s="74" t="n">
        <x:f>IF(E306="YES",H306,1-H306)</x:f>
        <x:v>0.535</x:v>
      </x:c>
      <x:c r="J306" s="76" t="n">
        <x:f>Assumptions!$C$12+Assumptions!$C$11*F306</x:f>
        <x:v>0.003</x:v>
      </x:c>
      <x:c r="K306" s="76" t="n">
        <x:f>I306-F306-J306</x:f>
        <x:v>0.012000000000000014</x:v>
      </x:c>
      <x:c r="L306" s="74" t="n">
        <x:f>MAX(0,IFERROR(K306/(1-F306),0))</x:f>
        <x:v>0.02500000000000003</x:v>
      </x:c>
      <x:c r="M306" s="74" t="n">
        <x:f>MIN(Assumptions!$C$8*L306,Assumptions!$C$5)</x:f>
        <x:v>0.005</x:v>
      </x:c>
      <x:c r="N306" s="78" t="n">
        <x:f>IF(ROW()=16,Assumptions!$C$4,V305)</x:f>
        <x:v>9916.820306060015</x:v>
      </x:c>
      <x:c r="O306" s="78" t="n">
        <x:f>IF(AND(K306&gt;IF(F306&gt;=Assumptions!$C$21,Assumptions!$C$10,Assumptions!$C$9),D306&gt;Assumptions!$C$23),N306*M306,0)</x:f>
        <x:v>49.584101530300075</x:v>
      </x:c>
      <x:c r="P306" s="78" t="n">
        <x:f>IFERROR(O306/F306,0)</x:f>
        <x:v>95.35404140442321</x:v>
      </x:c>
      <x:c r="Q306" s="78" t="n">
        <x:v>0</x:v>
      </x:c>
      <x:c r="R306" s="78" t="str">
        <x:v>Resolve</x:v>
      </x:c>
      <x:c r="S306" s="78" t="n">
        <x:f>IF(R306="Resolve",IF(IF(E306="YES",Q306,1-Q306)=1,P306*(1-F306),-O306),P306*(G306-F306))</x:f>
        <x:v>-49.584101530300075</x:v>
      </x:c>
      <x:c r="T306" s="78" t="n">
        <x:f>P306*J306</x:f>
        <x:v>0.28606212421326965</x:v>
      </x:c>
      <x:c r="U306" s="78" t="n">
        <x:f>S306-T306</x:f>
        <x:v>-49.87016365451334</x:v>
      </x:c>
      <x:c r="V306" s="78" t="n">
        <x:f>N306+U306</x:f>
        <x:v>9866.950142405502</x:v>
      </x:c>
      <x:c r="W306" s="74" t="n">
        <x:f>IFERROR(V306/MAX($V$16:V306)-1,0)</x:f>
        <x:v>-0.023638075122078606</x:v>
      </x:c>
      <x:c r="X306" t="str">
        <x:f>IF(O306&gt;0,"TRADE","NO_TRADE")</x:f>
        <x:v>TRADE</x:v>
      </x:c>
    </x:row>
    <x:row r="307">
      <x:c r="A307" s="66" t="n">
        <x:v>46167.51684027778</x:v>
      </x:c>
      <x:c r="B307" s="66" t="str">
        <x:v>MKT_1004</x:v>
      </x:c>
      <x:c r="C307" s="66" t="n">
        <x:v>46167.51736111111</x:v>
      </x:c>
      <x:c r="D307" t="n">
        <x:v>45</x:v>
      </x:c>
      <x:c r="E307" t="str">
        <x:v>NO</x:v>
      </x:c>
      <x:c r="F307" s="74" t="n">
        <x:v>0.61</x:v>
      </x:c>
      <x:c r="G307" s="74" t="n">
        <x:v>0.61</x:v>
      </x:c>
      <x:c r="H307" s="74" t="n">
        <x:v>0.63</x:v>
      </x:c>
      <x:c r="I307" s="74" t="n">
        <x:f>IF(E307="YES",H307,1-H307)</x:f>
        <x:v>0.37</x:v>
      </x:c>
      <x:c r="J307" s="76" t="n">
        <x:f>Assumptions!$C$12+Assumptions!$C$11*F307</x:f>
        <x:v>0.003</x:v>
      </x:c>
      <x:c r="K307" s="76" t="n">
        <x:f>I307-F307-J307</x:f>
        <x:v>-0.243</x:v>
      </x:c>
      <x:c r="L307" s="74" t="n">
        <x:f>MAX(0,IFERROR(K307/(1-F307),0))</x:f>
        <x:v>0</x:v>
      </x:c>
      <x:c r="M307" s="74" t="n">
        <x:f>MIN(Assumptions!$C$8*L307,Assumptions!$C$5)</x:f>
        <x:v>0</x:v>
      </x:c>
      <x:c r="N307" s="78" t="n">
        <x:f>IF(ROW()=16,Assumptions!$C$4,V306)</x:f>
        <x:v>9866.950142405502</x:v>
      </x:c>
      <x:c r="O307" s="78" t="n">
        <x:f>IF(AND(K307&gt;IF(F307&gt;=Assumptions!$C$21,Assumptions!$C$10,Assumptions!$C$9),D307&gt;Assumptions!$C$23),N307*M307,0)</x:f>
        <x:v>0</x:v>
      </x:c>
      <x:c r="P307" s="78" t="n">
        <x:f>IFERROR(O307/F307,0)</x:f>
        <x:v>0</x:v>
      </x:c>
      <x:c r="Q307" s="78" t="n">
        <x:v>1</x:v>
      </x:c>
      <x:c r="R307" s="78" t="str">
        <x:v>Resolve</x:v>
      </x:c>
      <x:c r="S307" s="78" t="n">
        <x:f>IF(R307="Resolve",IF(IF(E307="YES",Q307,1-Q307)=1,P307*(1-F307),-O307),P307*(G307-F307))</x:f>
        <x:v>0</x:v>
      </x:c>
      <x:c r="T307" s="78" t="n">
        <x:f>P307*J307</x:f>
        <x:v>0</x:v>
      </x:c>
      <x:c r="U307" s="78" t="n">
        <x:f>S307-T307</x:f>
        <x:v>0</x:v>
      </x:c>
      <x:c r="V307" s="78" t="n">
        <x:f>N307+U307</x:f>
        <x:v>9866.950142405502</x:v>
      </x:c>
      <x:c r="W307" s="74" t="n">
        <x:f>IFERROR(V307/MAX($V$16:V307)-1,0)</x:f>
        <x:v>-0.023638075122078606</x:v>
      </x:c>
      <x:c r="X307" t="str">
        <x:f>IF(O307&gt;0,"TRADE","NO_TRADE")</x:f>
        <x:v>NO_TRADE</x:v>
      </x:c>
    </x:row>
    <x:row r="308">
      <x:c r="A308" s="66" t="n">
        <x:v>46167.51689814815</x:v>
      </x:c>
      <x:c r="B308" s="66" t="str">
        <x:v>MKT_1004</x:v>
      </x:c>
      <x:c r="C308" s="66" t="n">
        <x:v>46167.51736111111</x:v>
      </x:c>
      <x:c r="D308" t="n">
        <x:v>40</x:v>
      </x:c>
      <x:c r="E308" t="str">
        <x:v>YES</x:v>
      </x:c>
      <x:c r="F308" s="74" t="n">
        <x:v>0.74</x:v>
      </x:c>
      <x:c r="G308" s="74" t="n">
        <x:v>0.74</x:v>
      </x:c>
      <x:c r="H308" s="74" t="n">
        <x:v>0.735</x:v>
      </x:c>
      <x:c r="I308" s="74" t="n">
        <x:f>IF(E308="YES",H308,1-H308)</x:f>
        <x:v>0.735</x:v>
      </x:c>
      <x:c r="J308" s="76" t="n">
        <x:f>Assumptions!$C$12+Assumptions!$C$11*F308</x:f>
        <x:v>0.003</x:v>
      </x:c>
      <x:c r="K308" s="76" t="n">
        <x:f>I308-F308-J308</x:f>
        <x:v>-0.008000000000000004</x:v>
      </x:c>
      <x:c r="L308" s="74" t="n">
        <x:f>MAX(0,IFERROR(K308/(1-F308),0))</x:f>
        <x:v>0</x:v>
      </x:c>
      <x:c r="M308" s="74" t="n">
        <x:f>MIN(Assumptions!$C$8*L308,Assumptions!$C$5)</x:f>
        <x:v>0</x:v>
      </x:c>
      <x:c r="N308" s="78" t="n">
        <x:f>IF(ROW()=16,Assumptions!$C$4,V307)</x:f>
        <x:v>9866.950142405502</x:v>
      </x:c>
      <x:c r="O308" s="78" t="n">
        <x:f>IF(AND(K308&gt;IF(F308&gt;=Assumptions!$C$21,Assumptions!$C$10,Assumptions!$C$9),D308&gt;Assumptions!$C$23),N308*M308,0)</x:f>
        <x:v>0</x:v>
      </x:c>
      <x:c r="P308" s="78" t="n">
        <x:f>IFERROR(O308/F308,0)</x:f>
        <x:v>0</x:v>
      </x:c>
      <x:c r="Q308" s="78" t="n">
        <x:v>1</x:v>
      </x:c>
      <x:c r="R308" s="78" t="str">
        <x:v>Resolve</x:v>
      </x:c>
      <x:c r="S308" s="78" t="n">
        <x:f>IF(R308="Resolve",IF(IF(E308="YES",Q308,1-Q308)=1,P308*(1-F308),-O308),P308*(G308-F308))</x:f>
        <x:v>0</x:v>
      </x:c>
      <x:c r="T308" s="78" t="n">
        <x:f>P308*J308</x:f>
        <x:v>0</x:v>
      </x:c>
      <x:c r="U308" s="78" t="n">
        <x:f>S308-T308</x:f>
        <x:v>0</x:v>
      </x:c>
      <x:c r="V308" s="78" t="n">
        <x:f>N308+U308</x:f>
        <x:v>9866.950142405502</x:v>
      </x:c>
      <x:c r="W308" s="74" t="n">
        <x:f>IFERROR(V308/MAX($V$16:V308)-1,0)</x:f>
        <x:v>-0.023638075122078606</x:v>
      </x:c>
      <x:c r="X308" t="str">
        <x:f>IF(O308&gt;0,"TRADE","NO_TRADE")</x:f>
        <x:v>NO_TRADE</x:v>
      </x:c>
    </x:row>
    <x:row r="309">
      <x:c r="A309" s="66" t="n">
        <x:v>46167.51695601852</x:v>
      </x:c>
      <x:c r="B309" s="66" t="str">
        <x:v>MKT_1004</x:v>
      </x:c>
      <x:c r="C309" s="66" t="n">
        <x:v>46167.51736111111</x:v>
      </x:c>
      <x:c r="D309" t="n">
        <x:v>35</x:v>
      </x:c>
      <x:c r="E309" t="str">
        <x:v>YES</x:v>
      </x:c>
      <x:c r="F309" s="74" t="n">
        <x:v>0.88</x:v>
      </x:c>
      <x:c r="G309" s="74" t="n">
        <x:v>0.88</x:v>
      </x:c>
      <x:c r="H309" s="74" t="n">
        <x:v>0.91</x:v>
      </x:c>
      <x:c r="I309" s="74" t="n">
        <x:f>IF(E309="YES",H309,1-H309)</x:f>
        <x:v>0.91</x:v>
      </x:c>
      <x:c r="J309" s="76" t="n">
        <x:f>Assumptions!$C$12+Assumptions!$C$11*F309</x:f>
        <x:v>0.003</x:v>
      </x:c>
      <x:c r="K309" s="76" t="n">
        <x:f>I309-F309-J309</x:f>
        <x:v>0.027000000000000027</x:v>
      </x:c>
      <x:c r="L309" s="74" t="n">
        <x:f>MAX(0,IFERROR(K309/(1-F309),0))</x:f>
        <x:v>0.22500000000000023</x:v>
      </x:c>
      <x:c r="M309" s="74" t="n">
        <x:f>MIN(Assumptions!$C$8*L309,Assumptions!$C$5)</x:f>
        <x:v>0.005</x:v>
      </x:c>
      <x:c r="N309" s="78" t="n">
        <x:f>IF(ROW()=16,Assumptions!$C$4,V308)</x:f>
        <x:v>9866.950142405502</x:v>
      </x:c>
      <x:c r="O309" s="78" t="n">
        <x:f>IF(AND(K309&gt;IF(F309&gt;=Assumptions!$C$21,Assumptions!$C$10,Assumptions!$C$9),D309&gt;Assumptions!$C$23),N309*M309,0)</x:f>
        <x:v>49.33475071202751</x:v>
      </x:c>
      <x:c r="P309" s="78" t="n">
        <x:f>IFERROR(O309/F309,0)</x:f>
        <x:v>56.06221671821307</x:v>
      </x:c>
      <x:c r="Q309" s="78" t="n">
        <x:v>1</x:v>
      </x:c>
      <x:c r="R309" s="78" t="str">
        <x:v>Resolve</x:v>
      </x:c>
      <x:c r="S309" s="78" t="n">
        <x:f>IF(R309="Resolve",IF(IF(E309="YES",Q309,1-Q309)=1,P309*(1-F309),-O309),P309*(G309-F309))</x:f>
        <x:v>6.727466006185568</x:v>
      </x:c>
      <x:c r="T309" s="78" t="n">
        <x:f>P309*J309</x:f>
        <x:v>0.1681866501546392</x:v>
      </x:c>
      <x:c r="U309" s="78" t="n">
        <x:f>S309-T309</x:f>
        <x:v>6.559279356030929</x:v>
      </x:c>
      <x:c r="V309" s="78" t="n">
        <x:f>N309+U309</x:f>
        <x:v>9873.509421761533</x:v>
      </x:c>
      <x:c r="W309" s="74" t="n">
        <x:f>IFERROR(V309/MAX($V$16:V309)-1,0)</x:f>
        <x:v>-0.02298901634247219</x:v>
      </x:c>
      <x:c r="X309" t="str">
        <x:f>IF(O309&gt;0,"TRADE","NO_TRADE")</x:f>
        <x:v>TRADE</x:v>
      </x:c>
    </x:row>
    <x:row r="310">
      <x:c r="A310" s="66" t="n">
        <x:v>46167.517013888886</x:v>
      </x:c>
      <x:c r="B310" s="66" t="str">
        <x:v>MKT_1004</x:v>
      </x:c>
      <x:c r="C310" s="66" t="n">
        <x:v>46167.51736111111</x:v>
      </x:c>
      <x:c r="D310" t="n">
        <x:v>30</x:v>
      </x:c>
      <x:c r="E310" t="str">
        <x:v>NO</x:v>
      </x:c>
      <x:c r="F310" s="74" t="n">
        <x:v>0.94</x:v>
      </x:c>
      <x:c r="G310" s="74" t="n">
        <x:v>0.94</x:v>
      </x:c>
      <x:c r="H310" s="74" t="n">
        <x:v>0.98</x:v>
      </x:c>
      <x:c r="I310" s="74" t="n">
        <x:f>IF(E310="YES",H310,1-H310)</x:f>
        <x:v>0.020000000000000018</x:v>
      </x:c>
      <x:c r="J310" s="76" t="n">
        <x:f>Assumptions!$C$12+Assumptions!$C$11*F310</x:f>
        <x:v>0.003</x:v>
      </x:c>
      <x:c r="K310" s="76" t="n">
        <x:f>I310-F310-J310</x:f>
        <x:v>-0.9229999999999999</x:v>
      </x:c>
      <x:c r="L310" s="74" t="n">
        <x:f>MAX(0,IFERROR(K310/(1-F310),0))</x:f>
        <x:v>0</x:v>
      </x:c>
      <x:c r="M310" s="74" t="n">
        <x:f>MIN(Assumptions!$C$8*L310,Assumptions!$C$5)</x:f>
        <x:v>0</x:v>
      </x:c>
      <x:c r="N310" s="78" t="n">
        <x:f>IF(ROW()=16,Assumptions!$C$4,V309)</x:f>
        <x:v>9873.509421761533</x:v>
      </x:c>
      <x:c r="O310" s="78" t="n">
        <x:f>IF(AND(K310&gt;IF(F310&gt;=Assumptions!$C$21,Assumptions!$C$10,Assumptions!$C$9),D310&gt;Assumptions!$C$23),N310*M310,0)</x:f>
        <x:v>0</x:v>
      </x:c>
      <x:c r="P310" s="78" t="n">
        <x:f>IFERROR(O310/F310,0)</x:f>
        <x:v>0</x:v>
      </x:c>
      <x:c r="Q310" s="78" t="n">
        <x:v>0</x:v>
      </x:c>
      <x:c r="R310" s="78" t="str">
        <x:v>Resolve</x:v>
      </x:c>
      <x:c r="S310" s="78" t="n">
        <x:f>IF(R310="Resolve",IF(IF(E310="YES",Q310,1-Q310)=1,P310*(1-F310),-O310),P310*(G310-F310))</x:f>
        <x:v>0</x:v>
      </x:c>
      <x:c r="T310" s="78" t="n">
        <x:f>P310*J310</x:f>
        <x:v>0</x:v>
      </x:c>
      <x:c r="U310" s="78" t="n">
        <x:f>S310-T310</x:f>
        <x:v>0</x:v>
      </x:c>
      <x:c r="V310" s="78" t="n">
        <x:f>N310+U310</x:f>
        <x:v>9873.509421761533</x:v>
      </x:c>
      <x:c r="W310" s="74" t="n">
        <x:f>IFERROR(V310/MAX($V$16:V310)-1,0)</x:f>
        <x:v>-0.02298901634247219</x:v>
      </x:c>
      <x:c r="X310" t="str">
        <x:f>IF(O310&gt;0,"TRADE","NO_TRADE")</x:f>
        <x:v>NO_TRADE</x:v>
      </x:c>
    </x:row>
    <x:row r="311">
      <x:c r="A311" s="66" t="n">
        <x:v>46167.51707175926</x:v>
      </x:c>
      <x:c r="B311" s="66" t="str">
        <x:v>MKT_1004</x:v>
      </x:c>
      <x:c r="C311" s="66" t="n">
        <x:v>46167.51736111111</x:v>
      </x:c>
      <x:c r="D311" t="n">
        <x:v>25</x:v>
      </x:c>
      <x:c r="E311" t="str">
        <x:v>YES</x:v>
      </x:c>
      <x:c r="F311" s="74" t="n">
        <x:v>0.95</x:v>
      </x:c>
      <x:c r="G311" s="74" t="n">
        <x:v>0.95</x:v>
      </x:c>
      <x:c r="H311" s="74" t="n">
        <x:v>0.968</x:v>
      </x:c>
      <x:c r="I311" s="74" t="n">
        <x:f>IF(E311="YES",H311,1-H311)</x:f>
        <x:v>0.968</x:v>
      </x:c>
      <x:c r="J311" s="76" t="n">
        <x:f>Assumptions!$C$12+Assumptions!$C$11*F311</x:f>
        <x:v>0.003</x:v>
      </x:c>
      <x:c r="K311" s="76" t="n">
        <x:f>I311-F311-J311</x:f>
        <x:v>0.015000000000000017</x:v>
      </x:c>
      <x:c r="L311" s="74" t="n">
        <x:f>MAX(0,IFERROR(K311/(1-F311),0))</x:f>
        <x:v>0.30000000000000004</x:v>
      </x:c>
      <x:c r="M311" s="74" t="n">
        <x:f>MIN(Assumptions!$C$8*L311,Assumptions!$C$5)</x:f>
        <x:v>0.005</x:v>
      </x:c>
      <x:c r="N311" s="78" t="n">
        <x:f>IF(ROW()=16,Assumptions!$C$4,V310)</x:f>
        <x:v>9873.509421761533</x:v>
      </x:c>
      <x:c r="O311" s="78" t="n">
        <x:f>IF(AND(K311&gt;IF(F311&gt;=Assumptions!$C$21,Assumptions!$C$10,Assumptions!$C$9),D311&gt;Assumptions!$C$23),N311*M311,0)</x:f>
        <x:v>49.36754710880767</x:v>
      </x:c>
      <x:c r="P311" s="78" t="n">
        <x:f>IFERROR(O311/F311,0)</x:f>
        <x:v>51.96583906190281</x:v>
      </x:c>
      <x:c r="Q311" s="78" t="n">
        <x:v>1</x:v>
      </x:c>
      <x:c r="R311" s="78" t="str">
        <x:v>Resolve</x:v>
      </x:c>
      <x:c r="S311" s="78" t="n">
        <x:f>IF(R311="Resolve",IF(IF(E311="YES",Q311,1-Q311)=1,P311*(1-F311),-O311),P311*(G311-F311))</x:f>
        <x:v>2.598291953095143</x:v>
      </x:c>
      <x:c r="T311" s="78" t="n">
        <x:f>P311*J311</x:f>
        <x:v>0.15589751718570843</x:v>
      </x:c>
      <x:c r="U311" s="78" t="n">
        <x:f>S311-T311</x:f>
        <x:v>2.4423944359094345</x:v>
      </x:c>
      <x:c r="V311" s="78" t="n">
        <x:f>N311+U311</x:f>
        <x:v>9875.951816197443</x:v>
      </x:c>
      <x:c r="W311" s="74" t="n">
        <x:f>IFERROR(V311/MAX($V$16:V311)-1,0)</x:f>
        <x:v>-0.022747334678093756</x:v>
      </x:c>
      <x:c r="X311" t="str">
        <x:f>IF(O311&gt;0,"TRADE","NO_TRADE")</x:f>
        <x:v>TRADE</x:v>
      </x:c>
    </x:row>
    <x:row r="312">
      <x:c r="A312" s="66" t="n">
        <x:v>46167.51712962963</x:v>
      </x:c>
      <x:c r="B312" s="66" t="str">
        <x:v>MKT_1004</x:v>
      </x:c>
      <x:c r="C312" s="66" t="n">
        <x:v>46167.51736111111</x:v>
      </x:c>
      <x:c r="D312" t="n">
        <x:v>20</x:v>
      </x:c>
      <x:c r="E312" t="str">
        <x:v>YES</x:v>
      </x:c>
      <x:c r="F312" s="74" t="n">
        <x:v>0.57</x:v>
      </x:c>
      <x:c r="G312" s="74" t="n">
        <x:v>0.57</x:v>
      </x:c>
      <x:c r="H312" s="74" t="n">
        <x:v>0.582</x:v>
      </x:c>
      <x:c r="I312" s="74" t="n">
        <x:f>IF(E312="YES",H312,1-H312)</x:f>
        <x:v>0.582</x:v>
      </x:c>
      <x:c r="J312" s="76" t="n">
        <x:f>Assumptions!$C$12+Assumptions!$C$11*F312</x:f>
        <x:v>0.003</x:v>
      </x:c>
      <x:c r="K312" s="76" t="n">
        <x:f>I312-F312-J312</x:f>
        <x:v>0.009000000000000011</x:v>
      </x:c>
      <x:c r="L312" s="74" t="n">
        <x:f>MAX(0,IFERROR(K312/(1-F312),0))</x:f>
        <x:v>0.02093023255813956</x:v>
      </x:c>
      <x:c r="M312" s="74" t="n">
        <x:f>MIN(Assumptions!$C$8*L312,Assumptions!$C$5)</x:f>
        <x:v>0.005</x:v>
      </x:c>
      <x:c r="N312" s="78" t="n">
        <x:f>IF(ROW()=16,Assumptions!$C$4,V311)</x:f>
        <x:v>9875.951816197443</x:v>
      </x:c>
      <x:c r="O312" s="78" t="n">
        <x:f>IF(AND(K312&gt;IF(F312&gt;=Assumptions!$C$21,Assumptions!$C$10,Assumptions!$C$9),D312&gt;Assumptions!$C$23),N312*M312,0)</x:f>
        <x:v>49.37975908098721</x:v>
      </x:c>
      <x:c r="P312" s="78" t="n">
        <x:f>IFERROR(O312/F312,0)</x:f>
        <x:v>86.63115628243372</x:v>
      </x:c>
      <x:c r="Q312" s="78" t="n">
        <x:v>1</x:v>
      </x:c>
      <x:c r="R312" s="78" t="str">
        <x:v>Resolve</x:v>
      </x:c>
      <x:c r="S312" s="78" t="n">
        <x:f>IF(R312="Resolve",IF(IF(E312="YES",Q312,1-Q312)=1,P312*(1-F312),-O312),P312*(G312-F312))</x:f>
        <x:v>37.2513972014465</x:v>
      </x:c>
      <x:c r="T312" s="78" t="n">
        <x:f>P312*J312</x:f>
        <x:v>0.2598934688473012</x:v>
      </x:c>
      <x:c r="U312" s="78" t="n">
        <x:f>S312-T312</x:f>
        <x:v>36.9915037325992</x:v>
      </x:c>
      <x:c r="V312" s="78" t="n">
        <x:f>N312+U312</x:f>
        <x:v>9912.943319930042</x:v>
      </x:c>
      <x:c r="W312" s="74" t="n">
        <x:f>IFERROR(V312/MAX($V$16:V312)-1,0)</x:f>
        <x:v>-0.01908692337903717</x:v>
      </x:c>
      <x:c r="X312" t="str">
        <x:f>IF(O312&gt;0,"TRADE","NO_TRADE")</x:f>
        <x:v>TRADE</x:v>
      </x:c>
    </x:row>
    <x:row r="313">
      <x:c r="A313" s="66" t="n">
        <x:v>46167.5171875</x:v>
      </x:c>
      <x:c r="B313" s="66" t="str">
        <x:v>MKT_1004</x:v>
      </x:c>
      <x:c r="C313" s="66" t="n">
        <x:v>46167.51736111111</x:v>
      </x:c>
      <x:c r="D313" t="n">
        <x:v>15</x:v>
      </x:c>
      <x:c r="E313" t="str">
        <x:v>NO</x:v>
      </x:c>
      <x:c r="F313" s="74" t="n">
        <x:v>0.68</x:v>
      </x:c>
      <x:c r="G313" s="74" t="n">
        <x:v>0.68</x:v>
      </x:c>
      <x:c r="H313" s="74" t="n">
        <x:v>0.7050000000000001</x:v>
      </x:c>
      <x:c r="I313" s="74" t="n">
        <x:f>IF(E313="YES",H313,1-H313)</x:f>
        <x:v>0.29499999999999993</x:v>
      </x:c>
      <x:c r="J313" s="76" t="n">
        <x:f>Assumptions!$C$12+Assumptions!$C$11*F313</x:f>
        <x:v>0.003</x:v>
      </x:c>
      <x:c r="K313" s="76" t="n">
        <x:f>I313-F313-J313</x:f>
        <x:v>-0.3880000000000001</x:v>
      </x:c>
      <x:c r="L313" s="74" t="n">
        <x:f>MAX(0,IFERROR(K313/(1-F313),0))</x:f>
        <x:v>0</x:v>
      </x:c>
      <x:c r="M313" s="74" t="n">
        <x:f>MIN(Assumptions!$C$8*L313,Assumptions!$C$5)</x:f>
        <x:v>0</x:v>
      </x:c>
      <x:c r="N313" s="78" t="n">
        <x:f>IF(ROW()=16,Assumptions!$C$4,V312)</x:f>
        <x:v>9912.943319930042</x:v>
      </x:c>
      <x:c r="O313" s="78" t="n">
        <x:f>IF(AND(K313&gt;IF(F313&gt;=Assumptions!$C$21,Assumptions!$C$10,Assumptions!$C$9),D313&gt;Assumptions!$C$23),N313*M313,0)</x:f>
        <x:v>0</x:v>
      </x:c>
      <x:c r="P313" s="78" t="n">
        <x:f>IFERROR(O313/F313,0)</x:f>
        <x:v>0</x:v>
      </x:c>
      <x:c r="Q313" s="78" t="n">
        <x:v>0</x:v>
      </x:c>
      <x:c r="R313" s="78" t="str">
        <x:v>Resolve</x:v>
      </x:c>
      <x:c r="S313" s="78" t="n">
        <x:f>IF(R313="Resolve",IF(IF(E313="YES",Q313,1-Q313)=1,P313*(1-F313),-O313),P313*(G313-F313))</x:f>
        <x:v>0</x:v>
      </x:c>
      <x:c r="T313" s="78" t="n">
        <x:f>P313*J313</x:f>
        <x:v>0</x:v>
      </x:c>
      <x:c r="U313" s="78" t="n">
        <x:f>S313-T313</x:f>
        <x:v>0</x:v>
      </x:c>
      <x:c r="V313" s="78" t="n">
        <x:f>N313+U313</x:f>
        <x:v>9912.943319930042</x:v>
      </x:c>
      <x:c r="W313" s="74" t="n">
        <x:f>IFERROR(V313/MAX($V$16:V313)-1,0)</x:f>
        <x:v>-0.01908692337903717</x:v>
      </x:c>
      <x:c r="X313" t="str">
        <x:f>IF(O313&gt;0,"TRADE","NO_TRADE")</x:f>
        <x:v>NO_TRADE</x:v>
      </x:c>
    </x:row>
    <x:row r="314">
      <x:c r="A314" s="66" t="n">
        <x:v>46167.51724537037</x:v>
      </x:c>
      <x:c r="B314" s="66" t="str">
        <x:v>MKT_1004</x:v>
      </x:c>
      <x:c r="C314" s="66" t="n">
        <x:v>46167.51736111111</x:v>
      </x:c>
      <x:c r="D314" t="n">
        <x:v>10</x:v>
      </x:c>
      <x:c r="E314" t="str">
        <x:v>YES</x:v>
      </x:c>
      <x:c r="F314" s="74" t="n">
        <x:v>0.91</x:v>
      </x:c>
      <x:c r="G314" s="74" t="n">
        <x:v>0.91</x:v>
      </x:c>
      <x:c r="H314" s="74" t="n">
        <x:v>0.9450000000000001</x:v>
      </x:c>
      <x:c r="I314" s="74" t="n">
        <x:f>IF(E314="YES",H314,1-H314)</x:f>
        <x:v>0.9450000000000001</x:v>
      </x:c>
      <x:c r="J314" s="76" t="n">
        <x:f>Assumptions!$C$12+Assumptions!$C$11*F314</x:f>
        <x:v>0.003</x:v>
      </x:c>
      <x:c r="K314" s="76" t="n">
        <x:f>I314-F314-J314</x:f>
        <x:v>0.03200000000000003</x:v>
      </x:c>
      <x:c r="L314" s="74" t="n">
        <x:f>MAX(0,IFERROR(K314/(1-F314),0))</x:f>
        <x:v>0.355555555555556</x:v>
      </x:c>
      <x:c r="M314" s="74" t="n">
        <x:f>MIN(Assumptions!$C$8*L314,Assumptions!$C$5)</x:f>
        <x:v>0.005</x:v>
      </x:c>
      <x:c r="N314" s="78" t="n">
        <x:f>IF(ROW()=16,Assumptions!$C$4,V313)</x:f>
        <x:v>9912.943319930042</x:v>
      </x:c>
      <x:c r="O314" s="78" t="n">
        <x:f>IF(AND(K314&gt;IF(F314&gt;=Assumptions!$C$21,Assumptions!$C$10,Assumptions!$C$9),D314&gt;Assumptions!$C$23),N314*M314,0)</x:f>
        <x:v>49.56471659965021</x:v>
      </x:c>
      <x:c r="P314" s="78" t="n">
        <x:f>IFERROR(O314/F314,0)</x:f>
        <x:v>54.46672153807715</x:v>
      </x:c>
      <x:c r="Q314" s="78" t="n">
        <x:v>1</x:v>
      </x:c>
      <x:c r="R314" s="78" t="str">
        <x:v>Resolve</x:v>
      </x:c>
      <x:c r="S314" s="78" t="n">
        <x:f>IF(R314="Resolve",IF(IF(E314="YES",Q314,1-Q314)=1,P314*(1-F314),-O314),P314*(G314-F314))</x:f>
        <x:v>4.902004938426942</x:v>
      </x:c>
      <x:c r="T314" s="78" t="n">
        <x:f>P314*J314</x:f>
        <x:v>0.16340016461423146</x:v>
      </x:c>
      <x:c r="U314" s="78" t="n">
        <x:f>S314-T314</x:f>
        <x:v>4.73860477381271</x:v>
      </x:c>
      <x:c r="V314" s="78" t="n">
        <x:f>N314+U314</x:f>
        <x:v>9917.681924703855</x:v>
      </x:c>
      <x:c r="W314" s="74" t="n">
        <x:f>IFERROR(V314/MAX($V$16:V314)-1,0)</x:f>
        <x:v>-0.018618025369883218</x:v>
      </x:c>
      <x:c r="X314" t="str">
        <x:f>IF(O314&gt;0,"TRADE","NO_TRADE")</x:f>
        <x:v>TRADE</x:v>
      </x:c>
    </x:row>
    <x:row r="315">
      <x:c r="A315" s="66" t="n">
        <x:v>46167.51730324074</x:v>
      </x:c>
      <x:c r="B315" s="66" t="str">
        <x:v>MKT_1004</x:v>
      </x:c>
      <x:c r="C315" s="66" t="n">
        <x:v>46167.51736111111</x:v>
      </x:c>
      <x:c r="D315" t="n">
        <x:v>5</x:v>
      </x:c>
      <x:c r="E315" t="str">
        <x:v>YES</x:v>
      </x:c>
      <x:c r="F315" s="74" t="n">
        <x:v>0.83</x:v>
      </x:c>
      <x:c r="G315" s="74" t="n">
        <x:v>0.83</x:v>
      </x:c>
      <x:c r="H315" s="74" t="n">
        <x:v>0.82</x:v>
      </x:c>
      <x:c r="I315" s="74" t="n">
        <x:f>IF(E315="YES",H315,1-H315)</x:f>
        <x:v>0.82</x:v>
      </x:c>
      <x:c r="J315" s="76" t="n">
        <x:f>Assumptions!$C$12+Assumptions!$C$11*F315</x:f>
        <x:v>0.003</x:v>
      </x:c>
      <x:c r="K315" s="76" t="n">
        <x:f>I315-F315-J315</x:f>
        <x:v>-0.013000000000000008</x:v>
      </x:c>
      <x:c r="L315" s="74" t="n">
        <x:f>MAX(0,IFERROR(K315/(1-F315),0))</x:f>
        <x:v>0</x:v>
      </x:c>
      <x:c r="M315" s="74" t="n">
        <x:f>MIN(Assumptions!$C$8*L315,Assumptions!$C$5)</x:f>
        <x:v>0</x:v>
      </x:c>
      <x:c r="N315" s="78" t="n">
        <x:f>IF(ROW()=16,Assumptions!$C$4,V314)</x:f>
        <x:v>9917.681924703855</x:v>
      </x:c>
      <x:c r="O315" s="78" t="n">
        <x:f>IF(AND(K315&gt;IF(F315&gt;=Assumptions!$C$21,Assumptions!$C$10,Assumptions!$C$9),D315&gt;Assumptions!$C$23),N315*M315,0)</x:f>
        <x:v>0</x:v>
      </x:c>
      <x:c r="P315" s="78" t="n">
        <x:f>IFERROR(O315/F315,0)</x:f>
        <x:v>0</x:v>
      </x:c>
      <x:c r="Q315" s="78" t="n">
        <x:v>1</x:v>
      </x:c>
      <x:c r="R315" s="78" t="str">
        <x:v>Resolve</x:v>
      </x:c>
      <x:c r="S315" s="78" t="n">
        <x:f>IF(R315="Resolve",IF(IF(E315="YES",Q315,1-Q315)=1,P315*(1-F315),-O315),P315*(G315-F315))</x:f>
        <x:v>0</x:v>
      </x:c>
      <x:c r="T315" s="78" t="n">
        <x:f>P315*J315</x:f>
        <x:v>0</x:v>
      </x:c>
      <x:c r="U315" s="78" t="n">
        <x:f>S315-T315</x:f>
        <x:v>0</x:v>
      </x:c>
      <x:c r="V315" s="78" t="n">
        <x:f>N315+U315</x:f>
        <x:v>9917.681924703855</x:v>
      </x:c>
      <x:c r="W315" s="74" t="n">
        <x:f>IFERROR(V315/MAX($V$16:V315)-1,0)</x:f>
        <x:v>-0.018618025369883218</x:v>
      </x:c>
      <x:c r="X315" t="str">
        <x:f>IF(O315&gt;0,"TRADE","NO_TRADE")</x:f>
        <x:v>NO_TRADE</x:v>
      </x:c>
    </x:row>
    <x:row r="316">
      <x:c r="A316" s="66" t="n">
        <x:v>46167.51736111111</x:v>
      </x:c>
      <x:c r="B316" s="66" t="str">
        <x:v>MKT_1005</x:v>
      </x:c>
      <x:c r="C316" s="66" t="n">
        <x:v>46167.520833333336</x:v>
      </x:c>
      <x:c r="D316" t="n">
        <x:v>300</x:v>
      </x:c>
      <x:c r="E316" t="str">
        <x:v>NO</x:v>
      </x:c>
      <x:c r="F316" s="74" t="n">
        <x:v>0.52</x:v>
      </x:c>
      <x:c r="G316" s="74" t="n">
        <x:v>0.52</x:v>
      </x:c>
      <x:c r="H316" s="74" t="n">
        <x:v>0.535</x:v>
      </x:c>
      <x:c r="I316" s="74" t="n">
        <x:f>IF(E316="YES",H316,1-H316)</x:f>
        <x:v>0.46499999999999997</x:v>
      </x:c>
      <x:c r="J316" s="76" t="n">
        <x:f>Assumptions!$C$12+Assumptions!$C$11*F316</x:f>
        <x:v>0.003</x:v>
      </x:c>
      <x:c r="K316" s="76" t="n">
        <x:f>I316-F316-J316</x:f>
        <x:v>-0.05800000000000005</x:v>
      </x:c>
      <x:c r="L316" s="74" t="n">
        <x:f>MAX(0,IFERROR(K316/(1-F316),0))</x:f>
        <x:v>0</x:v>
      </x:c>
      <x:c r="M316" s="74" t="n">
        <x:f>MIN(Assumptions!$C$8*L316,Assumptions!$C$5)</x:f>
        <x:v>0</x:v>
      </x:c>
      <x:c r="N316" s="78" t="n">
        <x:f>IF(ROW()=16,Assumptions!$C$4,V315)</x:f>
        <x:v>9917.681924703855</x:v>
      </x:c>
      <x:c r="O316" s="78" t="n">
        <x:f>IF(AND(K316&gt;IF(F316&gt;=Assumptions!$C$21,Assumptions!$C$10,Assumptions!$C$9),D316&gt;Assumptions!$C$23),N316*M316,0)</x:f>
        <x:v>0</x:v>
      </x:c>
      <x:c r="P316" s="78" t="n">
        <x:f>IFERROR(O316/F316,0)</x:f>
        <x:v>0</x:v>
      </x:c>
      <x:c r="Q316" s="78" t="n">
        <x:v>1</x:v>
      </x:c>
      <x:c r="R316" s="78" t="str">
        <x:v>Resolve</x:v>
      </x:c>
      <x:c r="S316" s="78" t="n">
        <x:f>IF(R316="Resolve",IF(IF(E316="YES",Q316,1-Q316)=1,P316*(1-F316),-O316),P316*(G316-F316))</x:f>
        <x:v>0</x:v>
      </x:c>
      <x:c r="T316" s="78" t="n">
        <x:f>P316*J316</x:f>
        <x:v>0</x:v>
      </x:c>
      <x:c r="U316" s="78" t="n">
        <x:f>S316-T316</x:f>
        <x:v>0</x:v>
      </x:c>
      <x:c r="V316" s="78" t="n">
        <x:f>N316+U316</x:f>
        <x:v>9917.681924703855</x:v>
      </x:c>
      <x:c r="W316" s="74" t="n">
        <x:f>IFERROR(V316/MAX($V$16:V316)-1,0)</x:f>
        <x:v>-0.018618025369883218</x:v>
      </x:c>
      <x:c r="X316" t="str">
        <x:f>IF(O316&gt;0,"TRADE","NO_TRADE")</x:f>
        <x:v>NO_TRADE</x:v>
      </x:c>
    </x:row>
    <x:row r="317">
      <x:c r="A317" s="66" t="n">
        <x:v>46167.51741898148</x:v>
      </x:c>
      <x:c r="B317" s="66" t="str">
        <x:v>MKT_1005</x:v>
      </x:c>
      <x:c r="C317" s="66" t="n">
        <x:v>46167.520833333336</x:v>
      </x:c>
      <x:c r="D317" t="n">
        <x:v>295</x:v>
      </x:c>
      <x:c r="E317" t="str">
        <x:v>YES</x:v>
      </x:c>
      <x:c r="F317" s="74" t="n">
        <x:v>0.61</x:v>
      </x:c>
      <x:c r="G317" s="74" t="n">
        <x:v>0.61</x:v>
      </x:c>
      <x:c r="H317" s="74" t="n">
        <x:v>0.63</x:v>
      </x:c>
      <x:c r="I317" s="74" t="n">
        <x:f>IF(E317="YES",H317,1-H317)</x:f>
        <x:v>0.63</x:v>
      </x:c>
      <x:c r="J317" s="76" t="n">
        <x:f>Assumptions!$C$12+Assumptions!$C$11*F317</x:f>
        <x:v>0.003</x:v>
      </x:c>
      <x:c r="K317" s="76" t="n">
        <x:f>I317-F317-J317</x:f>
        <x:v>0.01700000000000002</x:v>
      </x:c>
      <x:c r="L317" s="74" t="n">
        <x:f>MAX(0,IFERROR(K317/(1-F317),0))</x:f>
        <x:v>0.043589743589743636</x:v>
      </x:c>
      <x:c r="M317" s="74" t="n">
        <x:f>MIN(Assumptions!$C$8*L317,Assumptions!$C$5)</x:f>
        <x:v>0.005</x:v>
      </x:c>
      <x:c r="N317" s="78" t="n">
        <x:f>IF(ROW()=16,Assumptions!$C$4,V316)</x:f>
        <x:v>9917.681924703855</x:v>
      </x:c>
      <x:c r="O317" s="78" t="n">
        <x:f>IF(AND(K317&gt;IF(F317&gt;=Assumptions!$C$21,Assumptions!$C$10,Assumptions!$C$9),D317&gt;Assumptions!$C$23),N317*M317,0)</x:f>
        <x:v>49.588409623519276</x:v>
      </x:c>
      <x:c r="P317" s="78" t="n">
        <x:f>IFERROR(O317/F317,0)</x:f>
        <x:v>81.29247479265456</x:v>
      </x:c>
      <x:c r="Q317" s="78" t="n">
        <x:v>0</x:v>
      </x:c>
      <x:c r="R317" s="78" t="str">
        <x:v>Resolve</x:v>
      </x:c>
      <x:c r="S317" s="78" t="n">
        <x:f>IF(R317="Resolve",IF(IF(E317="YES",Q317,1-Q317)=1,P317*(1-F317),-O317),P317*(G317-F317))</x:f>
        <x:v>-49.588409623519276</x:v>
      </x:c>
      <x:c r="T317" s="78" t="n">
        <x:f>P317*J317</x:f>
        <x:v>0.24387742437796367</x:v>
      </x:c>
      <x:c r="U317" s="78" t="n">
        <x:f>S317-T317</x:f>
        <x:v>-49.83228704789724</x:v>
      </x:c>
      <x:c r="V317" s="78" t="n">
        <x:f>N317+U317</x:f>
        <x:v>9867.849637655958</x:v>
      </x:c>
      <x:c r="W317" s="74" t="n">
        <x:f>IFERROR(V317/MAX($V$16:V317)-1,0)</x:f>
        <x:v>-0.02354906758667219</x:v>
      </x:c>
      <x:c r="X317" t="str">
        <x:f>IF(O317&gt;0,"TRADE","NO_TRADE")</x:f>
        <x:v>TRADE</x:v>
      </x:c>
    </x:row>
    <x:row r="318">
      <x:c r="A318" s="66" t="n">
        <x:v>46167.517476851855</x:v>
      </x:c>
      <x:c r="B318" s="66" t="str">
        <x:v>MKT_1005</x:v>
      </x:c>
      <x:c r="C318" s="66" t="n">
        <x:v>46167.520833333336</x:v>
      </x:c>
      <x:c r="D318" t="n">
        <x:v>290</x:v>
      </x:c>
      <x:c r="E318" t="str">
        <x:v>YES</x:v>
      </x:c>
      <x:c r="F318" s="74" t="n">
        <x:v>0.74</x:v>
      </x:c>
      <x:c r="G318" s="74" t="n">
        <x:v>0.74</x:v>
      </x:c>
      <x:c r="H318" s="74" t="n">
        <x:v>0.735</x:v>
      </x:c>
      <x:c r="I318" s="74" t="n">
        <x:f>IF(E318="YES",H318,1-H318)</x:f>
        <x:v>0.735</x:v>
      </x:c>
      <x:c r="J318" s="76" t="n">
        <x:f>Assumptions!$C$12+Assumptions!$C$11*F318</x:f>
        <x:v>0.003</x:v>
      </x:c>
      <x:c r="K318" s="76" t="n">
        <x:f>I318-F318-J318</x:f>
        <x:v>-0.008000000000000004</x:v>
      </x:c>
      <x:c r="L318" s="74" t="n">
        <x:f>MAX(0,IFERROR(K318/(1-F318),0))</x:f>
        <x:v>0</x:v>
      </x:c>
      <x:c r="M318" s="74" t="n">
        <x:f>MIN(Assumptions!$C$8*L318,Assumptions!$C$5)</x:f>
        <x:v>0</x:v>
      </x:c>
      <x:c r="N318" s="78" t="n">
        <x:f>IF(ROW()=16,Assumptions!$C$4,V317)</x:f>
        <x:v>9867.849637655958</x:v>
      </x:c>
      <x:c r="O318" s="78" t="n">
        <x:f>IF(AND(K318&gt;IF(F318&gt;=Assumptions!$C$21,Assumptions!$C$10,Assumptions!$C$9),D318&gt;Assumptions!$C$23),N318*M318,0)</x:f>
        <x:v>0</x:v>
      </x:c>
      <x:c r="P318" s="78" t="n">
        <x:f>IFERROR(O318/F318,0)</x:f>
        <x:v>0</x:v>
      </x:c>
      <x:c r="Q318" s="78" t="n">
        <x:v>1</x:v>
      </x:c>
      <x:c r="R318" s="78" t="str">
        <x:v>Resolve</x:v>
      </x:c>
      <x:c r="S318" s="78" t="n">
        <x:f>IF(R318="Resolve",IF(IF(E318="YES",Q318,1-Q318)=1,P318*(1-F318),-O318),P318*(G318-F318))</x:f>
        <x:v>0</x:v>
      </x:c>
      <x:c r="T318" s="78" t="n">
        <x:f>P318*J318</x:f>
        <x:v>0</x:v>
      </x:c>
      <x:c r="U318" s="78" t="n">
        <x:f>S318-T318</x:f>
        <x:v>0</x:v>
      </x:c>
      <x:c r="V318" s="78" t="n">
        <x:f>N318+U318</x:f>
        <x:v>9867.849637655958</x:v>
      </x:c>
      <x:c r="W318" s="74" t="n">
        <x:f>IFERROR(V318/MAX($V$16:V318)-1,0)</x:f>
        <x:v>-0.02354906758667219</x:v>
      </x:c>
      <x:c r="X318" t="str">
        <x:f>IF(O318&gt;0,"TRADE","NO_TRADE")</x:f>
        <x:v>NO_TRADE</x:v>
      </x:c>
    </x:row>
    <x:row r="319">
      <x:c r="A319" s="66" t="n">
        <x:v>46167.517534722225</x:v>
      </x:c>
      <x:c r="B319" s="66" t="str">
        <x:v>MKT_1005</x:v>
      </x:c>
      <x:c r="C319" s="66" t="n">
        <x:v>46167.520833333336</x:v>
      </x:c>
      <x:c r="D319" t="n">
        <x:v>285</x:v>
      </x:c>
      <x:c r="E319" t="str">
        <x:v>NO</x:v>
      </x:c>
      <x:c r="F319" s="74" t="n">
        <x:v>0.88</x:v>
      </x:c>
      <x:c r="G319" s="74" t="n">
        <x:v>0.88</x:v>
      </x:c>
      <x:c r="H319" s="74" t="n">
        <x:v>0.91</x:v>
      </x:c>
      <x:c r="I319" s="74" t="n">
        <x:f>IF(E319="YES",H319,1-H319)</x:f>
        <x:v>0.08999999999999997</x:v>
      </x:c>
      <x:c r="J319" s="76" t="n">
        <x:f>Assumptions!$C$12+Assumptions!$C$11*F319</x:f>
        <x:v>0.003</x:v>
      </x:c>
      <x:c r="K319" s="76" t="n">
        <x:f>I319-F319-J319</x:f>
        <x:v>-0.793</x:v>
      </x:c>
      <x:c r="L319" s="74" t="n">
        <x:f>MAX(0,IFERROR(K319/(1-F319),0))</x:f>
        <x:v>0</x:v>
      </x:c>
      <x:c r="M319" s="74" t="n">
        <x:f>MIN(Assumptions!$C$8*L319,Assumptions!$C$5)</x:f>
        <x:v>0</x:v>
      </x:c>
      <x:c r="N319" s="78" t="n">
        <x:f>IF(ROW()=16,Assumptions!$C$4,V318)</x:f>
        <x:v>9867.849637655958</x:v>
      </x:c>
      <x:c r="O319" s="78" t="n">
        <x:f>IF(AND(K319&gt;IF(F319&gt;=Assumptions!$C$21,Assumptions!$C$10,Assumptions!$C$9),D319&gt;Assumptions!$C$23),N319*M319,0)</x:f>
        <x:v>0</x:v>
      </x:c>
      <x:c r="P319" s="78" t="n">
        <x:f>IFERROR(O319/F319,0)</x:f>
        <x:v>0</x:v>
      </x:c>
      <x:c r="Q319" s="78" t="n">
        <x:v>1</x:v>
      </x:c>
      <x:c r="R319" s="78" t="str">
        <x:v>Resolve</x:v>
      </x:c>
      <x:c r="S319" s="78" t="n">
        <x:f>IF(R319="Resolve",IF(IF(E319="YES",Q319,1-Q319)=1,P319*(1-F319),-O319),P319*(G319-F319))</x:f>
        <x:v>0</x:v>
      </x:c>
      <x:c r="T319" s="78" t="n">
        <x:f>P319*J319</x:f>
        <x:v>0</x:v>
      </x:c>
      <x:c r="U319" s="78" t="n">
        <x:f>S319-T319</x:f>
        <x:v>0</x:v>
      </x:c>
      <x:c r="V319" s="78" t="n">
        <x:f>N319+U319</x:f>
        <x:v>9867.849637655958</x:v>
      </x:c>
      <x:c r="W319" s="74" t="n">
        <x:f>IFERROR(V319/MAX($V$16:V319)-1,0)</x:f>
        <x:v>-0.02354906758667219</x:v>
      </x:c>
      <x:c r="X319" t="str">
        <x:f>IF(O319&gt;0,"TRADE","NO_TRADE")</x:f>
        <x:v>NO_TRADE</x:v>
      </x:c>
    </x:row>
    <x:row r="320">
      <x:c r="A320" s="66" t="n">
        <x:v>46167.517592592594</x:v>
      </x:c>
      <x:c r="B320" s="66" t="str">
        <x:v>MKT_1005</x:v>
      </x:c>
      <x:c r="C320" s="66" t="n">
        <x:v>46167.520833333336</x:v>
      </x:c>
      <x:c r="D320" t="n">
        <x:v>280</x:v>
      </x:c>
      <x:c r="E320" t="str">
        <x:v>YES</x:v>
      </x:c>
      <x:c r="F320" s="74" t="n">
        <x:v>0.94</x:v>
      </x:c>
      <x:c r="G320" s="74" t="n">
        <x:v>0.94</x:v>
      </x:c>
      <x:c r="H320" s="74" t="n">
        <x:v>0.98</x:v>
      </x:c>
      <x:c r="I320" s="74" t="n">
        <x:f>IF(E320="YES",H320,1-H320)</x:f>
        <x:v>0.98</x:v>
      </x:c>
      <x:c r="J320" s="76" t="n">
        <x:f>Assumptions!$C$12+Assumptions!$C$11*F320</x:f>
        <x:v>0.003</x:v>
      </x:c>
      <x:c r="K320" s="76" t="n">
        <x:f>I320-F320-J320</x:f>
        <x:v>0.03700000000000003</x:v>
      </x:c>
      <x:c r="L320" s="74" t="n">
        <x:f>MAX(0,IFERROR(K320/(1-F320),0))</x:f>
        <x:v>0.6166666666666667</x:v>
      </x:c>
      <x:c r="M320" s="74" t="n">
        <x:f>MIN(Assumptions!$C$8*L320,Assumptions!$C$5)</x:f>
        <x:v>0.005</x:v>
      </x:c>
      <x:c r="N320" s="78" t="n">
        <x:f>IF(ROW()=16,Assumptions!$C$4,V319)</x:f>
        <x:v>9867.849637655958</x:v>
      </x:c>
      <x:c r="O320" s="78" t="n">
        <x:f>IF(AND(K320&gt;IF(F320&gt;=Assumptions!$C$21,Assumptions!$C$10,Assumptions!$C$9),D320&gt;Assumptions!$C$23),N320*M320,0)</x:f>
        <x:v>49.33924818827979</x:v>
      </x:c>
      <x:c r="P320" s="78" t="n">
        <x:f>IFERROR(O320/F320,0)</x:f>
        <x:v>52.48856190242531</x:v>
      </x:c>
      <x:c r="Q320" s="78" t="n">
        <x:v>0</x:v>
      </x:c>
      <x:c r="R320" s="78" t="str">
        <x:v>Resolve</x:v>
      </x:c>
      <x:c r="S320" s="78" t="n">
        <x:f>IF(R320="Resolve",IF(IF(E320="YES",Q320,1-Q320)=1,P320*(1-F320),-O320),P320*(G320-F320))</x:f>
        <x:v>-49.33924818827979</x:v>
      </x:c>
      <x:c r="T320" s="78" t="n">
        <x:f>P320*J320</x:f>
        <x:v>0.15746568570727593</x:v>
      </x:c>
      <x:c r="U320" s="78" t="n">
        <x:f>S320-T320</x:f>
        <x:v>-49.49671387398706</x:v>
      </x:c>
      <x:c r="V320" s="78" t="n">
        <x:f>N320+U320</x:f>
        <x:v>9818.352923781971</x:v>
      </x:c>
      <x:c r="W320" s="74" t="n">
        <x:f>IFERROR(V320/MAX($V$16:V320)-1,0)</x:f>
        <x:v>-0.02844690391255389</x:v>
      </x:c>
      <x:c r="X320" t="str">
        <x:f>IF(O320&gt;0,"TRADE","NO_TRADE")</x:f>
        <x:v>TRADE</x:v>
      </x:c>
    </x:row>
    <x:row r="321">
      <x:c r="A321" s="66" t="n">
        <x:v>46167.51765046296</x:v>
      </x:c>
      <x:c r="B321" s="66" t="str">
        <x:v>MKT_1005</x:v>
      </x:c>
      <x:c r="C321" s="66" t="n">
        <x:v>46167.520833333336</x:v>
      </x:c>
      <x:c r="D321" t="n">
        <x:v>275</x:v>
      </x:c>
      <x:c r="E321" t="str">
        <x:v>YES</x:v>
      </x:c>
      <x:c r="F321" s="74" t="n">
        <x:v>0.95</x:v>
      </x:c>
      <x:c r="G321" s="74" t="n">
        <x:v>0.95</x:v>
      </x:c>
      <x:c r="H321" s="74" t="n">
        <x:v>0.968</x:v>
      </x:c>
      <x:c r="I321" s="74" t="n">
        <x:f>IF(E321="YES",H321,1-H321)</x:f>
        <x:v>0.968</x:v>
      </x:c>
      <x:c r="J321" s="76" t="n">
        <x:f>Assumptions!$C$12+Assumptions!$C$11*F321</x:f>
        <x:v>0.003</x:v>
      </x:c>
      <x:c r="K321" s="76" t="n">
        <x:f>I321-F321-J321</x:f>
        <x:v>0.015000000000000017</x:v>
      </x:c>
      <x:c r="L321" s="74" t="n">
        <x:f>MAX(0,IFERROR(K321/(1-F321),0))</x:f>
        <x:v>0.30000000000000004</x:v>
      </x:c>
      <x:c r="M321" s="74" t="n">
        <x:f>MIN(Assumptions!$C$8*L321,Assumptions!$C$5)</x:f>
        <x:v>0.005</x:v>
      </x:c>
      <x:c r="N321" s="78" t="n">
        <x:f>IF(ROW()=16,Assumptions!$C$4,V320)</x:f>
        <x:v>9818.352923781971</x:v>
      </x:c>
      <x:c r="O321" s="78" t="n">
        <x:f>IF(AND(K321&gt;IF(F321&gt;=Assumptions!$C$21,Assumptions!$C$10,Assumptions!$C$9),D321&gt;Assumptions!$C$23),N321*M321,0)</x:f>
        <x:v>49.091764618909856</x:v>
      </x:c>
      <x:c r="P321" s="78" t="n">
        <x:f>IFERROR(O321/F321,0)</x:f>
        <x:v>51.67554170411564</x:v>
      </x:c>
      <x:c r="Q321" s="78" t="n">
        <x:v>1</x:v>
      </x:c>
      <x:c r="R321" s="78" t="str">
        <x:v>Resolve</x:v>
      </x:c>
      <x:c r="S321" s="78" t="n">
        <x:f>IF(R321="Resolve",IF(IF(E321="YES",Q321,1-Q321)=1,P321*(1-F321),-O321),P321*(G321-F321))</x:f>
        <x:v>2.583777085205784</x:v>
      </x:c>
      <x:c r="T321" s="78" t="n">
        <x:f>P321*J321</x:f>
        <x:v>0.1550266251123469</x:v>
      </x:c>
      <x:c r="U321" s="78" t="n">
        <x:f>S321-T321</x:f>
        <x:v>2.428750460093437</x:v>
      </x:c>
      <x:c r="V321" s="78" t="n">
        <x:f>N321+U321</x:f>
        <x:v>9820.781674242065</x:v>
      </x:c>
      <x:c r="W321" s="74" t="n">
        <x:f>IFERROR(V321/MAX($V$16:V321)-1,0)</x:f>
        <x:v>-0.028206572357205806</x:v>
      </x:c>
      <x:c r="X321" t="str">
        <x:f>IF(O321&gt;0,"TRADE","NO_TRADE")</x:f>
        <x:v>TRADE</x:v>
      </x:c>
    </x:row>
    <x:row r="322">
      <x:c r="A322" s="66" t="n">
        <x:v>46167.51770833333</x:v>
      </x:c>
      <x:c r="B322" s="66" t="str">
        <x:v>MKT_1005</x:v>
      </x:c>
      <x:c r="C322" s="66" t="n">
        <x:v>46167.520833333336</x:v>
      </x:c>
      <x:c r="D322" t="n">
        <x:v>270</x:v>
      </x:c>
      <x:c r="E322" t="str">
        <x:v>NO</x:v>
      </x:c>
      <x:c r="F322" s="74" t="n">
        <x:v>0.57</x:v>
      </x:c>
      <x:c r="G322" s="74" t="n">
        <x:v>0.57</x:v>
      </x:c>
      <x:c r="H322" s="74" t="n">
        <x:v>0.582</x:v>
      </x:c>
      <x:c r="I322" s="74" t="n">
        <x:f>IF(E322="YES",H322,1-H322)</x:f>
        <x:v>0.41800000000000004</x:v>
      </x:c>
      <x:c r="J322" s="76" t="n">
        <x:f>Assumptions!$C$12+Assumptions!$C$11*F322</x:f>
        <x:v>0.003</x:v>
      </x:c>
      <x:c r="K322" s="76" t="n">
        <x:f>I322-F322-J322</x:f>
        <x:v>-0.15499999999999992</x:v>
      </x:c>
      <x:c r="L322" s="74" t="n">
        <x:f>MAX(0,IFERROR(K322/(1-F322),0))</x:f>
        <x:v>0</x:v>
      </x:c>
      <x:c r="M322" s="74" t="n">
        <x:f>MIN(Assumptions!$C$8*L322,Assumptions!$C$5)</x:f>
        <x:v>0</x:v>
      </x:c>
      <x:c r="N322" s="78" t="n">
        <x:f>IF(ROW()=16,Assumptions!$C$4,V321)</x:f>
        <x:v>9820.781674242065</x:v>
      </x:c>
      <x:c r="O322" s="78" t="n">
        <x:f>IF(AND(K322&gt;IF(F322&gt;=Assumptions!$C$21,Assumptions!$C$10,Assumptions!$C$9),D322&gt;Assumptions!$C$23),N322*M322,0)</x:f>
        <x:v>0</x:v>
      </x:c>
      <x:c r="P322" s="78" t="n">
        <x:f>IFERROR(O322/F322,0)</x:f>
        <x:v>0</x:v>
      </x:c>
      <x:c r="Q322" s="78" t="n">
        <x:v>1</x:v>
      </x:c>
      <x:c r="R322" s="78" t="str">
        <x:v>Resolve</x:v>
      </x:c>
      <x:c r="S322" s="78" t="n">
        <x:f>IF(R322="Resolve",IF(IF(E322="YES",Q322,1-Q322)=1,P322*(1-F322),-O322),P322*(G322-F322))</x:f>
        <x:v>0</x:v>
      </x:c>
      <x:c r="T322" s="78" t="n">
        <x:f>P322*J322</x:f>
        <x:v>0</x:v>
      </x:c>
      <x:c r="U322" s="78" t="n">
        <x:f>S322-T322</x:f>
        <x:v>0</x:v>
      </x:c>
      <x:c r="V322" s="78" t="n">
        <x:f>N322+U322</x:f>
        <x:v>9820.781674242065</x:v>
      </x:c>
      <x:c r="W322" s="74" t="n">
        <x:f>IFERROR(V322/MAX($V$16:V322)-1,0)</x:f>
        <x:v>-0.028206572357205806</x:v>
      </x:c>
      <x:c r="X322" t="str">
        <x:f>IF(O322&gt;0,"TRADE","NO_TRADE")</x:f>
        <x:v>NO_TRADE</x:v>
      </x:c>
    </x:row>
    <x:row r="323">
      <x:c r="A323" s="66" t="n">
        <x:v>46167.5177662037</x:v>
      </x:c>
      <x:c r="B323" s="66" t="str">
        <x:v>MKT_1005</x:v>
      </x:c>
      <x:c r="C323" s="66" t="n">
        <x:v>46167.520833333336</x:v>
      </x:c>
      <x:c r="D323" t="n">
        <x:v>265</x:v>
      </x:c>
      <x:c r="E323" t="str">
        <x:v>YES</x:v>
      </x:c>
      <x:c r="F323" s="74" t="n">
        <x:v>0.68</x:v>
      </x:c>
      <x:c r="G323" s="74" t="n">
        <x:v>0.68</x:v>
      </x:c>
      <x:c r="H323" s="74" t="n">
        <x:v>0.7050000000000001</x:v>
      </x:c>
      <x:c r="I323" s="74" t="n">
        <x:f>IF(E323="YES",H323,1-H323)</x:f>
        <x:v>0.7050000000000001</x:v>
      </x:c>
      <x:c r="J323" s="76" t="n">
        <x:f>Assumptions!$C$12+Assumptions!$C$11*F323</x:f>
        <x:v>0.003</x:v>
      </x:c>
      <x:c r="K323" s="76" t="n">
        <x:f>I323-F323-J323</x:f>
        <x:v>0.022000000000000023</x:v>
      </x:c>
      <x:c r="L323" s="74" t="n">
        <x:f>MAX(0,IFERROR(K323/(1-F323),0))</x:f>
        <x:v>0.06875000000000009</x:v>
      </x:c>
      <x:c r="M323" s="74" t="n">
        <x:f>MIN(Assumptions!$C$8*L323,Assumptions!$C$5)</x:f>
        <x:v>0.005</x:v>
      </x:c>
      <x:c r="N323" s="78" t="n">
        <x:f>IF(ROW()=16,Assumptions!$C$4,V322)</x:f>
        <x:v>9820.781674242065</x:v>
      </x:c>
      <x:c r="O323" s="78" t="n">
        <x:f>IF(AND(K323&gt;IF(F323&gt;=Assumptions!$C$21,Assumptions!$C$10,Assumptions!$C$9),D323&gt;Assumptions!$C$23),N323*M323,0)</x:f>
        <x:v>49.10390837121033</x:v>
      </x:c>
      <x:c r="P323" s="78" t="n">
        <x:f>IFERROR(O323/F323,0)</x:f>
        <x:v>72.21162995766224</x:v>
      </x:c>
      <x:c r="Q323" s="78" t="n">
        <x:v>1</x:v>
      </x:c>
      <x:c r="R323" s="78" t="str">
        <x:v>Resolve</x:v>
      </x:c>
      <x:c r="S323" s="78" t="n">
        <x:f>IF(R323="Resolve",IF(IF(E323="YES",Q323,1-Q323)=1,P323*(1-F323),-O323),P323*(G323-F323))</x:f>
        <x:v>23.107721586451913</x:v>
      </x:c>
      <x:c r="T323" s="78" t="n">
        <x:f>P323*J323</x:f>
        <x:v>0.21663488987298674</x:v>
      </x:c>
      <x:c r="U323" s="78" t="n">
        <x:f>S323-T323</x:f>
        <x:v>22.891086696578927</x:v>
      </x:c>
      <x:c r="V323" s="78" t="n">
        <x:f>N323+U323</x:f>
        <x:v>9843.672760938645</x:v>
      </x:c>
      <x:c r="W323" s="74" t="n">
        <x:f>IFERROR(V323/MAX($V$16:V323)-1,0)</x:f>
        <x:v>-0.025941436206008972</x:v>
      </x:c>
      <x:c r="X323" t="str">
        <x:f>IF(O323&gt;0,"TRADE","NO_TRADE")</x:f>
        <x:v>TRADE</x:v>
      </x:c>
    </x:row>
    <x:row r="324">
      <x:c r="A324" s="66" t="n">
        <x:v>46167.51782407407</x:v>
      </x:c>
      <x:c r="B324" s="66" t="str">
        <x:v>MKT_1005</x:v>
      </x:c>
      <x:c r="C324" s="66" t="n">
        <x:v>46167.520833333336</x:v>
      </x:c>
      <x:c r="D324" t="n">
        <x:v>260</x:v>
      </x:c>
      <x:c r="E324" t="str">
        <x:v>YES</x:v>
      </x:c>
      <x:c r="F324" s="74" t="n">
        <x:v>0.91</x:v>
      </x:c>
      <x:c r="G324" s="74" t="n">
        <x:v>0.91</x:v>
      </x:c>
      <x:c r="H324" s="74" t="n">
        <x:v>0.9450000000000001</x:v>
      </x:c>
      <x:c r="I324" s="74" t="n">
        <x:f>IF(E324="YES",H324,1-H324)</x:f>
        <x:v>0.9450000000000001</x:v>
      </x:c>
      <x:c r="J324" s="76" t="n">
        <x:f>Assumptions!$C$12+Assumptions!$C$11*F324</x:f>
        <x:v>0.003</x:v>
      </x:c>
      <x:c r="K324" s="76" t="n">
        <x:f>I324-F324-J324</x:f>
        <x:v>0.03200000000000003</x:v>
      </x:c>
      <x:c r="L324" s="74" t="n">
        <x:f>MAX(0,IFERROR(K324/(1-F324),0))</x:f>
        <x:v>0.355555555555556</x:v>
      </x:c>
      <x:c r="M324" s="74" t="n">
        <x:f>MIN(Assumptions!$C$8*L324,Assumptions!$C$5)</x:f>
        <x:v>0.005</x:v>
      </x:c>
      <x:c r="N324" s="78" t="n">
        <x:f>IF(ROW()=16,Assumptions!$C$4,V323)</x:f>
        <x:v>9843.672760938645</x:v>
      </x:c>
      <x:c r="O324" s="78" t="n">
        <x:f>IF(AND(K324&gt;IF(F324&gt;=Assumptions!$C$21,Assumptions!$C$10,Assumptions!$C$9),D324&gt;Assumptions!$C$23),N324*M324,0)</x:f>
        <x:v>49.218363804693226</x:v>
      </x:c>
      <x:c r="P324" s="78" t="n">
        <x:f>IFERROR(O324/F324,0)</x:f>
        <x:v>54.08611407109146</x:v>
      </x:c>
      <x:c r="Q324" s="78" t="n">
        <x:v>0</x:v>
      </x:c>
      <x:c r="R324" s="78" t="str">
        <x:v>Resolve</x:v>
      </x:c>
      <x:c r="S324" s="78" t="n">
        <x:f>IF(R324="Resolve",IF(IF(E324="YES",Q324,1-Q324)=1,P324*(1-F324),-O324),P324*(G324-F324))</x:f>
        <x:v>-49.218363804693226</x:v>
      </x:c>
      <x:c r="T324" s="78" t="n">
        <x:f>P324*J324</x:f>
        <x:v>0.16225834221327437</x:v>
      </x:c>
      <x:c r="U324" s="78" t="n">
        <x:f>S324-T324</x:f>
        <x:v>-49.380622146906504</x:v>
      </x:c>
      <x:c r="V324" s="78" t="n">
        <x:f>N324+U324</x:f>
        <x:v>9794.29213879174</x:v>
      </x:c>
      <x:c r="W324" s="74" t="n">
        <x:f>IFERROR(V324/MAX($V$16:V324)-1,0)</x:f>
        <x:v>-0.030827784935371083</x:v>
      </x:c>
      <x:c r="X324" t="str">
        <x:f>IF(O324&gt;0,"TRADE","NO_TRADE")</x:f>
        <x:v>TRADE</x:v>
      </x:c>
    </x:row>
    <x:row r="325">
      <x:c r="A325" s="66" t="n">
        <x:v>46167.51788194444</x:v>
      </x:c>
      <x:c r="B325" s="66" t="str">
        <x:v>MKT_1005</x:v>
      </x:c>
      <x:c r="C325" s="66" t="n">
        <x:v>46167.520833333336</x:v>
      </x:c>
      <x:c r="D325" t="n">
        <x:v>255</x:v>
      </x:c>
      <x:c r="E325" t="str">
        <x:v>NO</x:v>
      </x:c>
      <x:c r="F325" s="74" t="n">
        <x:v>0.83</x:v>
      </x:c>
      <x:c r="G325" s="74" t="n">
        <x:v>0.83</x:v>
      </x:c>
      <x:c r="H325" s="74" t="n">
        <x:v>0.82</x:v>
      </x:c>
      <x:c r="I325" s="74" t="n">
        <x:f>IF(E325="YES",H325,1-H325)</x:f>
        <x:v>0.18000000000000005</x:v>
      </x:c>
      <x:c r="J325" s="76" t="n">
        <x:f>Assumptions!$C$12+Assumptions!$C$11*F325</x:f>
        <x:v>0.003</x:v>
      </x:c>
      <x:c r="K325" s="76" t="n">
        <x:f>I325-F325-J325</x:f>
        <x:v>-0.6529999999999999</x:v>
      </x:c>
      <x:c r="L325" s="74" t="n">
        <x:f>MAX(0,IFERROR(K325/(1-F325),0))</x:f>
        <x:v>0</x:v>
      </x:c>
      <x:c r="M325" s="74" t="n">
        <x:f>MIN(Assumptions!$C$8*L325,Assumptions!$C$5)</x:f>
        <x:v>0</x:v>
      </x:c>
      <x:c r="N325" s="78" t="n">
        <x:f>IF(ROW()=16,Assumptions!$C$4,V324)</x:f>
        <x:v>9794.29213879174</x:v>
      </x:c>
      <x:c r="O325" s="78" t="n">
        <x:f>IF(AND(K325&gt;IF(F325&gt;=Assumptions!$C$21,Assumptions!$C$10,Assumptions!$C$9),D325&gt;Assumptions!$C$23),N325*M325,0)</x:f>
        <x:v>0</x:v>
      </x:c>
      <x:c r="P325" s="78" t="n">
        <x:f>IFERROR(O325/F325,0)</x:f>
        <x:v>0</x:v>
      </x:c>
      <x:c r="Q325" s="78" t="n">
        <x:v>1</x:v>
      </x:c>
      <x:c r="R325" s="78" t="str">
        <x:v>Resolve</x:v>
      </x:c>
      <x:c r="S325" s="78" t="n">
        <x:f>IF(R325="Resolve",IF(IF(E325="YES",Q325,1-Q325)=1,P325*(1-F325),-O325),P325*(G325-F325))</x:f>
        <x:v>0</x:v>
      </x:c>
      <x:c r="T325" s="78" t="n">
        <x:f>P325*J325</x:f>
        <x:v>0</x:v>
      </x:c>
      <x:c r="U325" s="78" t="n">
        <x:f>S325-T325</x:f>
        <x:v>0</x:v>
      </x:c>
      <x:c r="V325" s="78" t="n">
        <x:f>N325+U325</x:f>
        <x:v>9794.29213879174</x:v>
      </x:c>
      <x:c r="W325" s="74" t="n">
        <x:f>IFERROR(V325/MAX($V$16:V325)-1,0)</x:f>
        <x:v>-0.030827784935371083</x:v>
      </x:c>
      <x:c r="X325" t="str">
        <x:f>IF(O325&gt;0,"TRADE","NO_TRADE")</x:f>
        <x:v>NO_TRADE</x:v>
      </x:c>
    </x:row>
    <x:row r="326">
      <x:c r="A326" s="66" t="n">
        <x:v>46167.51793981482</x:v>
      </x:c>
      <x:c r="B326" s="66" t="str">
        <x:v>MKT_1005</x:v>
      </x:c>
      <x:c r="C326" s="66" t="n">
        <x:v>46167.520833333336</x:v>
      </x:c>
      <x:c r="D326" t="n">
        <x:v>250</x:v>
      </x:c>
      <x:c r="E326" t="str">
        <x:v>YES</x:v>
      </x:c>
      <x:c r="F326" s="74" t="n">
        <x:v>0.52</x:v>
      </x:c>
      <x:c r="G326" s="74" t="n">
        <x:v>0.52</x:v>
      </x:c>
      <x:c r="H326" s="74" t="n">
        <x:v>0.535</x:v>
      </x:c>
      <x:c r="I326" s="74" t="n">
        <x:f>IF(E326="YES",H326,1-H326)</x:f>
        <x:v>0.535</x:v>
      </x:c>
      <x:c r="J326" s="76" t="n">
        <x:f>Assumptions!$C$12+Assumptions!$C$11*F326</x:f>
        <x:v>0.003</x:v>
      </x:c>
      <x:c r="K326" s="76" t="n">
        <x:f>I326-F326-J326</x:f>
        <x:v>0.012000000000000014</x:v>
      </x:c>
      <x:c r="L326" s="74" t="n">
        <x:f>MAX(0,IFERROR(K326/(1-F326),0))</x:f>
        <x:v>0.02500000000000003</x:v>
      </x:c>
      <x:c r="M326" s="74" t="n">
        <x:f>MIN(Assumptions!$C$8*L326,Assumptions!$C$5)</x:f>
        <x:v>0.005</x:v>
      </x:c>
      <x:c r="N326" s="78" t="n">
        <x:f>IF(ROW()=16,Assumptions!$C$4,V325)</x:f>
        <x:v>9794.29213879174</x:v>
      </x:c>
      <x:c r="O326" s="78" t="n">
        <x:f>IF(AND(K326&gt;IF(F326&gt;=Assumptions!$C$21,Assumptions!$C$10,Assumptions!$C$9),D326&gt;Assumptions!$C$23),N326*M326,0)</x:f>
        <x:v>48.9714606939587</x:v>
      </x:c>
      <x:c r="P326" s="78" t="n">
        <x:f>IFERROR(O326/F326,0)</x:f>
        <x:v>94.17588594992057</x:v>
      </x:c>
      <x:c r="Q326" s="78" t="n">
        <x:v>1</x:v>
      </x:c>
      <x:c r="R326" s="78" t="str">
        <x:v>Resolve</x:v>
      </x:c>
      <x:c r="S326" s="78" t="n">
        <x:f>IF(R326="Resolve",IF(IF(E326="YES",Q326,1-Q326)=1,P326*(1-F326),-O326),P326*(G326-F326))</x:f>
        <x:v>45.20442525596187</x:v>
      </x:c>
      <x:c r="T326" s="78" t="n">
        <x:f>P326*J326</x:f>
        <x:v>0.2825276578497617</x:v>
      </x:c>
      <x:c r="U326" s="78" t="n">
        <x:f>S326-T326</x:f>
        <x:v>44.92189759811211</x:v>
      </x:c>
      <x:c r="V326" s="78" t="n">
        <x:f>N326+U326</x:f>
        <x:v>9839.214036389852</x:v>
      </x:c>
      <x:c r="W326" s="74" t="n">
        <x:f>IFERROR(V326/MAX($V$16:V326)-1,0)</x:f>
        <x:v>-0.026382639295122634</x:v>
      </x:c>
      <x:c r="X326" t="str">
        <x:f>IF(O326&gt;0,"TRADE","NO_TRADE")</x:f>
        <x:v>TRADE</x:v>
      </x:c>
    </x:row>
    <x:row r="327">
      <x:c r="A327" s="66" t="n">
        <x:v>46167.51799768519</x:v>
      </x:c>
      <x:c r="B327" s="66" t="str">
        <x:v>MKT_1005</x:v>
      </x:c>
      <x:c r="C327" s="66" t="n">
        <x:v>46167.520833333336</x:v>
      </x:c>
      <x:c r="D327" t="n">
        <x:v>245</x:v>
      </x:c>
      <x:c r="E327" t="str">
        <x:v>YES</x:v>
      </x:c>
      <x:c r="F327" s="74" t="n">
        <x:v>0.61</x:v>
      </x:c>
      <x:c r="G327" s="74" t="n">
        <x:v>0.61</x:v>
      </x:c>
      <x:c r="H327" s="74" t="n">
        <x:v>0.63</x:v>
      </x:c>
      <x:c r="I327" s="74" t="n">
        <x:f>IF(E327="YES",H327,1-H327)</x:f>
        <x:v>0.63</x:v>
      </x:c>
      <x:c r="J327" s="76" t="n">
        <x:f>Assumptions!$C$12+Assumptions!$C$11*F327</x:f>
        <x:v>0.003</x:v>
      </x:c>
      <x:c r="K327" s="76" t="n">
        <x:f>I327-F327-J327</x:f>
        <x:v>0.01700000000000002</x:v>
      </x:c>
      <x:c r="L327" s="74" t="n">
        <x:f>MAX(0,IFERROR(K327/(1-F327),0))</x:f>
        <x:v>0.043589743589743636</x:v>
      </x:c>
      <x:c r="M327" s="74" t="n">
        <x:f>MIN(Assumptions!$C$8*L327,Assumptions!$C$5)</x:f>
        <x:v>0.005</x:v>
      </x:c>
      <x:c r="N327" s="78" t="n">
        <x:f>IF(ROW()=16,Assumptions!$C$4,V326)</x:f>
        <x:v>9839.214036389852</x:v>
      </x:c>
      <x:c r="O327" s="78" t="n">
        <x:f>IF(AND(K327&gt;IF(F327&gt;=Assumptions!$C$21,Assumptions!$C$10,Assumptions!$C$9),D327&gt;Assumptions!$C$23),N327*M327,0)</x:f>
        <x:v>49.19607018194927</x:v>
      </x:c>
      <x:c r="P327" s="78" t="n">
        <x:f>IFERROR(O327/F327,0)</x:f>
        <x:v>80.6492953802447</x:v>
      </x:c>
      <x:c r="Q327" s="78" t="n">
        <x:v>0</x:v>
      </x:c>
      <x:c r="R327" s="78" t="str">
        <x:v>Resolve</x:v>
      </x:c>
      <x:c r="S327" s="78" t="n">
        <x:f>IF(R327="Resolve",IF(IF(E327="YES",Q327,1-Q327)=1,P327*(1-F327),-O327),P327*(G327-F327))</x:f>
        <x:v>-49.19607018194927</x:v>
      </x:c>
      <x:c r="T327" s="78" t="n">
        <x:f>P327*J327</x:f>
        <x:v>0.2419478861407341</x:v>
      </x:c>
      <x:c r="U327" s="78" t="n">
        <x:f>S327-T327</x:f>
        <x:v>-49.43801806809</x:v>
      </x:c>
      <x:c r="V327" s="78" t="n">
        <x:f>N327+U327</x:f>
        <x:v>9789.776018321763</x:v>
      </x:c>
      <x:c r="W327" s="74" t="n">
        <x:f>IFERROR(V327/MAX($V$16:V327)-1,0)</x:f>
        <x:v>-0.031274667509156084</x:v>
      </x:c>
      <x:c r="X327" t="str">
        <x:f>IF(O327&gt;0,"TRADE","NO_TRADE")</x:f>
        <x:v>TRADE</x:v>
      </x:c>
    </x:row>
    <x:row r="328">
      <x:c r="A328" s="66" t="n">
        <x:v>46167.518055555556</x:v>
      </x:c>
      <x:c r="B328" s="66" t="str">
        <x:v>MKT_1005</x:v>
      </x:c>
      <x:c r="C328" s="66" t="n">
        <x:v>46167.520833333336</x:v>
      </x:c>
      <x:c r="D328" t="n">
        <x:v>240</x:v>
      </x:c>
      <x:c r="E328" t="str">
        <x:v>NO</x:v>
      </x:c>
      <x:c r="F328" s="74" t="n">
        <x:v>0.74</x:v>
      </x:c>
      <x:c r="G328" s="74" t="n">
        <x:v>0.74</x:v>
      </x:c>
      <x:c r="H328" s="74" t="n">
        <x:v>0.735</x:v>
      </x:c>
      <x:c r="I328" s="74" t="n">
        <x:f>IF(E328="YES",H328,1-H328)</x:f>
        <x:v>0.265</x:v>
      </x:c>
      <x:c r="J328" s="76" t="n">
        <x:f>Assumptions!$C$12+Assumptions!$C$11*F328</x:f>
        <x:v>0.003</x:v>
      </x:c>
      <x:c r="K328" s="76" t="n">
        <x:f>I328-F328-J328</x:f>
        <x:v>-0.478</x:v>
      </x:c>
      <x:c r="L328" s="74" t="n">
        <x:f>MAX(0,IFERROR(K328/(1-F328),0))</x:f>
        <x:v>0</x:v>
      </x:c>
      <x:c r="M328" s="74" t="n">
        <x:f>MIN(Assumptions!$C$8*L328,Assumptions!$C$5)</x:f>
        <x:v>0</x:v>
      </x:c>
      <x:c r="N328" s="78" t="n">
        <x:f>IF(ROW()=16,Assumptions!$C$4,V327)</x:f>
        <x:v>9789.776018321763</x:v>
      </x:c>
      <x:c r="O328" s="78" t="n">
        <x:f>IF(AND(K328&gt;IF(F328&gt;=Assumptions!$C$21,Assumptions!$C$10,Assumptions!$C$9),D328&gt;Assumptions!$C$23),N328*M328,0)</x:f>
        <x:v>0</x:v>
      </x:c>
      <x:c r="P328" s="78" t="n">
        <x:f>IFERROR(O328/F328,0)</x:f>
        <x:v>0</x:v>
      </x:c>
      <x:c r="Q328" s="78" t="n">
        <x:v>1</x:v>
      </x:c>
      <x:c r="R328" s="78" t="str">
        <x:v>Resolve</x:v>
      </x:c>
      <x:c r="S328" s="78" t="n">
        <x:f>IF(R328="Resolve",IF(IF(E328="YES",Q328,1-Q328)=1,P328*(1-F328),-O328),P328*(G328-F328))</x:f>
        <x:v>0</x:v>
      </x:c>
      <x:c r="T328" s="78" t="n">
        <x:f>P328*J328</x:f>
        <x:v>0</x:v>
      </x:c>
      <x:c r="U328" s="78" t="n">
        <x:f>S328-T328</x:f>
        <x:v>0</x:v>
      </x:c>
      <x:c r="V328" s="78" t="n">
        <x:f>N328+U328</x:f>
        <x:v>9789.776018321763</x:v>
      </x:c>
      <x:c r="W328" s="74" t="n">
        <x:f>IFERROR(V328/MAX($V$16:V328)-1,0)</x:f>
        <x:v>-0.031274667509156084</x:v>
      </x:c>
      <x:c r="X328" t="str">
        <x:f>IF(O328&gt;0,"TRADE","NO_TRADE")</x:f>
        <x:v>NO_TRADE</x:v>
      </x:c>
    </x:row>
    <x:row r="329">
      <x:c r="A329" s="66" t="n">
        <x:v>46167.518113425926</x:v>
      </x:c>
      <x:c r="B329" s="66" t="str">
        <x:v>MKT_1005</x:v>
      </x:c>
      <x:c r="C329" s="66" t="n">
        <x:v>46167.520833333336</x:v>
      </x:c>
      <x:c r="D329" t="n">
        <x:v>235</x:v>
      </x:c>
      <x:c r="E329" t="str">
        <x:v>YES</x:v>
      </x:c>
      <x:c r="F329" s="74" t="n">
        <x:v>0.88</x:v>
      </x:c>
      <x:c r="G329" s="74" t="n">
        <x:v>0.88</x:v>
      </x:c>
      <x:c r="H329" s="74" t="n">
        <x:v>0.91</x:v>
      </x:c>
      <x:c r="I329" s="74" t="n">
        <x:f>IF(E329="YES",H329,1-H329)</x:f>
        <x:v>0.91</x:v>
      </x:c>
      <x:c r="J329" s="76" t="n">
        <x:f>Assumptions!$C$12+Assumptions!$C$11*F329</x:f>
        <x:v>0.003</x:v>
      </x:c>
      <x:c r="K329" s="76" t="n">
        <x:f>I329-F329-J329</x:f>
        <x:v>0.027000000000000027</x:v>
      </x:c>
      <x:c r="L329" s="74" t="n">
        <x:f>MAX(0,IFERROR(K329/(1-F329),0))</x:f>
        <x:v>0.22500000000000023</x:v>
      </x:c>
      <x:c r="M329" s="74" t="n">
        <x:f>MIN(Assumptions!$C$8*L329,Assumptions!$C$5)</x:f>
        <x:v>0.005</x:v>
      </x:c>
      <x:c r="N329" s="78" t="n">
        <x:f>IF(ROW()=16,Assumptions!$C$4,V328)</x:f>
        <x:v>9789.776018321763</x:v>
      </x:c>
      <x:c r="O329" s="78" t="n">
        <x:f>IF(AND(K329&gt;IF(F329&gt;=Assumptions!$C$21,Assumptions!$C$10,Assumptions!$C$9),D329&gt;Assumptions!$C$23),N329*M329,0)</x:f>
        <x:v>48.94888009160882</x:v>
      </x:c>
      <x:c r="P329" s="78" t="n">
        <x:f>IFERROR(O329/F329,0)</x:f>
        <x:v>55.62372737682821</x:v>
      </x:c>
      <x:c r="Q329" s="78" t="n">
        <x:v>1</x:v>
      </x:c>
      <x:c r="R329" s="78" t="str">
        <x:v>Resolve</x:v>
      </x:c>
      <x:c r="S329" s="78" t="n">
        <x:f>IF(R329="Resolve",IF(IF(E329="YES",Q329,1-Q329)=1,P329*(1-F329),-O329),P329*(G329-F329))</x:f>
        <x:v>6.674847285219385</x:v>
      </x:c>
      <x:c r="T329" s="78" t="n">
        <x:f>P329*J329</x:f>
        <x:v>0.16687118213048463</x:v>
      </x:c>
      <x:c r="U329" s="78" t="n">
        <x:f>S329-T329</x:f>
        <x:v>6.5079761030889</x:v>
      </x:c>
      <x:c r="V329" s="78" t="n">
        <x:f>N329+U329</x:f>
        <x:v>9796.283994424852</x:v>
      </x:c>
      <x:c r="W329" s="74" t="n">
        <x:f>IFERROR(V329/MAX($V$16:V329)-1,0)</x:f>
        <x:v>-0.030630685327897922</x:v>
      </x:c>
      <x:c r="X329" t="str">
        <x:f>IF(O329&gt;0,"TRADE","NO_TRADE")</x:f>
        <x:v>TRADE</x:v>
      </x:c>
    </x:row>
    <x:row r="330">
      <x:c r="A330" s="66" t="n">
        <x:v>46167.518171296295</x:v>
      </x:c>
      <x:c r="B330" s="66" t="str">
        <x:v>MKT_1005</x:v>
      </x:c>
      <x:c r="C330" s="66" t="n">
        <x:v>46167.520833333336</x:v>
      </x:c>
      <x:c r="D330" t="n">
        <x:v>230</x:v>
      </x:c>
      <x:c r="E330" t="str">
        <x:v>YES</x:v>
      </x:c>
      <x:c r="F330" s="74" t="n">
        <x:v>0.94</x:v>
      </x:c>
      <x:c r="G330" s="74" t="n">
        <x:v>0.94</x:v>
      </x:c>
      <x:c r="H330" s="74" t="n">
        <x:v>0.98</x:v>
      </x:c>
      <x:c r="I330" s="74" t="n">
        <x:f>IF(E330="YES",H330,1-H330)</x:f>
        <x:v>0.98</x:v>
      </x:c>
      <x:c r="J330" s="76" t="n">
        <x:f>Assumptions!$C$12+Assumptions!$C$11*F330</x:f>
        <x:v>0.003</x:v>
      </x:c>
      <x:c r="K330" s="76" t="n">
        <x:f>I330-F330-J330</x:f>
        <x:v>0.03700000000000003</x:v>
      </x:c>
      <x:c r="L330" s="74" t="n">
        <x:f>MAX(0,IFERROR(K330/(1-F330),0))</x:f>
        <x:v>0.6166666666666667</x:v>
      </x:c>
      <x:c r="M330" s="74" t="n">
        <x:f>MIN(Assumptions!$C$8*L330,Assumptions!$C$5)</x:f>
        <x:v>0.005</x:v>
      </x:c>
      <x:c r="N330" s="78" t="n">
        <x:f>IF(ROW()=16,Assumptions!$C$4,V329)</x:f>
        <x:v>9796.283994424852</x:v>
      </x:c>
      <x:c r="O330" s="78" t="n">
        <x:f>IF(AND(K330&gt;IF(F330&gt;=Assumptions!$C$21,Assumptions!$C$10,Assumptions!$C$9),D330&gt;Assumptions!$C$23),N330*M330,0)</x:f>
        <x:v>48.98141997212426</x:v>
      </x:c>
      <x:c r="P330" s="78" t="n">
        <x:f>IFERROR(O330/F330,0)</x:f>
        <x:v>52.107893587366235</x:v>
      </x:c>
      <x:c r="Q330" s="78" t="n">
        <x:v>1</x:v>
      </x:c>
      <x:c r="R330" s="78" t="str">
        <x:v>Resolve</x:v>
      </x:c>
      <x:c r="S330" s="78" t="n">
        <x:f>IF(R330="Resolve",IF(IF(E330="YES",Q330,1-Q330)=1,P330*(1-F330),-O330),P330*(G330-F330))</x:f>
        <x:v>3.1264736152419768</x:v>
      </x:c>
      <x:c r="T330" s="78" t="n">
        <x:f>P330*J330</x:f>
        <x:v>0.1563236807620987</x:v>
      </x:c>
      <x:c r="U330" s="78" t="n">
        <x:f>S330-T330</x:f>
        <x:v>2.970149934479878</x:v>
      </x:c>
      <x:c r="V330" s="78" t="n">
        <x:f>N330+U330</x:f>
        <x:v>9799.25414435933</x:v>
      </x:c>
      <x:c r="W330" s="74" t="n">
        <x:f>IFERROR(V330/MAX($V$16:V330)-1,0)</x:f>
        <x:v>-0.03033678080164104</x:v>
      </x:c>
      <x:c r="X330" t="str">
        <x:f>IF(O330&gt;0,"TRADE","NO_TRADE")</x:f>
        <x:v>TRADE</x:v>
      </x:c>
    </x:row>
    <x:row r="331">
      <x:c r="A331" s="66" t="n">
        <x:v>46167.518229166664</x:v>
      </x:c>
      <x:c r="B331" s="66" t="str">
        <x:v>MKT_1005</x:v>
      </x:c>
      <x:c r="C331" s="66" t="n">
        <x:v>46167.520833333336</x:v>
      </x:c>
      <x:c r="D331" t="n">
        <x:v>225</x:v>
      </x:c>
      <x:c r="E331" t="str">
        <x:v>NO</x:v>
      </x:c>
      <x:c r="F331" s="74" t="n">
        <x:v>0.95</x:v>
      </x:c>
      <x:c r="G331" s="74" t="n">
        <x:v>0.95</x:v>
      </x:c>
      <x:c r="H331" s="74" t="n">
        <x:v>0.968</x:v>
      </x:c>
      <x:c r="I331" s="74" t="n">
        <x:f>IF(E331="YES",H331,1-H331)</x:f>
        <x:v>0.03200000000000003</x:v>
      </x:c>
      <x:c r="J331" s="76" t="n">
        <x:f>Assumptions!$C$12+Assumptions!$C$11*F331</x:f>
        <x:v>0.003</x:v>
      </x:c>
      <x:c r="K331" s="76" t="n">
        <x:f>I331-F331-J331</x:f>
        <x:v>-0.9209999999999999</x:v>
      </x:c>
      <x:c r="L331" s="74" t="n">
        <x:f>MAX(0,IFERROR(K331/(1-F331),0))</x:f>
        <x:v>0</x:v>
      </x:c>
      <x:c r="M331" s="74" t="n">
        <x:f>MIN(Assumptions!$C$8*L331,Assumptions!$C$5)</x:f>
        <x:v>0</x:v>
      </x:c>
      <x:c r="N331" s="78" t="n">
        <x:f>IF(ROW()=16,Assumptions!$C$4,V330)</x:f>
        <x:v>9799.25414435933</x:v>
      </x:c>
      <x:c r="O331" s="78" t="n">
        <x:f>IF(AND(K331&gt;IF(F331&gt;=Assumptions!$C$21,Assumptions!$C$10,Assumptions!$C$9),D331&gt;Assumptions!$C$23),N331*M331,0)</x:f>
        <x:v>0</x:v>
      </x:c>
      <x:c r="P331" s="78" t="n">
        <x:f>IFERROR(O331/F331,0)</x:f>
        <x:v>0</x:v>
      </x:c>
      <x:c r="Q331" s="78" t="n">
        <x:v>0</x:v>
      </x:c>
      <x:c r="R331" s="78" t="str">
        <x:v>Resolve</x:v>
      </x:c>
      <x:c r="S331" s="78" t="n">
        <x:f>IF(R331="Resolve",IF(IF(E331="YES",Q331,1-Q331)=1,P331*(1-F331),-O331),P331*(G331-F331))</x:f>
        <x:v>0</x:v>
      </x:c>
      <x:c r="T331" s="78" t="n">
        <x:f>P331*J331</x:f>
        <x:v>0</x:v>
      </x:c>
      <x:c r="U331" s="78" t="n">
        <x:f>S331-T331</x:f>
        <x:v>0</x:v>
      </x:c>
      <x:c r="V331" s="78" t="n">
        <x:f>N331+U331</x:f>
        <x:v>9799.25414435933</x:v>
      </x:c>
      <x:c r="W331" s="74" t="n">
        <x:f>IFERROR(V331/MAX($V$16:V331)-1,0)</x:f>
        <x:v>-0.03033678080164104</x:v>
      </x:c>
      <x:c r="X331" t="str">
        <x:f>IF(O331&gt;0,"TRADE","NO_TRADE")</x:f>
        <x:v>NO_TRADE</x:v>
      </x:c>
    </x:row>
    <x:row r="332">
      <x:c r="A332" s="66" t="n">
        <x:v>46167.51828703703</x:v>
      </x:c>
      <x:c r="B332" s="66" t="str">
        <x:v>MKT_1005</x:v>
      </x:c>
      <x:c r="C332" s="66" t="n">
        <x:v>46167.520833333336</x:v>
      </x:c>
      <x:c r="D332" t="n">
        <x:v>220</x:v>
      </x:c>
      <x:c r="E332" t="str">
        <x:v>YES</x:v>
      </x:c>
      <x:c r="F332" s="74" t="n">
        <x:v>0.57</x:v>
      </x:c>
      <x:c r="G332" s="74" t="n">
        <x:v>0.57</x:v>
      </x:c>
      <x:c r="H332" s="74" t="n">
        <x:v>0.582</x:v>
      </x:c>
      <x:c r="I332" s="74" t="n">
        <x:f>IF(E332="YES",H332,1-H332)</x:f>
        <x:v>0.582</x:v>
      </x:c>
      <x:c r="J332" s="76" t="n">
        <x:f>Assumptions!$C$12+Assumptions!$C$11*F332</x:f>
        <x:v>0.003</x:v>
      </x:c>
      <x:c r="K332" s="76" t="n">
        <x:f>I332-F332-J332</x:f>
        <x:v>0.009000000000000011</x:v>
      </x:c>
      <x:c r="L332" s="74" t="n">
        <x:f>MAX(0,IFERROR(K332/(1-F332),0))</x:f>
        <x:v>0.02093023255813956</x:v>
      </x:c>
      <x:c r="M332" s="74" t="n">
        <x:f>MIN(Assumptions!$C$8*L332,Assumptions!$C$5)</x:f>
        <x:v>0.005</x:v>
      </x:c>
      <x:c r="N332" s="78" t="n">
        <x:f>IF(ROW()=16,Assumptions!$C$4,V331)</x:f>
        <x:v>9799.25414435933</x:v>
      </x:c>
      <x:c r="O332" s="78" t="n">
        <x:f>IF(AND(K332&gt;IF(F332&gt;=Assumptions!$C$21,Assumptions!$C$10,Assumptions!$C$9),D332&gt;Assumptions!$C$23),N332*M332,0)</x:f>
        <x:v>48.996270721796655</x:v>
      </x:c>
      <x:c r="P332" s="78" t="n">
        <x:f>IFERROR(O332/F332,0)</x:f>
        <x:v>85.95836968736256</x:v>
      </x:c>
      <x:c r="Q332" s="78" t="n">
        <x:v>1</x:v>
      </x:c>
      <x:c r="R332" s="78" t="str">
        <x:v>Resolve</x:v>
      </x:c>
      <x:c r="S332" s="78" t="n">
        <x:f>IF(R332="Resolve",IF(IF(E332="YES",Q332,1-Q332)=1,P332*(1-F332),-O332),P332*(G332-F332))</x:f>
        <x:v>36.96209896556591</x:v>
      </x:c>
      <x:c r="T332" s="78" t="n">
        <x:f>P332*J332</x:f>
        <x:v>0.2578751090620877</x:v>
      </x:c>
      <x:c r="U332" s="78" t="n">
        <x:f>S332-T332</x:f>
        <x:v>36.704223856503816</x:v>
      </x:c>
      <x:c r="V332" s="78" t="n">
        <x:f>N332+U332</x:f>
        <x:v>9835.958368215835</x:v>
      </x:c>
      <x:c r="W332" s="74" t="n">
        <x:f>IFERROR(V332/MAX($V$16:V332)-1,0)</x:f>
        <x:v>-0.026704796638503336</x:v>
      </x:c>
      <x:c r="X332" t="str">
        <x:f>IF(O332&gt;0,"TRADE","NO_TRADE")</x:f>
        <x:v>TRADE</x:v>
      </x:c>
    </x:row>
    <x:row r="333">
      <x:c r="A333" s="66" t="n">
        <x:v>46167.51834490741</x:v>
      </x:c>
      <x:c r="B333" s="66" t="str">
        <x:v>MKT_1005</x:v>
      </x:c>
      <x:c r="C333" s="66" t="n">
        <x:v>46167.520833333336</x:v>
      </x:c>
      <x:c r="D333" t="n">
        <x:v>215</x:v>
      </x:c>
      <x:c r="E333" t="str">
        <x:v>YES</x:v>
      </x:c>
      <x:c r="F333" s="74" t="n">
        <x:v>0.68</x:v>
      </x:c>
      <x:c r="G333" s="74" t="n">
        <x:v>0.68</x:v>
      </x:c>
      <x:c r="H333" s="74" t="n">
        <x:v>0.7050000000000001</x:v>
      </x:c>
      <x:c r="I333" s="74" t="n">
        <x:f>IF(E333="YES",H333,1-H333)</x:f>
        <x:v>0.7050000000000001</x:v>
      </x:c>
      <x:c r="J333" s="76" t="n">
        <x:f>Assumptions!$C$12+Assumptions!$C$11*F333</x:f>
        <x:v>0.003</x:v>
      </x:c>
      <x:c r="K333" s="76" t="n">
        <x:f>I333-F333-J333</x:f>
        <x:v>0.022000000000000023</x:v>
      </x:c>
      <x:c r="L333" s="74" t="n">
        <x:f>MAX(0,IFERROR(K333/(1-F333),0))</x:f>
        <x:v>0.06875000000000009</x:v>
      </x:c>
      <x:c r="M333" s="74" t="n">
        <x:f>MIN(Assumptions!$C$8*L333,Assumptions!$C$5)</x:f>
        <x:v>0.005</x:v>
      </x:c>
      <x:c r="N333" s="78" t="n">
        <x:f>IF(ROW()=16,Assumptions!$C$4,V332)</x:f>
        <x:v>9835.958368215835</x:v>
      </x:c>
      <x:c r="O333" s="78" t="n">
        <x:f>IF(AND(K333&gt;IF(F333&gt;=Assumptions!$C$21,Assumptions!$C$10,Assumptions!$C$9),D333&gt;Assumptions!$C$23),N333*M333,0)</x:f>
        <x:v>49.17979184107918</x:v>
      </x:c>
      <x:c r="P333" s="78" t="n">
        <x:f>IFERROR(O333/F333,0)</x:f>
        <x:v>72.32322329570466</x:v>
      </x:c>
      <x:c r="Q333" s="78" t="n">
        <x:v>1</x:v>
      </x:c>
      <x:c r="R333" s="78" t="str">
        <x:v>Resolve</x:v>
      </x:c>
      <x:c r="S333" s="78" t="n">
        <x:f>IF(R333="Resolve",IF(IF(E333="YES",Q333,1-Q333)=1,P333*(1-F333),-O333),P333*(G333-F333))</x:f>
        <x:v>23.14343145462549</x:v>
      </x:c>
      <x:c r="T333" s="78" t="n">
        <x:f>P333*J333</x:f>
        <x:v>0.216969669887114</x:v>
      </x:c>
      <x:c r="U333" s="78" t="n">
        <x:f>S333-T333</x:f>
        <x:v>22.926461784738375</x:v>
      </x:c>
      <x:c r="V333" s="78" t="n">
        <x:f>N333+U333</x:f>
        <x:v>9858.884830000574</x:v>
      </x:c>
      <x:c r="W333" s="74" t="n">
        <x:f>IFERROR(V333/MAX($V$16:V333)-1,0)</x:f>
        <x:v>-0.024436160024785658</x:v>
      </x:c>
      <x:c r="X333" t="str">
        <x:f>IF(O333&gt;0,"TRADE","NO_TRADE")</x:f>
        <x:v>TRADE</x:v>
      </x:c>
    </x:row>
    <x:row r="334">
      <x:c r="A334" s="66" t="n">
        <x:v>46167.51840277778</x:v>
      </x:c>
      <x:c r="B334" s="66" t="str">
        <x:v>MKT_1005</x:v>
      </x:c>
      <x:c r="C334" s="66" t="n">
        <x:v>46167.520833333336</x:v>
      </x:c>
      <x:c r="D334" t="n">
        <x:v>210</x:v>
      </x:c>
      <x:c r="E334" t="str">
        <x:v>NO</x:v>
      </x:c>
      <x:c r="F334" s="74" t="n">
        <x:v>0.91</x:v>
      </x:c>
      <x:c r="G334" s="74" t="n">
        <x:v>0.91</x:v>
      </x:c>
      <x:c r="H334" s="74" t="n">
        <x:v>0.9450000000000001</x:v>
      </x:c>
      <x:c r="I334" s="74" t="n">
        <x:f>IF(E334="YES",H334,1-H334)</x:f>
        <x:v>0.05499999999999994</x:v>
      </x:c>
      <x:c r="J334" s="76" t="n">
        <x:f>Assumptions!$C$12+Assumptions!$C$11*F334</x:f>
        <x:v>0.003</x:v>
      </x:c>
      <x:c r="K334" s="76" t="n">
        <x:f>I334-F334-J334</x:f>
        <x:v>-0.8580000000000001</x:v>
      </x:c>
      <x:c r="L334" s="74" t="n">
        <x:f>MAX(0,IFERROR(K334/(1-F334),0))</x:f>
        <x:v>0</x:v>
      </x:c>
      <x:c r="M334" s="74" t="n">
        <x:f>MIN(Assumptions!$C$8*L334,Assumptions!$C$5)</x:f>
        <x:v>0</x:v>
      </x:c>
      <x:c r="N334" s="78" t="n">
        <x:f>IF(ROW()=16,Assumptions!$C$4,V333)</x:f>
        <x:v>9858.884830000574</x:v>
      </x:c>
      <x:c r="O334" s="78" t="n">
        <x:f>IF(AND(K334&gt;IF(F334&gt;=Assumptions!$C$21,Assumptions!$C$10,Assumptions!$C$9),D334&gt;Assumptions!$C$23),N334*M334,0)</x:f>
        <x:v>0</x:v>
      </x:c>
      <x:c r="P334" s="78" t="n">
        <x:f>IFERROR(O334/F334,0)</x:f>
        <x:v>0</x:v>
      </x:c>
      <x:c r="Q334" s="78" t="n">
        <x:v>0</x:v>
      </x:c>
      <x:c r="R334" s="78" t="str">
        <x:v>Resolve</x:v>
      </x:c>
      <x:c r="S334" s="78" t="n">
        <x:f>IF(R334="Resolve",IF(IF(E334="YES",Q334,1-Q334)=1,P334*(1-F334),-O334),P334*(G334-F334))</x:f>
        <x:v>0</x:v>
      </x:c>
      <x:c r="T334" s="78" t="n">
        <x:f>P334*J334</x:f>
        <x:v>0</x:v>
      </x:c>
      <x:c r="U334" s="78" t="n">
        <x:f>S334-T334</x:f>
        <x:v>0</x:v>
      </x:c>
      <x:c r="V334" s="78" t="n">
        <x:f>N334+U334</x:f>
        <x:v>9858.884830000574</x:v>
      </x:c>
      <x:c r="W334" s="74" t="n">
        <x:f>IFERROR(V334/MAX($V$16:V334)-1,0)</x:f>
        <x:v>-0.024436160024785658</x:v>
      </x:c>
      <x:c r="X334" t="str">
        <x:f>IF(O334&gt;0,"TRADE","NO_TRADE")</x:f>
        <x:v>NO_TRADE</x:v>
      </x:c>
    </x:row>
    <x:row r="335">
      <x:c r="A335" s="66" t="n">
        <x:v>46167.51846064815</x:v>
      </x:c>
      <x:c r="B335" s="66" t="str">
        <x:v>MKT_1005</x:v>
      </x:c>
      <x:c r="C335" s="66" t="n">
        <x:v>46167.520833333336</x:v>
      </x:c>
      <x:c r="D335" t="n">
        <x:v>205</x:v>
      </x:c>
      <x:c r="E335" t="str">
        <x:v>YES</x:v>
      </x:c>
      <x:c r="F335" s="74" t="n">
        <x:v>0.83</x:v>
      </x:c>
      <x:c r="G335" s="74" t="n">
        <x:v>0.83</x:v>
      </x:c>
      <x:c r="H335" s="74" t="n">
        <x:v>0.82</x:v>
      </x:c>
      <x:c r="I335" s="74" t="n">
        <x:f>IF(E335="YES",H335,1-H335)</x:f>
        <x:v>0.82</x:v>
      </x:c>
      <x:c r="J335" s="76" t="n">
        <x:f>Assumptions!$C$12+Assumptions!$C$11*F335</x:f>
        <x:v>0.003</x:v>
      </x:c>
      <x:c r="K335" s="76" t="n">
        <x:f>I335-F335-J335</x:f>
        <x:v>-0.013000000000000008</x:v>
      </x:c>
      <x:c r="L335" s="74" t="n">
        <x:f>MAX(0,IFERROR(K335/(1-F335),0))</x:f>
        <x:v>0</x:v>
      </x:c>
      <x:c r="M335" s="74" t="n">
        <x:f>MIN(Assumptions!$C$8*L335,Assumptions!$C$5)</x:f>
        <x:v>0</x:v>
      </x:c>
      <x:c r="N335" s="78" t="n">
        <x:f>IF(ROW()=16,Assumptions!$C$4,V334)</x:f>
        <x:v>9858.884830000574</x:v>
      </x:c>
      <x:c r="O335" s="78" t="n">
        <x:f>IF(AND(K335&gt;IF(F335&gt;=Assumptions!$C$21,Assumptions!$C$10,Assumptions!$C$9),D335&gt;Assumptions!$C$23),N335*M335,0)</x:f>
        <x:v>0</x:v>
      </x:c>
      <x:c r="P335" s="78" t="n">
        <x:f>IFERROR(O335/F335,0)</x:f>
        <x:v>0</x:v>
      </x:c>
      <x:c r="Q335" s="78" t="n">
        <x:v>1</x:v>
      </x:c>
      <x:c r="R335" s="78" t="str">
        <x:v>Resolve</x:v>
      </x:c>
      <x:c r="S335" s="78" t="n">
        <x:f>IF(R335="Resolve",IF(IF(E335="YES",Q335,1-Q335)=1,P335*(1-F335),-O335),P335*(G335-F335))</x:f>
        <x:v>0</x:v>
      </x:c>
      <x:c r="T335" s="78" t="n">
        <x:f>P335*J335</x:f>
        <x:v>0</x:v>
      </x:c>
      <x:c r="U335" s="78" t="n">
        <x:f>S335-T335</x:f>
        <x:v>0</x:v>
      </x:c>
      <x:c r="V335" s="78" t="n">
        <x:f>N335+U335</x:f>
        <x:v>9858.884830000574</x:v>
      </x:c>
      <x:c r="W335" s="74" t="n">
        <x:f>IFERROR(V335/MAX($V$16:V335)-1,0)</x:f>
        <x:v>-0.024436160024785658</x:v>
      </x:c>
      <x:c r="X335" t="str">
        <x:f>IF(O335&gt;0,"TRADE","NO_TRADE")</x:f>
        <x:v>NO_TRADE</x:v>
      </x:c>
    </x:row>
    <x:row r="336">
      <x:c r="A336" s="66" t="n">
        <x:v>46167.51851851852</x:v>
      </x:c>
      <x:c r="B336" s="66" t="str">
        <x:v>MKT_1005</x:v>
      </x:c>
      <x:c r="C336" s="66" t="n">
        <x:v>46167.520833333336</x:v>
      </x:c>
      <x:c r="D336" t="n">
        <x:v>200</x:v>
      </x:c>
      <x:c r="E336" t="str">
        <x:v>YES</x:v>
      </x:c>
      <x:c r="F336" s="74" t="n">
        <x:v>0.52</x:v>
      </x:c>
      <x:c r="G336" s="74" t="n">
        <x:v>0.52</x:v>
      </x:c>
      <x:c r="H336" s="74" t="n">
        <x:v>0.535</x:v>
      </x:c>
      <x:c r="I336" s="74" t="n">
        <x:f>IF(E336="YES",H336,1-H336)</x:f>
        <x:v>0.535</x:v>
      </x:c>
      <x:c r="J336" s="76" t="n">
        <x:f>Assumptions!$C$12+Assumptions!$C$11*F336</x:f>
        <x:v>0.003</x:v>
      </x:c>
      <x:c r="K336" s="76" t="n">
        <x:f>I336-F336-J336</x:f>
        <x:v>0.012000000000000014</x:v>
      </x:c>
      <x:c r="L336" s="74" t="n">
        <x:f>MAX(0,IFERROR(K336/(1-F336),0))</x:f>
        <x:v>0.02500000000000003</x:v>
      </x:c>
      <x:c r="M336" s="74" t="n">
        <x:f>MIN(Assumptions!$C$8*L336,Assumptions!$C$5)</x:f>
        <x:v>0.005</x:v>
      </x:c>
      <x:c r="N336" s="78" t="n">
        <x:f>IF(ROW()=16,Assumptions!$C$4,V335)</x:f>
        <x:v>9858.884830000574</x:v>
      </x:c>
      <x:c r="O336" s="78" t="n">
        <x:f>IF(AND(K336&gt;IF(F336&gt;=Assumptions!$C$21,Assumptions!$C$10,Assumptions!$C$9),D336&gt;Assumptions!$C$23),N336*M336,0)</x:f>
        <x:v>49.29442415000287</x:v>
      </x:c>
      <x:c r="P336" s="78" t="n">
        <x:f>IFERROR(O336/F336,0)</x:f>
        <x:v>94.79696951923628</x:v>
      </x:c>
      <x:c r="Q336" s="78" t="n">
        <x:v>1</x:v>
      </x:c>
      <x:c r="R336" s="78" t="str">
        <x:v>Resolve</x:v>
      </x:c>
      <x:c r="S336" s="78" t="n">
        <x:f>IF(R336="Resolve",IF(IF(E336="YES",Q336,1-Q336)=1,P336*(1-F336),-O336),P336*(G336-F336))</x:f>
        <x:v>45.50254536923342</x:v>
      </x:c>
      <x:c r="T336" s="78" t="n">
        <x:f>P336*J336</x:f>
        <x:v>0.2843909085577089</x:v>
      </x:c>
      <x:c r="U336" s="78" t="n">
        <x:f>S336-T336</x:f>
        <x:v>45.218154460675706</x:v>
      </x:c>
      <x:c r="V336" s="78" t="n">
        <x:f>N336+U336</x:f>
        <x:v>9904.10298446125</x:v>
      </x:c>
      <x:c r="W336" s="74" t="n">
        <x:f>IFERROR(V336/MAX($V$16:V336)-1,0)</x:f>
        <x:v>-0.019961698951053264</x:v>
      </x:c>
      <x:c r="X336" t="str">
        <x:f>IF(O336&gt;0,"TRADE","NO_TRADE")</x:f>
        <x:v>TRADE</x:v>
      </x:c>
    </x:row>
    <x:row r="337">
      <x:c r="A337" s="66" t="n">
        <x:v>46167.51857638889</x:v>
      </x:c>
      <x:c r="B337" s="66" t="str">
        <x:v>MKT_1005</x:v>
      </x:c>
      <x:c r="C337" s="66" t="n">
        <x:v>46167.520833333336</x:v>
      </x:c>
      <x:c r="D337" t="n">
        <x:v>195</x:v>
      </x:c>
      <x:c r="E337" t="str">
        <x:v>NO</x:v>
      </x:c>
      <x:c r="F337" s="74" t="n">
        <x:v>0.61</x:v>
      </x:c>
      <x:c r="G337" s="74" t="n">
        <x:v>0.61</x:v>
      </x:c>
      <x:c r="H337" s="74" t="n">
        <x:v>0.63</x:v>
      </x:c>
      <x:c r="I337" s="74" t="n">
        <x:f>IF(E337="YES",H337,1-H337)</x:f>
        <x:v>0.37</x:v>
      </x:c>
      <x:c r="J337" s="76" t="n">
        <x:f>Assumptions!$C$12+Assumptions!$C$11*F337</x:f>
        <x:v>0.003</x:v>
      </x:c>
      <x:c r="K337" s="76" t="n">
        <x:f>I337-F337-J337</x:f>
        <x:v>-0.243</x:v>
      </x:c>
      <x:c r="L337" s="74" t="n">
        <x:f>MAX(0,IFERROR(K337/(1-F337),0))</x:f>
        <x:v>0</x:v>
      </x:c>
      <x:c r="M337" s="74" t="n">
        <x:f>MIN(Assumptions!$C$8*L337,Assumptions!$C$5)</x:f>
        <x:v>0</x:v>
      </x:c>
      <x:c r="N337" s="78" t="n">
        <x:f>IF(ROW()=16,Assumptions!$C$4,V336)</x:f>
        <x:v>9904.10298446125</x:v>
      </x:c>
      <x:c r="O337" s="78" t="n">
        <x:f>IF(AND(K337&gt;IF(F337&gt;=Assumptions!$C$21,Assumptions!$C$10,Assumptions!$C$9),D337&gt;Assumptions!$C$23),N337*M337,0)</x:f>
        <x:v>0</x:v>
      </x:c>
      <x:c r="P337" s="78" t="n">
        <x:f>IFERROR(O337/F337,0)</x:f>
        <x:v>0</x:v>
      </x:c>
      <x:c r="Q337" s="78" t="n">
        <x:v>1</x:v>
      </x:c>
      <x:c r="R337" s="78" t="str">
        <x:v>Resolve</x:v>
      </x:c>
      <x:c r="S337" s="78" t="n">
        <x:f>IF(R337="Resolve",IF(IF(E337="YES",Q337,1-Q337)=1,P337*(1-F337),-O337),P337*(G337-F337))</x:f>
        <x:v>0</x:v>
      </x:c>
      <x:c r="T337" s="78" t="n">
        <x:f>P337*J337</x:f>
        <x:v>0</x:v>
      </x:c>
      <x:c r="U337" s="78" t="n">
        <x:f>S337-T337</x:f>
        <x:v>0</x:v>
      </x:c>
      <x:c r="V337" s="78" t="n">
        <x:f>N337+U337</x:f>
        <x:v>9904.10298446125</x:v>
      </x:c>
      <x:c r="W337" s="74" t="n">
        <x:f>IFERROR(V337/MAX($V$16:V337)-1,0)</x:f>
        <x:v>-0.019961698951053264</x:v>
      </x:c>
      <x:c r="X337" t="str">
        <x:f>IF(O337&gt;0,"TRADE","NO_TRADE")</x:f>
        <x:v>NO_TRADE</x:v>
      </x:c>
    </x:row>
    <x:row r="338">
      <x:c r="A338" s="66" t="n">
        <x:v>46167.51863425926</x:v>
      </x:c>
      <x:c r="B338" s="66" t="str">
        <x:v>MKT_1005</x:v>
      </x:c>
      <x:c r="C338" s="66" t="n">
        <x:v>46167.520833333336</x:v>
      </x:c>
      <x:c r="D338" t="n">
        <x:v>190</x:v>
      </x:c>
      <x:c r="E338" t="str">
        <x:v>YES</x:v>
      </x:c>
      <x:c r="F338" s="74" t="n">
        <x:v>0.74</x:v>
      </x:c>
      <x:c r="G338" s="74" t="n">
        <x:v>0.74</x:v>
      </x:c>
      <x:c r="H338" s="74" t="n">
        <x:v>0.735</x:v>
      </x:c>
      <x:c r="I338" s="74" t="n">
        <x:f>IF(E338="YES",H338,1-H338)</x:f>
        <x:v>0.735</x:v>
      </x:c>
      <x:c r="J338" s="76" t="n">
        <x:f>Assumptions!$C$12+Assumptions!$C$11*F338</x:f>
        <x:v>0.003</x:v>
      </x:c>
      <x:c r="K338" s="76" t="n">
        <x:f>I338-F338-J338</x:f>
        <x:v>-0.008000000000000004</x:v>
      </x:c>
      <x:c r="L338" s="74" t="n">
        <x:f>MAX(0,IFERROR(K338/(1-F338),0))</x:f>
        <x:v>0</x:v>
      </x:c>
      <x:c r="M338" s="74" t="n">
        <x:f>MIN(Assumptions!$C$8*L338,Assumptions!$C$5)</x:f>
        <x:v>0</x:v>
      </x:c>
      <x:c r="N338" s="78" t="n">
        <x:f>IF(ROW()=16,Assumptions!$C$4,V337)</x:f>
        <x:v>9904.10298446125</x:v>
      </x:c>
      <x:c r="O338" s="78" t="n">
        <x:f>IF(AND(K338&gt;IF(F338&gt;=Assumptions!$C$21,Assumptions!$C$10,Assumptions!$C$9),D338&gt;Assumptions!$C$23),N338*M338,0)</x:f>
        <x:v>0</x:v>
      </x:c>
      <x:c r="P338" s="78" t="n">
        <x:f>IFERROR(O338/F338,0)</x:f>
        <x:v>0</x:v>
      </x:c>
      <x:c r="Q338" s="78" t="n">
        <x:v>0</x:v>
      </x:c>
      <x:c r="R338" s="78" t="str">
        <x:v>Resolve</x:v>
      </x:c>
      <x:c r="S338" s="78" t="n">
        <x:f>IF(R338="Resolve",IF(IF(E338="YES",Q338,1-Q338)=1,P338*(1-F338),-O338),P338*(G338-F338))</x:f>
        <x:v>0</x:v>
      </x:c>
      <x:c r="T338" s="78" t="n">
        <x:f>P338*J338</x:f>
        <x:v>0</x:v>
      </x:c>
      <x:c r="U338" s="78" t="n">
        <x:f>S338-T338</x:f>
        <x:v>0</x:v>
      </x:c>
      <x:c r="V338" s="78" t="n">
        <x:f>N338+U338</x:f>
        <x:v>9904.10298446125</x:v>
      </x:c>
      <x:c r="W338" s="74" t="n">
        <x:f>IFERROR(V338/MAX($V$16:V338)-1,0)</x:f>
        <x:v>-0.019961698951053264</x:v>
      </x:c>
      <x:c r="X338" t="str">
        <x:f>IF(O338&gt;0,"TRADE","NO_TRADE")</x:f>
        <x:v>NO_TRADE</x:v>
      </x:c>
    </x:row>
    <x:row r="339">
      <x:c r="A339" s="66" t="n">
        <x:v>46167.518692129626</x:v>
      </x:c>
      <x:c r="B339" s="66" t="str">
        <x:v>MKT_1005</x:v>
      </x:c>
      <x:c r="C339" s="66" t="n">
        <x:v>46167.520833333336</x:v>
      </x:c>
      <x:c r="D339" t="n">
        <x:v>185</x:v>
      </x:c>
      <x:c r="E339" t="str">
        <x:v>YES</x:v>
      </x:c>
      <x:c r="F339" s="74" t="n">
        <x:v>0.88</x:v>
      </x:c>
      <x:c r="G339" s="74" t="n">
        <x:v>0.88</x:v>
      </x:c>
      <x:c r="H339" s="74" t="n">
        <x:v>0.91</x:v>
      </x:c>
      <x:c r="I339" s="74" t="n">
        <x:f>IF(E339="YES",H339,1-H339)</x:f>
        <x:v>0.91</x:v>
      </x:c>
      <x:c r="J339" s="76" t="n">
        <x:f>Assumptions!$C$12+Assumptions!$C$11*F339</x:f>
        <x:v>0.003</x:v>
      </x:c>
      <x:c r="K339" s="76" t="n">
        <x:f>I339-F339-J339</x:f>
        <x:v>0.027000000000000027</x:v>
      </x:c>
      <x:c r="L339" s="74" t="n">
        <x:f>MAX(0,IFERROR(K339/(1-F339),0))</x:f>
        <x:v>0.22500000000000023</x:v>
      </x:c>
      <x:c r="M339" s="74" t="n">
        <x:f>MIN(Assumptions!$C$8*L339,Assumptions!$C$5)</x:f>
        <x:v>0.005</x:v>
      </x:c>
      <x:c r="N339" s="78" t="n">
        <x:f>IF(ROW()=16,Assumptions!$C$4,V338)</x:f>
        <x:v>9904.10298446125</x:v>
      </x:c>
      <x:c r="O339" s="78" t="n">
        <x:f>IF(AND(K339&gt;IF(F339&gt;=Assumptions!$C$21,Assumptions!$C$10,Assumptions!$C$9),D339&gt;Assumptions!$C$23),N339*M339,0)</x:f>
        <x:v>49.52051492230625</x:v>
      </x:c>
      <x:c r="P339" s="78" t="n">
        <x:f>IFERROR(O339/F339,0)</x:f>
        <x:v>56.27331241171164</x:v>
      </x:c>
      <x:c r="Q339" s="78" t="n">
        <x:v>1</x:v>
      </x:c>
      <x:c r="R339" s="78" t="str">
        <x:v>Resolve</x:v>
      </x:c>
      <x:c r="S339" s="78" t="n">
        <x:f>IF(R339="Resolve",IF(IF(E339="YES",Q339,1-Q339)=1,P339*(1-F339),-O339),P339*(G339-F339))</x:f>
        <x:v>6.752797489405397</x:v>
      </x:c>
      <x:c r="T339" s="78" t="n">
        <x:f>P339*J339</x:f>
        <x:v>0.16881993723513494</x:v>
      </x:c>
      <x:c r="U339" s="78" t="n">
        <x:f>S339-T339</x:f>
        <x:v>6.583977552170262</x:v>
      </x:c>
      <x:c r="V339" s="78" t="n">
        <x:f>N339+U339</x:f>
        <x:v>9910.68696201342</x:v>
      </x:c>
      <x:c r="W339" s="74" t="n">
        <x:f>IFERROR(V339/MAX($V$16:V339)-1,0)</x:f>
        <x:v>-0.019310196216833164</x:v>
      </x:c>
      <x:c r="X339" t="str">
        <x:f>IF(O339&gt;0,"TRADE","NO_TRADE")</x:f>
        <x:v>TRADE</x:v>
      </x:c>
    </x:row>
    <x:row r="340">
      <x:c r="A340" s="66" t="n">
        <x:v>46167.51875</x:v>
      </x:c>
      <x:c r="B340" s="66" t="str">
        <x:v>MKT_1005</x:v>
      </x:c>
      <x:c r="C340" s="66" t="n">
        <x:v>46167.520833333336</x:v>
      </x:c>
      <x:c r="D340" t="n">
        <x:v>180</x:v>
      </x:c>
      <x:c r="E340" t="str">
        <x:v>NO</x:v>
      </x:c>
      <x:c r="F340" s="74" t="n">
        <x:v>0.94</x:v>
      </x:c>
      <x:c r="G340" s="74" t="n">
        <x:v>0.94</x:v>
      </x:c>
      <x:c r="H340" s="74" t="n">
        <x:v>0.98</x:v>
      </x:c>
      <x:c r="I340" s="74" t="n">
        <x:f>IF(E340="YES",H340,1-H340)</x:f>
        <x:v>0.020000000000000018</x:v>
      </x:c>
      <x:c r="J340" s="76" t="n">
        <x:f>Assumptions!$C$12+Assumptions!$C$11*F340</x:f>
        <x:v>0.003</x:v>
      </x:c>
      <x:c r="K340" s="76" t="n">
        <x:f>I340-F340-J340</x:f>
        <x:v>-0.9229999999999999</x:v>
      </x:c>
      <x:c r="L340" s="74" t="n">
        <x:f>MAX(0,IFERROR(K340/(1-F340),0))</x:f>
        <x:v>0</x:v>
      </x:c>
      <x:c r="M340" s="74" t="n">
        <x:f>MIN(Assumptions!$C$8*L340,Assumptions!$C$5)</x:f>
        <x:v>0</x:v>
      </x:c>
      <x:c r="N340" s="78" t="n">
        <x:f>IF(ROW()=16,Assumptions!$C$4,V339)</x:f>
        <x:v>9910.68696201342</x:v>
      </x:c>
      <x:c r="O340" s="78" t="n">
        <x:f>IF(AND(K340&gt;IF(F340&gt;=Assumptions!$C$21,Assumptions!$C$10,Assumptions!$C$9),D340&gt;Assumptions!$C$23),N340*M340,0)</x:f>
        <x:v>0</x:v>
      </x:c>
      <x:c r="P340" s="78" t="n">
        <x:f>IFERROR(O340/F340,0)</x:f>
        <x:v>0</x:v>
      </x:c>
      <x:c r="Q340" s="78" t="n">
        <x:v>1</x:v>
      </x:c>
      <x:c r="R340" s="78" t="str">
        <x:v>Resolve</x:v>
      </x:c>
      <x:c r="S340" s="78" t="n">
        <x:f>IF(R340="Resolve",IF(IF(E340="YES",Q340,1-Q340)=1,P340*(1-F340),-O340),P340*(G340-F340))</x:f>
        <x:v>0</x:v>
      </x:c>
      <x:c r="T340" s="78" t="n">
        <x:f>P340*J340</x:f>
        <x:v>0</x:v>
      </x:c>
      <x:c r="U340" s="78" t="n">
        <x:f>S340-T340</x:f>
        <x:v>0</x:v>
      </x:c>
      <x:c r="V340" s="78" t="n">
        <x:f>N340+U340</x:f>
        <x:v>9910.68696201342</x:v>
      </x:c>
      <x:c r="W340" s="74" t="n">
        <x:f>IFERROR(V340/MAX($V$16:V340)-1,0)</x:f>
        <x:v>-0.019310196216833164</x:v>
      </x:c>
      <x:c r="X340" t="str">
        <x:f>IF(O340&gt;0,"TRADE","NO_TRADE")</x:f>
        <x:v>NO_TRADE</x:v>
      </x:c>
    </x:row>
    <x:row r="341">
      <x:c r="A341" s="66" t="n">
        <x:v>46167.51880787037</x:v>
      </x:c>
      <x:c r="B341" s="66" t="str">
        <x:v>MKT_1005</x:v>
      </x:c>
      <x:c r="C341" s="66" t="n">
        <x:v>46167.520833333336</x:v>
      </x:c>
      <x:c r="D341" t="n">
        <x:v>175</x:v>
      </x:c>
      <x:c r="E341" t="str">
        <x:v>YES</x:v>
      </x:c>
      <x:c r="F341" s="74" t="n">
        <x:v>0.95</x:v>
      </x:c>
      <x:c r="G341" s="74" t="n">
        <x:v>0.95</x:v>
      </x:c>
      <x:c r="H341" s="74" t="n">
        <x:v>0.968</x:v>
      </x:c>
      <x:c r="I341" s="74" t="n">
        <x:f>IF(E341="YES",H341,1-H341)</x:f>
        <x:v>0.968</x:v>
      </x:c>
      <x:c r="J341" s="76" t="n">
        <x:f>Assumptions!$C$12+Assumptions!$C$11*F341</x:f>
        <x:v>0.003</x:v>
      </x:c>
      <x:c r="K341" s="76" t="n">
        <x:f>I341-F341-J341</x:f>
        <x:v>0.015000000000000017</x:v>
      </x:c>
      <x:c r="L341" s="74" t="n">
        <x:f>MAX(0,IFERROR(K341/(1-F341),0))</x:f>
        <x:v>0.30000000000000004</x:v>
      </x:c>
      <x:c r="M341" s="74" t="n">
        <x:f>MIN(Assumptions!$C$8*L341,Assumptions!$C$5)</x:f>
        <x:v>0.005</x:v>
      </x:c>
      <x:c r="N341" s="78" t="n">
        <x:f>IF(ROW()=16,Assumptions!$C$4,V340)</x:f>
        <x:v>9910.68696201342</x:v>
      </x:c>
      <x:c r="O341" s="78" t="n">
        <x:f>IF(AND(K341&gt;IF(F341&gt;=Assumptions!$C$21,Assumptions!$C$10,Assumptions!$C$9),D341&gt;Assumptions!$C$23),N341*M341,0)</x:f>
        <x:v>49.5534348100671</x:v>
      </x:c>
      <x:c r="P341" s="78" t="n">
        <x:f>IFERROR(O341/F341,0)</x:f>
        <x:v>52.16151032638643</x:v>
      </x:c>
      <x:c r="Q341" s="78" t="n">
        <x:v>0</x:v>
      </x:c>
      <x:c r="R341" s="78" t="str">
        <x:v>Resolve</x:v>
      </x:c>
      <x:c r="S341" s="78" t="n">
        <x:f>IF(R341="Resolve",IF(IF(E341="YES",Q341,1-Q341)=1,P341*(1-F341),-O341),P341*(G341-F341))</x:f>
        <x:v>-49.5534348100671</x:v>
      </x:c>
      <x:c r="T341" s="78" t="n">
        <x:f>P341*J341</x:f>
        <x:v>0.1564845309791593</x:v>
      </x:c>
      <x:c r="U341" s="78" t="n">
        <x:f>S341-T341</x:f>
        <x:v>-49.70991934104626</x:v>
      </x:c>
      <x:c r="V341" s="78" t="n">
        <x:f>N341+U341</x:f>
        <x:v>9860.977042672373</x:v>
      </x:c>
      <x:c r="W341" s="74" t="n">
        <x:f>IFERROR(V341/MAX($V$16:V341)-1,0)</x:f>
        <x:v>-0.024229129811598193</x:v>
      </x:c>
      <x:c r="X341" t="str">
        <x:f>IF(O341&gt;0,"TRADE","NO_TRADE")</x:f>
        <x:v>TRADE</x:v>
      </x:c>
    </x:row>
    <x:row r="342">
      <x:c r="A342" s="66" t="n">
        <x:v>46167.51886574074</x:v>
      </x:c>
      <x:c r="B342" s="66" t="str">
        <x:v>MKT_1005</x:v>
      </x:c>
      <x:c r="C342" s="66" t="n">
        <x:v>46167.520833333336</x:v>
      </x:c>
      <x:c r="D342" t="n">
        <x:v>170</x:v>
      </x:c>
      <x:c r="E342" t="str">
        <x:v>YES</x:v>
      </x:c>
      <x:c r="F342" s="74" t="n">
        <x:v>0.57</x:v>
      </x:c>
      <x:c r="G342" s="74" t="n">
        <x:v>0.57</x:v>
      </x:c>
      <x:c r="H342" s="74" t="n">
        <x:v>0.582</x:v>
      </x:c>
      <x:c r="I342" s="74" t="n">
        <x:f>IF(E342="YES",H342,1-H342)</x:f>
        <x:v>0.582</x:v>
      </x:c>
      <x:c r="J342" s="76" t="n">
        <x:f>Assumptions!$C$12+Assumptions!$C$11*F342</x:f>
        <x:v>0.003</x:v>
      </x:c>
      <x:c r="K342" s="76" t="n">
        <x:f>I342-F342-J342</x:f>
        <x:v>0.009000000000000011</x:v>
      </x:c>
      <x:c r="L342" s="74" t="n">
        <x:f>MAX(0,IFERROR(K342/(1-F342),0))</x:f>
        <x:v>0.02093023255813956</x:v>
      </x:c>
      <x:c r="M342" s="74" t="n">
        <x:f>MIN(Assumptions!$C$8*L342,Assumptions!$C$5)</x:f>
        <x:v>0.005</x:v>
      </x:c>
      <x:c r="N342" s="78" t="n">
        <x:f>IF(ROW()=16,Assumptions!$C$4,V341)</x:f>
        <x:v>9860.977042672373</x:v>
      </x:c>
      <x:c r="O342" s="78" t="n">
        <x:f>IF(AND(K342&gt;IF(F342&gt;=Assumptions!$C$21,Assumptions!$C$10,Assumptions!$C$9),D342&gt;Assumptions!$C$23),N342*M342,0)</x:f>
        <x:v>49.30488521336187</x:v>
      </x:c>
      <x:c r="P342" s="78" t="n">
        <x:f>IFERROR(O342/F342,0)</x:f>
        <x:v>86.49979861993312</x:v>
      </x:c>
      <x:c r="Q342" s="78" t="n">
        <x:v>1</x:v>
      </x:c>
      <x:c r="R342" s="78" t="str">
        <x:v>Resolve</x:v>
      </x:c>
      <x:c r="S342" s="78" t="n">
        <x:f>IF(R342="Resolve",IF(IF(E342="YES",Q342,1-Q342)=1,P342*(1-F342),-O342),P342*(G342-F342))</x:f>
        <x:v>37.194913406571246</x:v>
      </x:c>
      <x:c r="T342" s="78" t="n">
        <x:f>P342*J342</x:f>
        <x:v>0.25949939585979936</x:v>
      </x:c>
      <x:c r="U342" s="78" t="n">
        <x:f>S342-T342</x:f>
        <x:v>36.93541401071145</x:v>
      </x:c>
      <x:c r="V342" s="78" t="n">
        <x:f>N342+U342</x:f>
        <x:v>9897.912456683085</x:v>
      </x:c>
      <x:c r="W342" s="74" t="n">
        <x:f>IFERROR(V342/MAX($V$16:V342)-1,0)</x:f>
        <x:v>-0.02057426874519075</x:v>
      </x:c>
      <x:c r="X342" t="str">
        <x:f>IF(O342&gt;0,"TRADE","NO_TRADE")</x:f>
        <x:v>TRADE</x:v>
      </x:c>
    </x:row>
    <x:row r="343">
      <x:c r="A343" s="66" t="n">
        <x:v>46167.51892361111</x:v>
      </x:c>
      <x:c r="B343" s="66" t="str">
        <x:v>MKT_1005</x:v>
      </x:c>
      <x:c r="C343" s="66" t="n">
        <x:v>46167.520833333336</x:v>
      </x:c>
      <x:c r="D343" t="n">
        <x:v>165</x:v>
      </x:c>
      <x:c r="E343" t="str">
        <x:v>NO</x:v>
      </x:c>
      <x:c r="F343" s="74" t="n">
        <x:v>0.68</x:v>
      </x:c>
      <x:c r="G343" s="74" t="n">
        <x:v>0.68</x:v>
      </x:c>
      <x:c r="H343" s="74" t="n">
        <x:v>0.7050000000000001</x:v>
      </x:c>
      <x:c r="I343" s="74" t="n">
        <x:f>IF(E343="YES",H343,1-H343)</x:f>
        <x:v>0.29499999999999993</x:v>
      </x:c>
      <x:c r="J343" s="76" t="n">
        <x:f>Assumptions!$C$12+Assumptions!$C$11*F343</x:f>
        <x:v>0.003</x:v>
      </x:c>
      <x:c r="K343" s="76" t="n">
        <x:f>I343-F343-J343</x:f>
        <x:v>-0.3880000000000001</x:v>
      </x:c>
      <x:c r="L343" s="74" t="n">
        <x:f>MAX(0,IFERROR(K343/(1-F343),0))</x:f>
        <x:v>0</x:v>
      </x:c>
      <x:c r="M343" s="74" t="n">
        <x:f>MIN(Assumptions!$C$8*L343,Assumptions!$C$5)</x:f>
        <x:v>0</x:v>
      </x:c>
      <x:c r="N343" s="78" t="n">
        <x:f>IF(ROW()=16,Assumptions!$C$4,V342)</x:f>
        <x:v>9897.912456683085</x:v>
      </x:c>
      <x:c r="O343" s="78" t="n">
        <x:f>IF(AND(K343&gt;IF(F343&gt;=Assumptions!$C$21,Assumptions!$C$10,Assumptions!$C$9),D343&gt;Assumptions!$C$23),N343*M343,0)</x:f>
        <x:v>0</x:v>
      </x:c>
      <x:c r="P343" s="78" t="n">
        <x:f>IFERROR(O343/F343,0)</x:f>
        <x:v>0</x:v>
      </x:c>
      <x:c r="Q343" s="78" t="n">
        <x:v>1</x:v>
      </x:c>
      <x:c r="R343" s="78" t="str">
        <x:v>Resolve</x:v>
      </x:c>
      <x:c r="S343" s="78" t="n">
        <x:f>IF(R343="Resolve",IF(IF(E343="YES",Q343,1-Q343)=1,P343*(1-F343),-O343),P343*(G343-F343))</x:f>
        <x:v>0</x:v>
      </x:c>
      <x:c r="T343" s="78" t="n">
        <x:f>P343*J343</x:f>
        <x:v>0</x:v>
      </x:c>
      <x:c r="U343" s="78" t="n">
        <x:f>S343-T343</x:f>
        <x:v>0</x:v>
      </x:c>
      <x:c r="V343" s="78" t="n">
        <x:f>N343+U343</x:f>
        <x:v>9897.912456683085</x:v>
      </x:c>
      <x:c r="W343" s="74" t="n">
        <x:f>IFERROR(V343/MAX($V$16:V343)-1,0)</x:f>
        <x:v>-0.02057426874519075</x:v>
      </x:c>
      <x:c r="X343" t="str">
        <x:f>IF(O343&gt;0,"TRADE","NO_TRADE")</x:f>
        <x:v>NO_TRADE</x:v>
      </x:c>
    </x:row>
    <x:row r="344">
      <x:c r="A344" s="66" t="n">
        <x:v>46167.51898148148</x:v>
      </x:c>
      <x:c r="B344" s="66" t="str">
        <x:v>MKT_1005</x:v>
      </x:c>
      <x:c r="C344" s="66" t="n">
        <x:v>46167.520833333336</x:v>
      </x:c>
      <x:c r="D344" t="n">
        <x:v>160</x:v>
      </x:c>
      <x:c r="E344" t="str">
        <x:v>YES</x:v>
      </x:c>
      <x:c r="F344" s="74" t="n">
        <x:v>0.91</x:v>
      </x:c>
      <x:c r="G344" s="74" t="n">
        <x:v>0.91</x:v>
      </x:c>
      <x:c r="H344" s="74" t="n">
        <x:v>0.9450000000000001</x:v>
      </x:c>
      <x:c r="I344" s="74" t="n">
        <x:f>IF(E344="YES",H344,1-H344)</x:f>
        <x:v>0.9450000000000001</x:v>
      </x:c>
      <x:c r="J344" s="76" t="n">
        <x:f>Assumptions!$C$12+Assumptions!$C$11*F344</x:f>
        <x:v>0.003</x:v>
      </x:c>
      <x:c r="K344" s="76" t="n">
        <x:f>I344-F344-J344</x:f>
        <x:v>0.03200000000000003</x:v>
      </x:c>
      <x:c r="L344" s="74" t="n">
        <x:f>MAX(0,IFERROR(K344/(1-F344),0))</x:f>
        <x:v>0.355555555555556</x:v>
      </x:c>
      <x:c r="M344" s="74" t="n">
        <x:f>MIN(Assumptions!$C$8*L344,Assumptions!$C$5)</x:f>
        <x:v>0.005</x:v>
      </x:c>
      <x:c r="N344" s="78" t="n">
        <x:f>IF(ROW()=16,Assumptions!$C$4,V343)</x:f>
        <x:v>9897.912456683085</x:v>
      </x:c>
      <x:c r="O344" s="78" t="n">
        <x:f>IF(AND(K344&gt;IF(F344&gt;=Assumptions!$C$21,Assumptions!$C$10,Assumptions!$C$9),D344&gt;Assumptions!$C$23),N344*M344,0)</x:f>
        <x:v>49.489562283415424</x:v>
      </x:c>
      <x:c r="P344" s="78" t="n">
        <x:f>IFERROR(O344/F344,0)</x:f>
        <x:v>54.38413437737958</x:v>
      </x:c>
      <x:c r="Q344" s="78" t="n">
        <x:v>1</x:v>
      </x:c>
      <x:c r="R344" s="78" t="str">
        <x:v>Resolve</x:v>
      </x:c>
      <x:c r="S344" s="78" t="n">
        <x:f>IF(R344="Resolve",IF(IF(E344="YES",Q344,1-Q344)=1,P344*(1-F344),-O344),P344*(G344-F344))</x:f>
        <x:v>4.894572093964161</x:v>
      </x:c>
      <x:c r="T344" s="78" t="n">
        <x:f>P344*J344</x:f>
        <x:v>0.16315240313213875</x:v>
      </x:c>
      <x:c r="U344" s="78" t="n">
        <x:f>S344-T344</x:f>
        <x:v>4.7314196908320225</x:v>
      </x:c>
      <x:c r="V344" s="78" t="n">
        <x:f>N344+U344</x:f>
        <x:v>9902.643876373917</x:v>
      </x:c>
      <x:c r="W344" s="74" t="n">
        <x:f>IFERROR(V344/MAX($V$16:V344)-1,0)</x:f>
        <x:v>-0.020106081719810764</x:v>
      </x:c>
      <x:c r="X344" t="str">
        <x:f>IF(O344&gt;0,"TRADE","NO_TRADE")</x:f>
        <x:v>TRADE</x:v>
      </x:c>
    </x:row>
    <x:row r="345">
      <x:c r="A345" s="66" t="n">
        <x:v>46167.51903935185</x:v>
      </x:c>
      <x:c r="B345" s="66" t="str">
        <x:v>MKT_1005</x:v>
      </x:c>
      <x:c r="C345" s="66" t="n">
        <x:v>46167.520833333336</x:v>
      </x:c>
      <x:c r="D345" t="n">
        <x:v>155</x:v>
      </x:c>
      <x:c r="E345" t="str">
        <x:v>YES</x:v>
      </x:c>
      <x:c r="F345" s="74" t="n">
        <x:v>0.83</x:v>
      </x:c>
      <x:c r="G345" s="74" t="n">
        <x:v>0.83</x:v>
      </x:c>
      <x:c r="H345" s="74" t="n">
        <x:v>0.82</x:v>
      </x:c>
      <x:c r="I345" s="74" t="n">
        <x:f>IF(E345="YES",H345,1-H345)</x:f>
        <x:v>0.82</x:v>
      </x:c>
      <x:c r="J345" s="76" t="n">
        <x:f>Assumptions!$C$12+Assumptions!$C$11*F345</x:f>
        <x:v>0.003</x:v>
      </x:c>
      <x:c r="K345" s="76" t="n">
        <x:f>I345-F345-J345</x:f>
        <x:v>-0.013000000000000008</x:v>
      </x:c>
      <x:c r="L345" s="74" t="n">
        <x:f>MAX(0,IFERROR(K345/(1-F345),0))</x:f>
        <x:v>0</x:v>
      </x:c>
      <x:c r="M345" s="74" t="n">
        <x:f>MIN(Assumptions!$C$8*L345,Assumptions!$C$5)</x:f>
        <x:v>0</x:v>
      </x:c>
      <x:c r="N345" s="78" t="n">
        <x:f>IF(ROW()=16,Assumptions!$C$4,V344)</x:f>
        <x:v>9902.643876373917</x:v>
      </x:c>
      <x:c r="O345" s="78" t="n">
        <x:f>IF(AND(K345&gt;IF(F345&gt;=Assumptions!$C$21,Assumptions!$C$10,Assumptions!$C$9),D345&gt;Assumptions!$C$23),N345*M345,0)</x:f>
        <x:v>0</x:v>
      </x:c>
      <x:c r="P345" s="78" t="n">
        <x:f>IFERROR(O345/F345,0)</x:f>
        <x:v>0</x:v>
      </x:c>
      <x:c r="Q345" s="78" t="n">
        <x:v>0</x:v>
      </x:c>
      <x:c r="R345" s="78" t="str">
        <x:v>Resolve</x:v>
      </x:c>
      <x:c r="S345" s="78" t="n">
        <x:f>IF(R345="Resolve",IF(IF(E345="YES",Q345,1-Q345)=1,P345*(1-F345),-O345),P345*(G345-F345))</x:f>
        <x:v>0</x:v>
      </x:c>
      <x:c r="T345" s="78" t="n">
        <x:f>P345*J345</x:f>
        <x:v>0</x:v>
      </x:c>
      <x:c r="U345" s="78" t="n">
        <x:f>S345-T345</x:f>
        <x:v>0</x:v>
      </x:c>
      <x:c r="V345" s="78" t="n">
        <x:f>N345+U345</x:f>
        <x:v>9902.643876373917</x:v>
      </x:c>
      <x:c r="W345" s="74" t="n">
        <x:f>IFERROR(V345/MAX($V$16:V345)-1,0)</x:f>
        <x:v>-0.020106081719810764</x:v>
      </x:c>
      <x:c r="X345" t="str">
        <x:f>IF(O345&gt;0,"TRADE","NO_TRADE")</x:f>
        <x:v>NO_TRADE</x:v>
      </x:c>
    </x:row>
    <x:row r="346">
      <x:c r="A346" s="66" t="n">
        <x:v>46167.51909722222</x:v>
      </x:c>
      <x:c r="B346" s="66" t="str">
        <x:v>MKT_1005</x:v>
      </x:c>
      <x:c r="C346" s="66" t="n">
        <x:v>46167.520833333336</x:v>
      </x:c>
      <x:c r="D346" t="n">
        <x:v>150</x:v>
      </x:c>
      <x:c r="E346" t="str">
        <x:v>NO</x:v>
      </x:c>
      <x:c r="F346" s="74" t="n">
        <x:v>0.52</x:v>
      </x:c>
      <x:c r="G346" s="74" t="n">
        <x:v>0.52</x:v>
      </x:c>
      <x:c r="H346" s="74" t="n">
        <x:v>0.535</x:v>
      </x:c>
      <x:c r="I346" s="74" t="n">
        <x:f>IF(E346="YES",H346,1-H346)</x:f>
        <x:v>0.46499999999999997</x:v>
      </x:c>
      <x:c r="J346" s="76" t="n">
        <x:f>Assumptions!$C$12+Assumptions!$C$11*F346</x:f>
        <x:v>0.003</x:v>
      </x:c>
      <x:c r="K346" s="76" t="n">
        <x:f>I346-F346-J346</x:f>
        <x:v>-0.05800000000000005</x:v>
      </x:c>
      <x:c r="L346" s="74" t="n">
        <x:f>MAX(0,IFERROR(K346/(1-F346),0))</x:f>
        <x:v>0</x:v>
      </x:c>
      <x:c r="M346" s="74" t="n">
        <x:f>MIN(Assumptions!$C$8*L346,Assumptions!$C$5)</x:f>
        <x:v>0</x:v>
      </x:c>
      <x:c r="N346" s="78" t="n">
        <x:f>IF(ROW()=16,Assumptions!$C$4,V345)</x:f>
        <x:v>9902.643876373917</x:v>
      </x:c>
      <x:c r="O346" s="78" t="n">
        <x:f>IF(AND(K346&gt;IF(F346&gt;=Assumptions!$C$21,Assumptions!$C$10,Assumptions!$C$9),D346&gt;Assumptions!$C$23),N346*M346,0)</x:f>
        <x:v>0</x:v>
      </x:c>
      <x:c r="P346" s="78" t="n">
        <x:f>IFERROR(O346/F346,0)</x:f>
        <x:v>0</x:v>
      </x:c>
      <x:c r="Q346" s="78" t="n">
        <x:v>1</x:v>
      </x:c>
      <x:c r="R346" s="78" t="str">
        <x:v>Resolve</x:v>
      </x:c>
      <x:c r="S346" s="78" t="n">
        <x:f>IF(R346="Resolve",IF(IF(E346="YES",Q346,1-Q346)=1,P346*(1-F346),-O346),P346*(G346-F346))</x:f>
        <x:v>0</x:v>
      </x:c>
      <x:c r="T346" s="78" t="n">
        <x:f>P346*J346</x:f>
        <x:v>0</x:v>
      </x:c>
      <x:c r="U346" s="78" t="n">
        <x:f>S346-T346</x:f>
        <x:v>0</x:v>
      </x:c>
      <x:c r="V346" s="78" t="n">
        <x:f>N346+U346</x:f>
        <x:v>9902.643876373917</x:v>
      </x:c>
      <x:c r="W346" s="74" t="n">
        <x:f>IFERROR(V346/MAX($V$16:V346)-1,0)</x:f>
        <x:v>-0.020106081719810764</x:v>
      </x:c>
      <x:c r="X346" t="str">
        <x:f>IF(O346&gt;0,"TRADE","NO_TRADE")</x:f>
        <x:v>NO_TRADE</x:v>
      </x:c>
    </x:row>
    <x:row r="347">
      <x:c r="A347" s="66" t="n">
        <x:v>46167.519155092596</x:v>
      </x:c>
      <x:c r="B347" s="66" t="str">
        <x:v>MKT_1005</x:v>
      </x:c>
      <x:c r="C347" s="66" t="n">
        <x:v>46167.520833333336</x:v>
      </x:c>
      <x:c r="D347" t="n">
        <x:v>145</x:v>
      </x:c>
      <x:c r="E347" t="str">
        <x:v>YES</x:v>
      </x:c>
      <x:c r="F347" s="74" t="n">
        <x:v>0.61</x:v>
      </x:c>
      <x:c r="G347" s="74" t="n">
        <x:v>0.61</x:v>
      </x:c>
      <x:c r="H347" s="74" t="n">
        <x:v>0.63</x:v>
      </x:c>
      <x:c r="I347" s="74" t="n">
        <x:f>IF(E347="YES",H347,1-H347)</x:f>
        <x:v>0.63</x:v>
      </x:c>
      <x:c r="J347" s="76" t="n">
        <x:f>Assumptions!$C$12+Assumptions!$C$11*F347</x:f>
        <x:v>0.003</x:v>
      </x:c>
      <x:c r="K347" s="76" t="n">
        <x:f>I347-F347-J347</x:f>
        <x:v>0.01700000000000002</x:v>
      </x:c>
      <x:c r="L347" s="74" t="n">
        <x:f>MAX(0,IFERROR(K347/(1-F347),0))</x:f>
        <x:v>0.043589743589743636</x:v>
      </x:c>
      <x:c r="M347" s="74" t="n">
        <x:f>MIN(Assumptions!$C$8*L347,Assumptions!$C$5)</x:f>
        <x:v>0.005</x:v>
      </x:c>
      <x:c r="N347" s="78" t="n">
        <x:f>IF(ROW()=16,Assumptions!$C$4,V346)</x:f>
        <x:v>9902.643876373917</x:v>
      </x:c>
      <x:c r="O347" s="78" t="n">
        <x:f>IF(AND(K347&gt;IF(F347&gt;=Assumptions!$C$21,Assumptions!$C$10,Assumptions!$C$9),D347&gt;Assumptions!$C$23),N347*M347,0)</x:f>
        <x:v>49.51321938186959</x:v>
      </x:c>
      <x:c r="P347" s="78" t="n">
        <x:f>IFERROR(O347/F347,0)</x:f>
        <x:v>81.16921210142556</x:v>
      </x:c>
      <x:c r="Q347" s="78" t="n">
        <x:v>1</x:v>
      </x:c>
      <x:c r="R347" s="78" t="str">
        <x:v>Resolve</x:v>
      </x:c>
      <x:c r="S347" s="78" t="n">
        <x:f>IF(R347="Resolve",IF(IF(E347="YES",Q347,1-Q347)=1,P347*(1-F347),-O347),P347*(G347-F347))</x:f>
        <x:v>31.655992719555968</x:v>
      </x:c>
      <x:c r="T347" s="78" t="n">
        <x:f>P347*J347</x:f>
        <x:v>0.2435076363042767</x:v>
      </x:c>
      <x:c r="U347" s="78" t="n">
        <x:f>S347-T347</x:f>
        <x:v>31.412485083251692</x:v>
      </x:c>
      <x:c r="V347" s="78" t="n">
        <x:f>N347+U347</x:f>
        <x:v>9934.05636145717</x:v>
      </x:c>
      <x:c r="W347" s="74" t="n">
        <x:f>IFERROR(V347/MAX($V$16:V347)-1,0)</x:f>
        <x:v>-0.016997729700348074</x:v>
      </x:c>
      <x:c r="X347" t="str">
        <x:f>IF(O347&gt;0,"TRADE","NO_TRADE")</x:f>
        <x:v>TRADE</x:v>
      </x:c>
    </x:row>
    <x:row r="348">
      <x:c r="A348" s="66" t="n">
        <x:v>46167.519212962965</x:v>
      </x:c>
      <x:c r="B348" s="66" t="str">
        <x:v>MKT_1005</x:v>
      </x:c>
      <x:c r="C348" s="66" t="n">
        <x:v>46167.520833333336</x:v>
      </x:c>
      <x:c r="D348" t="n">
        <x:v>140</x:v>
      </x:c>
      <x:c r="E348" t="str">
        <x:v>YES</x:v>
      </x:c>
      <x:c r="F348" s="74" t="n">
        <x:v>0.74</x:v>
      </x:c>
      <x:c r="G348" s="74" t="n">
        <x:v>0.74</x:v>
      </x:c>
      <x:c r="H348" s="74" t="n">
        <x:v>0.735</x:v>
      </x:c>
      <x:c r="I348" s="74" t="n">
        <x:f>IF(E348="YES",H348,1-H348)</x:f>
        <x:v>0.735</x:v>
      </x:c>
      <x:c r="J348" s="76" t="n">
        <x:f>Assumptions!$C$12+Assumptions!$C$11*F348</x:f>
        <x:v>0.003</x:v>
      </x:c>
      <x:c r="K348" s="76" t="n">
        <x:f>I348-F348-J348</x:f>
        <x:v>-0.008000000000000004</x:v>
      </x:c>
      <x:c r="L348" s="74" t="n">
        <x:f>MAX(0,IFERROR(K348/(1-F348),0))</x:f>
        <x:v>0</x:v>
      </x:c>
      <x:c r="M348" s="74" t="n">
        <x:f>MIN(Assumptions!$C$8*L348,Assumptions!$C$5)</x:f>
        <x:v>0</x:v>
      </x:c>
      <x:c r="N348" s="78" t="n">
        <x:f>IF(ROW()=16,Assumptions!$C$4,V347)</x:f>
        <x:v>9934.05636145717</x:v>
      </x:c>
      <x:c r="O348" s="78" t="n">
        <x:f>IF(AND(K348&gt;IF(F348&gt;=Assumptions!$C$21,Assumptions!$C$10,Assumptions!$C$9),D348&gt;Assumptions!$C$23),N348*M348,0)</x:f>
        <x:v>0</x:v>
      </x:c>
      <x:c r="P348" s="78" t="n">
        <x:f>IFERROR(O348/F348,0)</x:f>
        <x:v>0</x:v>
      </x:c>
      <x:c r="Q348" s="78" t="n">
        <x:v>0</x:v>
      </x:c>
      <x:c r="R348" s="78" t="str">
        <x:v>Resolve</x:v>
      </x:c>
      <x:c r="S348" s="78" t="n">
        <x:f>IF(R348="Resolve",IF(IF(E348="YES",Q348,1-Q348)=1,P348*(1-F348),-O348),P348*(G348-F348))</x:f>
        <x:v>0</x:v>
      </x:c>
      <x:c r="T348" s="78" t="n">
        <x:f>P348*J348</x:f>
        <x:v>0</x:v>
      </x:c>
      <x:c r="U348" s="78" t="n">
        <x:f>S348-T348</x:f>
        <x:v>0</x:v>
      </x:c>
      <x:c r="V348" s="78" t="n">
        <x:f>N348+U348</x:f>
        <x:v>9934.05636145717</x:v>
      </x:c>
      <x:c r="W348" s="74" t="n">
        <x:f>IFERROR(V348/MAX($V$16:V348)-1,0)</x:f>
        <x:v>-0.016997729700348074</x:v>
      </x:c>
      <x:c r="X348" t="str">
        <x:f>IF(O348&gt;0,"TRADE","NO_TRADE")</x:f>
        <x:v>NO_TRADE</x:v>
      </x:c>
    </x:row>
    <x:row r="349">
      <x:c r="A349" s="66" t="n">
        <x:v>46167.519270833334</x:v>
      </x:c>
      <x:c r="B349" s="66" t="str">
        <x:v>MKT_1005</x:v>
      </x:c>
      <x:c r="C349" s="66" t="n">
        <x:v>46167.520833333336</x:v>
      </x:c>
      <x:c r="D349" t="n">
        <x:v>135</x:v>
      </x:c>
      <x:c r="E349" t="str">
        <x:v>NO</x:v>
      </x:c>
      <x:c r="F349" s="74" t="n">
        <x:v>0.88</x:v>
      </x:c>
      <x:c r="G349" s="74" t="n">
        <x:v>0.88</x:v>
      </x:c>
      <x:c r="H349" s="74" t="n">
        <x:v>0.91</x:v>
      </x:c>
      <x:c r="I349" s="74" t="n">
        <x:f>IF(E349="YES",H349,1-H349)</x:f>
        <x:v>0.08999999999999997</x:v>
      </x:c>
      <x:c r="J349" s="76" t="n">
        <x:f>Assumptions!$C$12+Assumptions!$C$11*F349</x:f>
        <x:v>0.003</x:v>
      </x:c>
      <x:c r="K349" s="76" t="n">
        <x:f>I349-F349-J349</x:f>
        <x:v>-0.793</x:v>
      </x:c>
      <x:c r="L349" s="74" t="n">
        <x:f>MAX(0,IFERROR(K349/(1-F349),0))</x:f>
        <x:v>0</x:v>
      </x:c>
      <x:c r="M349" s="74" t="n">
        <x:f>MIN(Assumptions!$C$8*L349,Assumptions!$C$5)</x:f>
        <x:v>0</x:v>
      </x:c>
      <x:c r="N349" s="78" t="n">
        <x:f>IF(ROW()=16,Assumptions!$C$4,V348)</x:f>
        <x:v>9934.05636145717</x:v>
      </x:c>
      <x:c r="O349" s="78" t="n">
        <x:f>IF(AND(K349&gt;IF(F349&gt;=Assumptions!$C$21,Assumptions!$C$10,Assumptions!$C$9),D349&gt;Assumptions!$C$23),N349*M349,0)</x:f>
        <x:v>0</x:v>
      </x:c>
      <x:c r="P349" s="78" t="n">
        <x:f>IFERROR(O349/F349,0)</x:f>
        <x:v>0</x:v>
      </x:c>
      <x:c r="Q349" s="78" t="n">
        <x:v>1</x:v>
      </x:c>
      <x:c r="R349" s="78" t="str">
        <x:v>Resolve</x:v>
      </x:c>
      <x:c r="S349" s="78" t="n">
        <x:f>IF(R349="Resolve",IF(IF(E349="YES",Q349,1-Q349)=1,P349*(1-F349),-O349),P349*(G349-F349))</x:f>
        <x:v>0</x:v>
      </x:c>
      <x:c r="T349" s="78" t="n">
        <x:f>P349*J349</x:f>
        <x:v>0</x:v>
      </x:c>
      <x:c r="U349" s="78" t="n">
        <x:f>S349-T349</x:f>
        <x:v>0</x:v>
      </x:c>
      <x:c r="V349" s="78" t="n">
        <x:f>N349+U349</x:f>
        <x:v>9934.05636145717</x:v>
      </x:c>
      <x:c r="W349" s="74" t="n">
        <x:f>IFERROR(V349/MAX($V$16:V349)-1,0)</x:f>
        <x:v>-0.016997729700348074</x:v>
      </x:c>
      <x:c r="X349" t="str">
        <x:f>IF(O349&gt;0,"TRADE","NO_TRADE")</x:f>
        <x:v>NO_TRADE</x:v>
      </x:c>
    </x:row>
    <x:row r="350">
      <x:c r="A350" s="66" t="n">
        <x:v>46167.519328703704</x:v>
      </x:c>
      <x:c r="B350" s="66" t="str">
        <x:v>MKT_1005</x:v>
      </x:c>
      <x:c r="C350" s="66" t="n">
        <x:v>46167.520833333336</x:v>
      </x:c>
      <x:c r="D350" t="n">
        <x:v>130</x:v>
      </x:c>
      <x:c r="E350" t="str">
        <x:v>YES</x:v>
      </x:c>
      <x:c r="F350" s="74" t="n">
        <x:v>0.94</x:v>
      </x:c>
      <x:c r="G350" s="74" t="n">
        <x:v>0.94</x:v>
      </x:c>
      <x:c r="H350" s="74" t="n">
        <x:v>0.98</x:v>
      </x:c>
      <x:c r="I350" s="74" t="n">
        <x:f>IF(E350="YES",H350,1-H350)</x:f>
        <x:v>0.98</x:v>
      </x:c>
      <x:c r="J350" s="76" t="n">
        <x:f>Assumptions!$C$12+Assumptions!$C$11*F350</x:f>
        <x:v>0.003</x:v>
      </x:c>
      <x:c r="K350" s="76" t="n">
        <x:f>I350-F350-J350</x:f>
        <x:v>0.03700000000000003</x:v>
      </x:c>
      <x:c r="L350" s="74" t="n">
        <x:f>MAX(0,IFERROR(K350/(1-F350),0))</x:f>
        <x:v>0.6166666666666667</x:v>
      </x:c>
      <x:c r="M350" s="74" t="n">
        <x:f>MIN(Assumptions!$C$8*L350,Assumptions!$C$5)</x:f>
        <x:v>0.005</x:v>
      </x:c>
      <x:c r="N350" s="78" t="n">
        <x:f>IF(ROW()=16,Assumptions!$C$4,V349)</x:f>
        <x:v>9934.05636145717</x:v>
      </x:c>
      <x:c r="O350" s="78" t="n">
        <x:f>IF(AND(K350&gt;IF(F350&gt;=Assumptions!$C$21,Assumptions!$C$10,Assumptions!$C$9),D350&gt;Assumptions!$C$23),N350*M350,0)</x:f>
        <x:v>49.670281807285846</x:v>
      </x:c>
      <x:c r="P350" s="78" t="n">
        <x:f>IFERROR(O350/F350,0)</x:f>
        <x:v>52.840725326899836</x:v>
      </x:c>
      <x:c r="Q350" s="78" t="n">
        <x:v>1</x:v>
      </x:c>
      <x:c r="R350" s="78" t="str">
        <x:v>Resolve</x:v>
      </x:c>
      <x:c r="S350" s="78" t="n">
        <x:f>IF(R350="Resolve",IF(IF(E350="YES",Q350,1-Q350)=1,P350*(1-F350),-O350),P350*(G350-F350))</x:f>
        <x:v>3.170443519613993</x:v>
      </x:c>
      <x:c r="T350" s="78" t="n">
        <x:f>P350*J350</x:f>
        <x:v>0.1585221759806995</x:v>
      </x:c>
      <x:c r="U350" s="78" t="n">
        <x:f>S350-T350</x:f>
        <x:v>3.0119213436332934</x:v>
      </x:c>
      <x:c r="V350" s="78" t="n">
        <x:f>N350+U350</x:f>
        <x:v>9937.068282800803</x:v>
      </x:c>
      <x:c r="W350" s="74" t="n">
        <x:f>IFERROR(V350/MAX($V$16:V350)-1,0)</x:f>
        <x:v>-0.016699691777969927</x:v>
      </x:c>
      <x:c r="X350" t="str">
        <x:f>IF(O350&gt;0,"TRADE","NO_TRADE")</x:f>
        <x:v>TRADE</x:v>
      </x:c>
    </x:row>
    <x:row r="351">
      <x:c r="A351" s="66" t="n">
        <x:v>46167.51938657407</x:v>
      </x:c>
      <x:c r="B351" s="66" t="str">
        <x:v>MKT_1005</x:v>
      </x:c>
      <x:c r="C351" s="66" t="n">
        <x:v>46167.520833333336</x:v>
      </x:c>
      <x:c r="D351" t="n">
        <x:v>125</x:v>
      </x:c>
      <x:c r="E351" t="str">
        <x:v>YES</x:v>
      </x:c>
      <x:c r="F351" s="74" t="n">
        <x:v>0.95</x:v>
      </x:c>
      <x:c r="G351" s="74" t="n">
        <x:v>0.95</x:v>
      </x:c>
      <x:c r="H351" s="74" t="n">
        <x:v>0.968</x:v>
      </x:c>
      <x:c r="I351" s="74" t="n">
        <x:f>IF(E351="YES",H351,1-H351)</x:f>
        <x:v>0.968</x:v>
      </x:c>
      <x:c r="J351" s="76" t="n">
        <x:f>Assumptions!$C$12+Assumptions!$C$11*F351</x:f>
        <x:v>0.003</x:v>
      </x:c>
      <x:c r="K351" s="76" t="n">
        <x:f>I351-F351-J351</x:f>
        <x:v>0.015000000000000017</x:v>
      </x:c>
      <x:c r="L351" s="74" t="n">
        <x:f>MAX(0,IFERROR(K351/(1-F351),0))</x:f>
        <x:v>0.30000000000000004</x:v>
      </x:c>
      <x:c r="M351" s="74" t="n">
        <x:f>MIN(Assumptions!$C$8*L351,Assumptions!$C$5)</x:f>
        <x:v>0.005</x:v>
      </x:c>
      <x:c r="N351" s="78" t="n">
        <x:f>IF(ROW()=16,Assumptions!$C$4,V350)</x:f>
        <x:v>9937.068282800803</x:v>
      </x:c>
      <x:c r="O351" s="78" t="n">
        <x:f>IF(AND(K351&gt;IF(F351&gt;=Assumptions!$C$21,Assumptions!$C$10,Assumptions!$C$9),D351&gt;Assumptions!$C$23),N351*M351,0)</x:f>
        <x:v>49.685341414004014</x:v>
      </x:c>
      <x:c r="P351" s="78" t="n">
        <x:f>IFERROR(O351/F351,0)</x:f>
        <x:v>52.300359383162125</x:v>
      </x:c>
      <x:c r="Q351" s="78" t="n">
        <x:v>1</x:v>
      </x:c>
      <x:c r="R351" s="78" t="str">
        <x:v>Resolve</x:v>
      </x:c>
      <x:c r="S351" s="78" t="n">
        <x:f>IF(R351="Resolve",IF(IF(E351="YES",Q351,1-Q351)=1,P351*(1-F351),-O351),P351*(G351-F351))</x:f>
        <x:v>2.6150179691581084</x:v>
      </x:c>
      <x:c r="T351" s="78" t="n">
        <x:f>P351*J351</x:f>
        <x:v>0.15690107814948637</x:v>
      </x:c>
      <x:c r="U351" s="78" t="n">
        <x:f>S351-T351</x:f>
        <x:v>2.458116891008622</x:v>
      </x:c>
      <x:c r="V351" s="78" t="n">
        <x:f>N351+U351</x:f>
        <x:v>9939.526399691811</x:v>
      </x:c>
      <x:c r="W351" s="74" t="n">
        <x:f>IFERROR(V351/MAX($V$16:V351)-1,0)</x:f>
        <x:v>-0.01645645433330456</x:v>
      </x:c>
      <x:c r="X351" t="str">
        <x:f>IF(O351&gt;0,"TRADE","NO_TRADE")</x:f>
        <x:v>TRADE</x:v>
      </x:c>
    </x:row>
    <x:row r="352">
      <x:c r="A352" s="66" t="n">
        <x:v>46167.51944444444</x:v>
      </x:c>
      <x:c r="B352" s="66" t="str">
        <x:v>MKT_1005</x:v>
      </x:c>
      <x:c r="C352" s="66" t="n">
        <x:v>46167.520833333336</x:v>
      </x:c>
      <x:c r="D352" t="n">
        <x:v>120</x:v>
      </x:c>
      <x:c r="E352" t="str">
        <x:v>NO</x:v>
      </x:c>
      <x:c r="F352" s="74" t="n">
        <x:v>0.57</x:v>
      </x:c>
      <x:c r="G352" s="74" t="n">
        <x:v>0.57</x:v>
      </x:c>
      <x:c r="H352" s="74" t="n">
        <x:v>0.582</x:v>
      </x:c>
      <x:c r="I352" s="74" t="n">
        <x:f>IF(E352="YES",H352,1-H352)</x:f>
        <x:v>0.41800000000000004</x:v>
      </x:c>
      <x:c r="J352" s="76" t="n">
        <x:f>Assumptions!$C$12+Assumptions!$C$11*F352</x:f>
        <x:v>0.003</x:v>
      </x:c>
      <x:c r="K352" s="76" t="n">
        <x:f>I352-F352-J352</x:f>
        <x:v>-0.15499999999999992</x:v>
      </x:c>
      <x:c r="L352" s="74" t="n">
        <x:f>MAX(0,IFERROR(K352/(1-F352),0))</x:f>
        <x:v>0</x:v>
      </x:c>
      <x:c r="M352" s="74" t="n">
        <x:f>MIN(Assumptions!$C$8*L352,Assumptions!$C$5)</x:f>
        <x:v>0</x:v>
      </x:c>
      <x:c r="N352" s="78" t="n">
        <x:f>IF(ROW()=16,Assumptions!$C$4,V351)</x:f>
        <x:v>9939.526399691811</x:v>
      </x:c>
      <x:c r="O352" s="78" t="n">
        <x:f>IF(AND(K352&gt;IF(F352&gt;=Assumptions!$C$21,Assumptions!$C$10,Assumptions!$C$9),D352&gt;Assumptions!$C$23),N352*M352,0)</x:f>
        <x:v>0</x:v>
      </x:c>
      <x:c r="P352" s="78" t="n">
        <x:f>IFERROR(O352/F352,0)</x:f>
        <x:v>0</x:v>
      </x:c>
      <x:c r="Q352" s="78" t="n">
        <x:v>0</x:v>
      </x:c>
      <x:c r="R352" s="78" t="str">
        <x:v>Resolve</x:v>
      </x:c>
      <x:c r="S352" s="78" t="n">
        <x:f>IF(R352="Resolve",IF(IF(E352="YES",Q352,1-Q352)=1,P352*(1-F352),-O352),P352*(G352-F352))</x:f>
        <x:v>0</x:v>
      </x:c>
      <x:c r="T352" s="78" t="n">
        <x:f>P352*J352</x:f>
        <x:v>0</x:v>
      </x:c>
      <x:c r="U352" s="78" t="n">
        <x:f>S352-T352</x:f>
        <x:v>0</x:v>
      </x:c>
      <x:c r="V352" s="78" t="n">
        <x:f>N352+U352</x:f>
        <x:v>9939.526399691811</x:v>
      </x:c>
      <x:c r="W352" s="74" t="n">
        <x:f>IFERROR(V352/MAX($V$16:V352)-1,0)</x:f>
        <x:v>-0.01645645433330456</x:v>
      </x:c>
      <x:c r="X352" t="str">
        <x:f>IF(O352&gt;0,"TRADE","NO_TRADE")</x:f>
        <x:v>NO_TRADE</x:v>
      </x:c>
    </x:row>
    <x:row r="353">
      <x:c r="A353" s="66" t="n">
        <x:v>46167.51950231481</x:v>
      </x:c>
      <x:c r="B353" s="66" t="str">
        <x:v>MKT_1005</x:v>
      </x:c>
      <x:c r="C353" s="66" t="n">
        <x:v>46167.520833333336</x:v>
      </x:c>
      <x:c r="D353" t="n">
        <x:v>115</x:v>
      </x:c>
      <x:c r="E353" t="str">
        <x:v>YES</x:v>
      </x:c>
      <x:c r="F353" s="74" t="n">
        <x:v>0.68</x:v>
      </x:c>
      <x:c r="G353" s="74" t="n">
        <x:v>0.68</x:v>
      </x:c>
      <x:c r="H353" s="74" t="n">
        <x:v>0.7050000000000001</x:v>
      </x:c>
      <x:c r="I353" s="74" t="n">
        <x:f>IF(E353="YES",H353,1-H353)</x:f>
        <x:v>0.7050000000000001</x:v>
      </x:c>
      <x:c r="J353" s="76" t="n">
        <x:f>Assumptions!$C$12+Assumptions!$C$11*F353</x:f>
        <x:v>0.003</x:v>
      </x:c>
      <x:c r="K353" s="76" t="n">
        <x:f>I353-F353-J353</x:f>
        <x:v>0.022000000000000023</x:v>
      </x:c>
      <x:c r="L353" s="74" t="n">
        <x:f>MAX(0,IFERROR(K353/(1-F353),0))</x:f>
        <x:v>0.06875000000000009</x:v>
      </x:c>
      <x:c r="M353" s="74" t="n">
        <x:f>MIN(Assumptions!$C$8*L353,Assumptions!$C$5)</x:f>
        <x:v>0.005</x:v>
      </x:c>
      <x:c r="N353" s="78" t="n">
        <x:f>IF(ROW()=16,Assumptions!$C$4,V352)</x:f>
        <x:v>9939.526399691811</x:v>
      </x:c>
      <x:c r="O353" s="78" t="n">
        <x:f>IF(AND(K353&gt;IF(F353&gt;=Assumptions!$C$21,Assumptions!$C$10,Assumptions!$C$9),D353&gt;Assumptions!$C$23),N353*M353,0)</x:f>
        <x:v>49.69763199845906</x:v>
      </x:c>
      <x:c r="P353" s="78" t="n">
        <x:f>IFERROR(O353/F353,0)</x:f>
        <x:v>73.08475293891037</x:v>
      </x:c>
      <x:c r="Q353" s="78" t="n">
        <x:v>1</x:v>
      </x:c>
      <x:c r="R353" s="78" t="str">
        <x:v>Resolve</x:v>
      </x:c>
      <x:c r="S353" s="78" t="n">
        <x:f>IF(R353="Resolve",IF(IF(E353="YES",Q353,1-Q353)=1,P353*(1-F353),-O353),P353*(G353-F353))</x:f>
        <x:v>23.387120940451315</x:v>
      </x:c>
      <x:c r="T353" s="78" t="n">
        <x:f>P353*J353</x:f>
        <x:v>0.2192542588167311</x:v>
      </x:c>
      <x:c r="U353" s="78" t="n">
        <x:f>S353-T353</x:f>
        <x:v>23.16786668163458</x:v>
      </x:c>
      <x:c r="V353" s="78" t="n">
        <x:f>N353+U353</x:f>
        <x:v>9962.694266373446</x:v>
      </x:c>
      <x:c r="W353" s="74" t="n">
        <x:f>IFERROR(V353/MAX($V$16:V353)-1,0)</x:f>
        <x:v>-0.014163930039360784</x:v>
      </x:c>
      <x:c r="X353" t="str">
        <x:f>IF(O353&gt;0,"TRADE","NO_TRADE")</x:f>
        <x:v>TRADE</x:v>
      </x:c>
    </x:row>
    <x:row r="354">
      <x:c r="A354" s="66" t="n">
        <x:v>46167.51956018519</x:v>
      </x:c>
      <x:c r="B354" s="66" t="str">
        <x:v>MKT_1005</x:v>
      </x:c>
      <x:c r="C354" s="66" t="n">
        <x:v>46167.520833333336</x:v>
      </x:c>
      <x:c r="D354" t="n">
        <x:v>110</x:v>
      </x:c>
      <x:c r="E354" t="str">
        <x:v>YES</x:v>
      </x:c>
      <x:c r="F354" s="74" t="n">
        <x:v>0.91</x:v>
      </x:c>
      <x:c r="G354" s="74" t="n">
        <x:v>0.91</x:v>
      </x:c>
      <x:c r="H354" s="74" t="n">
        <x:v>0.9450000000000001</x:v>
      </x:c>
      <x:c r="I354" s="74" t="n">
        <x:f>IF(E354="YES",H354,1-H354)</x:f>
        <x:v>0.9450000000000001</x:v>
      </x:c>
      <x:c r="J354" s="76" t="n">
        <x:f>Assumptions!$C$12+Assumptions!$C$11*F354</x:f>
        <x:v>0.003</x:v>
      </x:c>
      <x:c r="K354" s="76" t="n">
        <x:f>I354-F354-J354</x:f>
        <x:v>0.03200000000000003</x:v>
      </x:c>
      <x:c r="L354" s="74" t="n">
        <x:f>MAX(0,IFERROR(K354/(1-F354),0))</x:f>
        <x:v>0.355555555555556</x:v>
      </x:c>
      <x:c r="M354" s="74" t="n">
        <x:f>MIN(Assumptions!$C$8*L354,Assumptions!$C$5)</x:f>
        <x:v>0.005</x:v>
      </x:c>
      <x:c r="N354" s="78" t="n">
        <x:f>IF(ROW()=16,Assumptions!$C$4,V353)</x:f>
        <x:v>9962.694266373446</x:v>
      </x:c>
      <x:c r="O354" s="78" t="n">
        <x:f>IF(AND(K354&gt;IF(F354&gt;=Assumptions!$C$21,Assumptions!$C$10,Assumptions!$C$9),D354&gt;Assumptions!$C$23),N354*M354,0)</x:f>
        <x:v>49.813471331867234</x:v>
      </x:c>
      <x:c r="P354" s="78" t="n">
        <x:f>IFERROR(O354/F354,0)</x:f>
        <x:v>54.740078386667285</x:v>
      </x:c>
      <x:c r="Q354" s="78" t="n">
        <x:v>1</x:v>
      </x:c>
      <x:c r="R354" s="78" t="str">
        <x:v>Resolve</x:v>
      </x:c>
      <x:c r="S354" s="78" t="n">
        <x:f>IF(R354="Resolve",IF(IF(E354="YES",Q354,1-Q354)=1,P354*(1-F354),-O354),P354*(G354-F354))</x:f>
        <x:v>4.926607054800054</x:v>
      </x:c>
      <x:c r="T354" s="78" t="n">
        <x:f>P354*J354</x:f>
        <x:v>0.16422023516000187</x:v>
      </x:c>
      <x:c r="U354" s="78" t="n">
        <x:f>S354-T354</x:f>
        <x:v>4.762386819640052</x:v>
      </x:c>
      <x:c r="V354" s="78" t="n">
        <x:f>N354+U354</x:f>
        <x:v>9967.456653193087</x:v>
      </x:c>
      <x:c r="W354" s="74" t="n">
        <x:f>IFERROR(V354/MAX($V$16:V354)-1,0)</x:f>
        <x:v>-0.013692678731192731</x:v>
      </x:c>
      <x:c r="X354" t="str">
        <x:f>IF(O354&gt;0,"TRADE","NO_TRADE")</x:f>
        <x:v>TRADE</x:v>
      </x:c>
    </x:row>
    <x:row r="355">
      <x:c r="A355" s="66" t="n">
        <x:v>46167.51961805556</x:v>
      </x:c>
      <x:c r="B355" s="66" t="str">
        <x:v>MKT_1005</x:v>
      </x:c>
      <x:c r="C355" s="66" t="n">
        <x:v>46167.520833333336</x:v>
      </x:c>
      <x:c r="D355" t="n">
        <x:v>105</x:v>
      </x:c>
      <x:c r="E355" t="str">
        <x:v>NO</x:v>
      </x:c>
      <x:c r="F355" s="74" t="n">
        <x:v>0.83</x:v>
      </x:c>
      <x:c r="G355" s="74" t="n">
        <x:v>0.83</x:v>
      </x:c>
      <x:c r="H355" s="74" t="n">
        <x:v>0.82</x:v>
      </x:c>
      <x:c r="I355" s="74" t="n">
        <x:f>IF(E355="YES",H355,1-H355)</x:f>
        <x:v>0.18000000000000005</x:v>
      </x:c>
      <x:c r="J355" s="76" t="n">
        <x:f>Assumptions!$C$12+Assumptions!$C$11*F355</x:f>
        <x:v>0.003</x:v>
      </x:c>
      <x:c r="K355" s="76" t="n">
        <x:f>I355-F355-J355</x:f>
        <x:v>-0.6529999999999999</x:v>
      </x:c>
      <x:c r="L355" s="74" t="n">
        <x:f>MAX(0,IFERROR(K355/(1-F355),0))</x:f>
        <x:v>0</x:v>
      </x:c>
      <x:c r="M355" s="74" t="n">
        <x:f>MIN(Assumptions!$C$8*L355,Assumptions!$C$5)</x:f>
        <x:v>0</x:v>
      </x:c>
      <x:c r="N355" s="78" t="n">
        <x:f>IF(ROW()=16,Assumptions!$C$4,V354)</x:f>
        <x:v>9967.456653193087</x:v>
      </x:c>
      <x:c r="O355" s="78" t="n">
        <x:f>IF(AND(K355&gt;IF(F355&gt;=Assumptions!$C$21,Assumptions!$C$10,Assumptions!$C$9),D355&gt;Assumptions!$C$23),N355*M355,0)</x:f>
        <x:v>0</x:v>
      </x:c>
      <x:c r="P355" s="78" t="n">
        <x:f>IFERROR(O355/F355,0)</x:f>
        <x:v>0</x:v>
      </x:c>
      <x:c r="Q355" s="78" t="n">
        <x:v>0</x:v>
      </x:c>
      <x:c r="R355" s="78" t="str">
        <x:v>Resolve</x:v>
      </x:c>
      <x:c r="S355" s="78" t="n">
        <x:f>IF(R355="Resolve",IF(IF(E355="YES",Q355,1-Q355)=1,P355*(1-F355),-O355),P355*(G355-F355))</x:f>
        <x:v>0</x:v>
      </x:c>
      <x:c r="T355" s="78" t="n">
        <x:f>P355*J355</x:f>
        <x:v>0</x:v>
      </x:c>
      <x:c r="U355" s="78" t="n">
        <x:f>S355-T355</x:f>
        <x:v>0</x:v>
      </x:c>
      <x:c r="V355" s="78" t="n">
        <x:f>N355+U355</x:f>
        <x:v>9967.456653193087</x:v>
      </x:c>
      <x:c r="W355" s="74" t="n">
        <x:f>IFERROR(V355/MAX($V$16:V355)-1,0)</x:f>
        <x:v>-0.013692678731192731</x:v>
      </x:c>
      <x:c r="X355" t="str">
        <x:f>IF(O355&gt;0,"TRADE","NO_TRADE")</x:f>
        <x:v>NO_TRADE</x:v>
      </x:c>
    </x:row>
    <x:row r="356">
      <x:c r="A356" s="66" t="n">
        <x:v>46167.51967592593</x:v>
      </x:c>
      <x:c r="B356" s="66" t="str">
        <x:v>MKT_1005</x:v>
      </x:c>
      <x:c r="C356" s="66" t="n">
        <x:v>46167.520833333336</x:v>
      </x:c>
      <x:c r="D356" t="n">
        <x:v>100</x:v>
      </x:c>
      <x:c r="E356" t="str">
        <x:v>YES</x:v>
      </x:c>
      <x:c r="F356" s="74" t="n">
        <x:v>0.52</x:v>
      </x:c>
      <x:c r="G356" s="74" t="n">
        <x:v>0.52</x:v>
      </x:c>
      <x:c r="H356" s="74" t="n">
        <x:v>0.535</x:v>
      </x:c>
      <x:c r="I356" s="74" t="n">
        <x:f>IF(E356="YES",H356,1-H356)</x:f>
        <x:v>0.535</x:v>
      </x:c>
      <x:c r="J356" s="76" t="n">
        <x:f>Assumptions!$C$12+Assumptions!$C$11*F356</x:f>
        <x:v>0.003</x:v>
      </x:c>
      <x:c r="K356" s="76" t="n">
        <x:f>I356-F356-J356</x:f>
        <x:v>0.012000000000000014</x:v>
      </x:c>
      <x:c r="L356" s="74" t="n">
        <x:f>MAX(0,IFERROR(K356/(1-F356),0))</x:f>
        <x:v>0.02500000000000003</x:v>
      </x:c>
      <x:c r="M356" s="74" t="n">
        <x:f>MIN(Assumptions!$C$8*L356,Assumptions!$C$5)</x:f>
        <x:v>0.005</x:v>
      </x:c>
      <x:c r="N356" s="78" t="n">
        <x:f>IF(ROW()=16,Assumptions!$C$4,V355)</x:f>
        <x:v>9967.456653193087</x:v>
      </x:c>
      <x:c r="O356" s="78" t="n">
        <x:f>IF(AND(K356&gt;IF(F356&gt;=Assumptions!$C$21,Assumptions!$C$10,Assumptions!$C$9),D356&gt;Assumptions!$C$23),N356*M356,0)</x:f>
        <x:v>49.83728326596543</x:v>
      </x:c>
      <x:c r="P356" s="78" t="n">
        <x:f>IFERROR(O356/F356,0)</x:f>
        <x:v>95.84092935762582</x:v>
      </x:c>
      <x:c r="Q356" s="78" t="n">
        <x:v>1</x:v>
      </x:c>
      <x:c r="R356" s="78" t="str">
        <x:v>Resolve</x:v>
      </x:c>
      <x:c r="S356" s="78" t="n">
        <x:f>IF(R356="Resolve",IF(IF(E356="YES",Q356,1-Q356)=1,P356*(1-F356),-O356),P356*(G356-F356))</x:f>
        <x:v>46.00364609166039</x:v>
      </x:c>
      <x:c r="T356" s="78" t="n">
        <x:f>P356*J356</x:f>
        <x:v>0.28752278807287746</x:v>
      </x:c>
      <x:c r="U356" s="78" t="n">
        <x:f>S356-T356</x:f>
        <x:v>45.716123303587516</x:v>
      </x:c>
      <x:c r="V356" s="78" t="n">
        <x:f>N356+U356</x:f>
        <x:v>10013.172776496674</x:v>
      </x:c>
      <x:c r="W356" s="74" t="n">
        <x:f>IFERROR(V356/MAX($V$16:V356)-1,0)</x:f>
        <x:v>-0.009168942267296365</x:v>
      </x:c>
      <x:c r="X356" t="str">
        <x:f>IF(O356&gt;0,"TRADE","NO_TRADE")</x:f>
        <x:v>TRADE</x:v>
      </x:c>
    </x:row>
    <x:row r="357">
      <x:c r="A357" s="66" t="n">
        <x:v>46167.519733796296</x:v>
      </x:c>
      <x:c r="B357" s="66" t="str">
        <x:v>MKT_1005</x:v>
      </x:c>
      <x:c r="C357" s="66" t="n">
        <x:v>46167.520833333336</x:v>
      </x:c>
      <x:c r="D357" t="n">
        <x:v>95</x:v>
      </x:c>
      <x:c r="E357" t="str">
        <x:v>YES</x:v>
      </x:c>
      <x:c r="F357" s="74" t="n">
        <x:v>0.61</x:v>
      </x:c>
      <x:c r="G357" s="74" t="n">
        <x:v>0.61</x:v>
      </x:c>
      <x:c r="H357" s="74" t="n">
        <x:v>0.63</x:v>
      </x:c>
      <x:c r="I357" s="74" t="n">
        <x:f>IF(E357="YES",H357,1-H357)</x:f>
        <x:v>0.63</x:v>
      </x:c>
      <x:c r="J357" s="76" t="n">
        <x:f>Assumptions!$C$12+Assumptions!$C$11*F357</x:f>
        <x:v>0.003</x:v>
      </x:c>
      <x:c r="K357" s="76" t="n">
        <x:f>I357-F357-J357</x:f>
        <x:v>0.01700000000000002</x:v>
      </x:c>
      <x:c r="L357" s="74" t="n">
        <x:f>MAX(0,IFERROR(K357/(1-F357),0))</x:f>
        <x:v>0.043589743589743636</x:v>
      </x:c>
      <x:c r="M357" s="74" t="n">
        <x:f>MIN(Assumptions!$C$8*L357,Assumptions!$C$5)</x:f>
        <x:v>0.005</x:v>
      </x:c>
      <x:c r="N357" s="78" t="n">
        <x:f>IF(ROW()=16,Assumptions!$C$4,V356)</x:f>
        <x:v>10013.172776496674</x:v>
      </x:c>
      <x:c r="O357" s="78" t="n">
        <x:f>IF(AND(K357&gt;IF(F357&gt;=Assumptions!$C$21,Assumptions!$C$10,Assumptions!$C$9),D357&gt;Assumptions!$C$23),N357*M357,0)</x:f>
        <x:v>50.06586388248337</x:v>
      </x:c>
      <x:c r="P357" s="78" t="n">
        <x:f>IFERROR(O357/F357,0)</x:f>
        <x:v>82.0751866925957</x:v>
      </x:c>
      <x:c r="Q357" s="78" t="n">
        <x:v>1</x:v>
      </x:c>
      <x:c r="R357" s="78" t="str">
        <x:v>Resolve</x:v>
      </x:c>
      <x:c r="S357" s="78" t="n">
        <x:f>IF(R357="Resolve",IF(IF(E357="YES",Q357,1-Q357)=1,P357*(1-F357),-O357),P357*(G357-F357))</x:f>
        <x:v>32.00932281011232</x:v>
      </x:c>
      <x:c r="T357" s="78" t="n">
        <x:f>P357*J357</x:f>
        <x:v>0.2462255600777871</x:v>
      </x:c>
      <x:c r="U357" s="78" t="n">
        <x:f>S357-T357</x:f>
        <x:v>31.763097250034537</x:v>
      </x:c>
      <x:c r="V357" s="78" t="n">
        <x:f>N357+U357</x:f>
        <x:v>10044.935873746708</x:v>
      </x:c>
      <x:c r="W357" s="74" t="n">
        <x:f>IFERROR(V357/MAX($V$16:V357)-1,0)</x:f>
        <x:v>-0.006025896207111581</x:v>
      </x:c>
      <x:c r="X357" t="str">
        <x:f>IF(O357&gt;0,"TRADE","NO_TRADE")</x:f>
        <x:v>TRADE</x:v>
      </x:c>
    </x:row>
    <x:row r="358">
      <x:c r="A358" s="66" t="n">
        <x:v>46167.519791666666</x:v>
      </x:c>
      <x:c r="B358" s="66" t="str">
        <x:v>MKT_1005</x:v>
      </x:c>
      <x:c r="C358" s="66" t="n">
        <x:v>46167.520833333336</x:v>
      </x:c>
      <x:c r="D358" t="n">
        <x:v>90</x:v>
      </x:c>
      <x:c r="E358" t="str">
        <x:v>NO</x:v>
      </x:c>
      <x:c r="F358" s="74" t="n">
        <x:v>0.74</x:v>
      </x:c>
      <x:c r="G358" s="74" t="n">
        <x:v>0.74</x:v>
      </x:c>
      <x:c r="H358" s="74" t="n">
        <x:v>0.735</x:v>
      </x:c>
      <x:c r="I358" s="74" t="n">
        <x:f>IF(E358="YES",H358,1-H358)</x:f>
        <x:v>0.265</x:v>
      </x:c>
      <x:c r="J358" s="76" t="n">
        <x:f>Assumptions!$C$12+Assumptions!$C$11*F358</x:f>
        <x:v>0.003</x:v>
      </x:c>
      <x:c r="K358" s="76" t="n">
        <x:f>I358-F358-J358</x:f>
        <x:v>-0.478</x:v>
      </x:c>
      <x:c r="L358" s="74" t="n">
        <x:f>MAX(0,IFERROR(K358/(1-F358),0))</x:f>
        <x:v>0</x:v>
      </x:c>
      <x:c r="M358" s="74" t="n">
        <x:f>MIN(Assumptions!$C$8*L358,Assumptions!$C$5)</x:f>
        <x:v>0</x:v>
      </x:c>
      <x:c r="N358" s="78" t="n">
        <x:f>IF(ROW()=16,Assumptions!$C$4,V357)</x:f>
        <x:v>10044.935873746708</x:v>
      </x:c>
      <x:c r="O358" s="78" t="n">
        <x:f>IF(AND(K358&gt;IF(F358&gt;=Assumptions!$C$21,Assumptions!$C$10,Assumptions!$C$9),D358&gt;Assumptions!$C$23),N358*M358,0)</x:f>
        <x:v>0</x:v>
      </x:c>
      <x:c r="P358" s="78" t="n">
        <x:f>IFERROR(O358/F358,0)</x:f>
        <x:v>0</x:v>
      </x:c>
      <x:c r="Q358" s="78" t="n">
        <x:v>1</x:v>
      </x:c>
      <x:c r="R358" s="78" t="str">
        <x:v>Resolve</x:v>
      </x:c>
      <x:c r="S358" s="78" t="n">
        <x:f>IF(R358="Resolve",IF(IF(E358="YES",Q358,1-Q358)=1,P358*(1-F358),-O358),P358*(G358-F358))</x:f>
        <x:v>0</x:v>
      </x:c>
      <x:c r="T358" s="78" t="n">
        <x:f>P358*J358</x:f>
        <x:v>0</x:v>
      </x:c>
      <x:c r="U358" s="78" t="n">
        <x:f>S358-T358</x:f>
        <x:v>0</x:v>
      </x:c>
      <x:c r="V358" s="78" t="n">
        <x:f>N358+U358</x:f>
        <x:v>10044.935873746708</x:v>
      </x:c>
      <x:c r="W358" s="74" t="n">
        <x:f>IFERROR(V358/MAX($V$16:V358)-1,0)</x:f>
        <x:v>-0.006025896207111581</x:v>
      </x:c>
      <x:c r="X358" t="str">
        <x:f>IF(O358&gt;0,"TRADE","NO_TRADE")</x:f>
        <x:v>NO_TRADE</x:v>
      </x:c>
    </x:row>
    <x:row r="359">
      <x:c r="A359" s="66" t="n">
        <x:v>46167.519849537035</x:v>
      </x:c>
      <x:c r="B359" s="66" t="str">
        <x:v>MKT_1005</x:v>
      </x:c>
      <x:c r="C359" s="66" t="n">
        <x:v>46167.520833333336</x:v>
      </x:c>
      <x:c r="D359" t="n">
        <x:v>85</x:v>
      </x:c>
      <x:c r="E359" t="str">
        <x:v>YES</x:v>
      </x:c>
      <x:c r="F359" s="74" t="n">
        <x:v>0.88</x:v>
      </x:c>
      <x:c r="G359" s="74" t="n">
        <x:v>0.88</x:v>
      </x:c>
      <x:c r="H359" s="74" t="n">
        <x:v>0.91</x:v>
      </x:c>
      <x:c r="I359" s="74" t="n">
        <x:f>IF(E359="YES",H359,1-H359)</x:f>
        <x:v>0.91</x:v>
      </x:c>
      <x:c r="J359" s="76" t="n">
        <x:f>Assumptions!$C$12+Assumptions!$C$11*F359</x:f>
        <x:v>0.003</x:v>
      </x:c>
      <x:c r="K359" s="76" t="n">
        <x:f>I359-F359-J359</x:f>
        <x:v>0.027000000000000027</x:v>
      </x:c>
      <x:c r="L359" s="74" t="n">
        <x:f>MAX(0,IFERROR(K359/(1-F359),0))</x:f>
        <x:v>0.22500000000000023</x:v>
      </x:c>
      <x:c r="M359" s="74" t="n">
        <x:f>MIN(Assumptions!$C$8*L359,Assumptions!$C$5)</x:f>
        <x:v>0.005</x:v>
      </x:c>
      <x:c r="N359" s="78" t="n">
        <x:f>IF(ROW()=16,Assumptions!$C$4,V358)</x:f>
        <x:v>10044.935873746708</x:v>
      </x:c>
      <x:c r="O359" s="78" t="n">
        <x:f>IF(AND(K359&gt;IF(F359&gt;=Assumptions!$C$21,Assumptions!$C$10,Assumptions!$C$9),D359&gt;Assumptions!$C$23),N359*M359,0)</x:f>
        <x:v>50.22467936873354</x:v>
      </x:c>
      <x:c r="P359" s="78" t="n">
        <x:f>IFERROR(O359/F359,0)</x:f>
        <x:v>57.07349928265175</x:v>
      </x:c>
      <x:c r="Q359" s="78" t="n">
        <x:v>0</x:v>
      </x:c>
      <x:c r="R359" s="78" t="str">
        <x:v>Resolve</x:v>
      </x:c>
      <x:c r="S359" s="78" t="n">
        <x:f>IF(R359="Resolve",IF(IF(E359="YES",Q359,1-Q359)=1,P359*(1-F359),-O359),P359*(G359-F359))</x:f>
        <x:v>-50.22467936873354</x:v>
      </x:c>
      <x:c r="T359" s="78" t="n">
        <x:f>P359*J359</x:f>
        <x:v>0.17122049784795526</x:v>
      </x:c>
      <x:c r="U359" s="78" t="n">
        <x:f>S359-T359</x:f>
        <x:v>-50.395899866581495</x:v>
      </x:c>
      <x:c r="V359" s="78" t="n">
        <x:f>N359+U359</x:f>
        <x:v>9994.539973880126</x:v>
      </x:c>
      <x:c r="W359" s="74" t="n">
        <x:f>IFERROR(V359/MAX($V$16:V359)-1,0)</x:f>
        <x:v>-0.011012709466481696</x:v>
      </x:c>
      <x:c r="X359" t="str">
        <x:f>IF(O359&gt;0,"TRADE","NO_TRADE")</x:f>
        <x:v>TRADE</x:v>
      </x:c>
    </x:row>
    <x:row r="360">
      <x:c r="A360" s="66" t="n">
        <x:v>46167.519907407404</x:v>
      </x:c>
      <x:c r="B360" s="66" t="str">
        <x:v>MKT_1005</x:v>
      </x:c>
      <x:c r="C360" s="66" t="n">
        <x:v>46167.520833333336</x:v>
      </x:c>
      <x:c r="D360" t="n">
        <x:v>80</x:v>
      </x:c>
      <x:c r="E360" t="str">
        <x:v>YES</x:v>
      </x:c>
      <x:c r="F360" s="74" t="n">
        <x:v>0.94</x:v>
      </x:c>
      <x:c r="G360" s="74" t="n">
        <x:v>0.94</x:v>
      </x:c>
      <x:c r="H360" s="74" t="n">
        <x:v>0.98</x:v>
      </x:c>
      <x:c r="I360" s="74" t="n">
        <x:f>IF(E360="YES",H360,1-H360)</x:f>
        <x:v>0.98</x:v>
      </x:c>
      <x:c r="J360" s="76" t="n">
        <x:f>Assumptions!$C$12+Assumptions!$C$11*F360</x:f>
        <x:v>0.003</x:v>
      </x:c>
      <x:c r="K360" s="76" t="n">
        <x:f>I360-F360-J360</x:f>
        <x:v>0.03700000000000003</x:v>
      </x:c>
      <x:c r="L360" s="74" t="n">
        <x:f>MAX(0,IFERROR(K360/(1-F360),0))</x:f>
        <x:v>0.6166666666666667</x:v>
      </x:c>
      <x:c r="M360" s="74" t="n">
        <x:f>MIN(Assumptions!$C$8*L360,Assumptions!$C$5)</x:f>
        <x:v>0.005</x:v>
      </x:c>
      <x:c r="N360" s="78" t="n">
        <x:f>IF(ROW()=16,Assumptions!$C$4,V359)</x:f>
        <x:v>9994.539973880126</x:v>
      </x:c>
      <x:c r="O360" s="78" t="n">
        <x:f>IF(AND(K360&gt;IF(F360&gt;=Assumptions!$C$21,Assumptions!$C$10,Assumptions!$C$9),D360&gt;Assumptions!$C$23),N360*M360,0)</x:f>
        <x:v>49.97269986940063</x:v>
      </x:c>
      <x:c r="P360" s="78" t="n">
        <x:f>IFERROR(O360/F360,0)</x:f>
        <x:v>53.16244666957514</x:v>
      </x:c>
      <x:c r="Q360" s="78" t="n">
        <x:v>1</x:v>
      </x:c>
      <x:c r="R360" s="78" t="str">
        <x:v>Resolve</x:v>
      </x:c>
      <x:c r="S360" s="78" t="n">
        <x:f>IF(R360="Resolve",IF(IF(E360="YES",Q360,1-Q360)=1,P360*(1-F360),-O360),P360*(G360-F360))</x:f>
        <x:v>3.189746800174511</x:v>
      </x:c>
      <x:c r="T360" s="78" t="n">
        <x:f>P360*J360</x:f>
        <x:v>0.15948734000872541</x:v>
      </x:c>
      <x:c r="U360" s="78" t="n">
        <x:f>S360-T360</x:f>
        <x:v>3.0302594601657855</x:v>
      </x:c>
      <x:c r="V360" s="78" t="n">
        <x:f>N360+U360</x:f>
        <x:v>9997.570233340291</x:v>
      </x:c>
      <x:c r="W360" s="74" t="n">
        <x:f>IFERROR(V360/MAX($V$16:V360)-1,0)</x:f>
        <x:v>-0.010712856936905046</x:v>
      </x:c>
      <x:c r="X360" t="str">
        <x:f>IF(O360&gt;0,"TRADE","NO_TRADE")</x:f>
        <x:v>TRADE</x:v>
      </x:c>
    </x:row>
    <x:row r="361">
      <x:c r="A361" s="66" t="n">
        <x:v>46167.51996527778</x:v>
      </x:c>
      <x:c r="B361" s="66" t="str">
        <x:v>MKT_1005</x:v>
      </x:c>
      <x:c r="C361" s="66" t="n">
        <x:v>46167.520833333336</x:v>
      </x:c>
      <x:c r="D361" t="n">
        <x:v>75</x:v>
      </x:c>
      <x:c r="E361" t="str">
        <x:v>NO</x:v>
      </x:c>
      <x:c r="F361" s="74" t="n">
        <x:v>0.95</x:v>
      </x:c>
      <x:c r="G361" s="74" t="n">
        <x:v>0.95</x:v>
      </x:c>
      <x:c r="H361" s="74" t="n">
        <x:v>0.968</x:v>
      </x:c>
      <x:c r="I361" s="74" t="n">
        <x:f>IF(E361="YES",H361,1-H361)</x:f>
        <x:v>0.03200000000000003</x:v>
      </x:c>
      <x:c r="J361" s="76" t="n">
        <x:f>Assumptions!$C$12+Assumptions!$C$11*F361</x:f>
        <x:v>0.003</x:v>
      </x:c>
      <x:c r="K361" s="76" t="n">
        <x:f>I361-F361-J361</x:f>
        <x:v>-0.9209999999999999</x:v>
      </x:c>
      <x:c r="L361" s="74" t="n">
        <x:f>MAX(0,IFERROR(K361/(1-F361),0))</x:f>
        <x:v>0</x:v>
      </x:c>
      <x:c r="M361" s="74" t="n">
        <x:f>MIN(Assumptions!$C$8*L361,Assumptions!$C$5)</x:f>
        <x:v>0</x:v>
      </x:c>
      <x:c r="N361" s="78" t="n">
        <x:f>IF(ROW()=16,Assumptions!$C$4,V360)</x:f>
        <x:v>9997.570233340291</x:v>
      </x:c>
      <x:c r="O361" s="78" t="n">
        <x:f>IF(AND(K361&gt;IF(F361&gt;=Assumptions!$C$21,Assumptions!$C$10,Assumptions!$C$9),D361&gt;Assumptions!$C$23),N361*M361,0)</x:f>
        <x:v>0</x:v>
      </x:c>
      <x:c r="P361" s="78" t="n">
        <x:f>IFERROR(O361/F361,0)</x:f>
        <x:v>0</x:v>
      </x:c>
      <x:c r="Q361" s="78" t="n">
        <x:v>1</x:v>
      </x:c>
      <x:c r="R361" s="78" t="str">
        <x:v>Resolve</x:v>
      </x:c>
      <x:c r="S361" s="78" t="n">
        <x:f>IF(R361="Resolve",IF(IF(E361="YES",Q361,1-Q361)=1,P361*(1-F361),-O361),P361*(G361-F361))</x:f>
        <x:v>0</x:v>
      </x:c>
      <x:c r="T361" s="78" t="n">
        <x:f>P361*J361</x:f>
        <x:v>0</x:v>
      </x:c>
      <x:c r="U361" s="78" t="n">
        <x:f>S361-T361</x:f>
        <x:v>0</x:v>
      </x:c>
      <x:c r="V361" s="78" t="n">
        <x:f>N361+U361</x:f>
        <x:v>9997.570233340291</x:v>
      </x:c>
      <x:c r="W361" s="74" t="n">
        <x:f>IFERROR(V361/MAX($V$16:V361)-1,0)</x:f>
        <x:v>-0.010712856936905046</x:v>
      </x:c>
      <x:c r="X361" t="str">
        <x:f>IF(O361&gt;0,"TRADE","NO_TRADE")</x:f>
        <x:v>NO_TRADE</x:v>
      </x:c>
    </x:row>
    <x:row r="362">
      <x:c r="A362" s="66" t="n">
        <x:v>46167.52002314815</x:v>
      </x:c>
      <x:c r="B362" s="66" t="str">
        <x:v>MKT_1005</x:v>
      </x:c>
      <x:c r="C362" s="66" t="n">
        <x:v>46167.520833333336</x:v>
      </x:c>
      <x:c r="D362" t="n">
        <x:v>70</x:v>
      </x:c>
      <x:c r="E362" t="str">
        <x:v>YES</x:v>
      </x:c>
      <x:c r="F362" s="74" t="n">
        <x:v>0.57</x:v>
      </x:c>
      <x:c r="G362" s="74" t="n">
        <x:v>0.57</x:v>
      </x:c>
      <x:c r="H362" s="74" t="n">
        <x:v>0.582</x:v>
      </x:c>
      <x:c r="I362" s="74" t="n">
        <x:f>IF(E362="YES",H362,1-H362)</x:f>
        <x:v>0.582</x:v>
      </x:c>
      <x:c r="J362" s="76" t="n">
        <x:f>Assumptions!$C$12+Assumptions!$C$11*F362</x:f>
        <x:v>0.003</x:v>
      </x:c>
      <x:c r="K362" s="76" t="n">
        <x:f>I362-F362-J362</x:f>
        <x:v>0.009000000000000011</x:v>
      </x:c>
      <x:c r="L362" s="74" t="n">
        <x:f>MAX(0,IFERROR(K362/(1-F362),0))</x:f>
        <x:v>0.02093023255813956</x:v>
      </x:c>
      <x:c r="M362" s="74" t="n">
        <x:f>MIN(Assumptions!$C$8*L362,Assumptions!$C$5)</x:f>
        <x:v>0.005</x:v>
      </x:c>
      <x:c r="N362" s="78" t="n">
        <x:f>IF(ROW()=16,Assumptions!$C$4,V361)</x:f>
        <x:v>9997.570233340291</x:v>
      </x:c>
      <x:c r="O362" s="78" t="n">
        <x:f>IF(AND(K362&gt;IF(F362&gt;=Assumptions!$C$21,Assumptions!$C$10,Assumptions!$C$9),D362&gt;Assumptions!$C$23),N362*M362,0)</x:f>
        <x:v>49.98785116670146</x:v>
      </x:c>
      <x:c r="P362" s="78" t="n">
        <x:f>IFERROR(O362/F362,0)</x:f>
        <x:v>87.69798450298502</x:v>
      </x:c>
      <x:c r="Q362" s="78" t="n">
        <x:v>0</x:v>
      </x:c>
      <x:c r="R362" s="78" t="str">
        <x:v>Resolve</x:v>
      </x:c>
      <x:c r="S362" s="78" t="n">
        <x:f>IF(R362="Resolve",IF(IF(E362="YES",Q362,1-Q362)=1,P362*(1-F362),-O362),P362*(G362-F362))</x:f>
        <x:v>-49.98785116670146</x:v>
      </x:c>
      <x:c r="T362" s="78" t="n">
        <x:f>P362*J362</x:f>
        <x:v>0.2630939535089551</x:v>
      </x:c>
      <x:c r="U362" s="78" t="n">
        <x:f>S362-T362</x:f>
        <x:v>-50.25094512021042</x:v>
      </x:c>
      <x:c r="V362" s="78" t="n">
        <x:f>N362+U362</x:f>
        <x:v>9947.319288220082</x:v>
      </x:c>
      <x:c r="W362" s="74" t="n">
        <x:f>IFERROR(V362/MAX($V$16:V362)-1,0)</x:f>
        <x:v>-0.01568532652440635</x:v>
      </x:c>
      <x:c r="X362" t="str">
        <x:f>IF(O362&gt;0,"TRADE","NO_TRADE")</x:f>
        <x:v>TRADE</x:v>
      </x:c>
    </x:row>
    <x:row r="363">
      <x:c r="A363" s="66" t="n">
        <x:v>46167.52008101852</x:v>
      </x:c>
      <x:c r="B363" s="66" t="str">
        <x:v>MKT_1005</x:v>
      </x:c>
      <x:c r="C363" s="66" t="n">
        <x:v>46167.520833333336</x:v>
      </x:c>
      <x:c r="D363" t="n">
        <x:v>65</x:v>
      </x:c>
      <x:c r="E363" t="str">
        <x:v>YES</x:v>
      </x:c>
      <x:c r="F363" s="74" t="n">
        <x:v>0.68</x:v>
      </x:c>
      <x:c r="G363" s="74" t="n">
        <x:v>0.68</x:v>
      </x:c>
      <x:c r="H363" s="74" t="n">
        <x:v>0.7050000000000001</x:v>
      </x:c>
      <x:c r="I363" s="74" t="n">
        <x:f>IF(E363="YES",H363,1-H363)</x:f>
        <x:v>0.7050000000000001</x:v>
      </x:c>
      <x:c r="J363" s="76" t="n">
        <x:f>Assumptions!$C$12+Assumptions!$C$11*F363</x:f>
        <x:v>0.003</x:v>
      </x:c>
      <x:c r="K363" s="76" t="n">
        <x:f>I363-F363-J363</x:f>
        <x:v>0.022000000000000023</x:v>
      </x:c>
      <x:c r="L363" s="74" t="n">
        <x:f>MAX(0,IFERROR(K363/(1-F363),0))</x:f>
        <x:v>0.06875000000000009</x:v>
      </x:c>
      <x:c r="M363" s="74" t="n">
        <x:f>MIN(Assumptions!$C$8*L363,Assumptions!$C$5)</x:f>
        <x:v>0.005</x:v>
      </x:c>
      <x:c r="N363" s="78" t="n">
        <x:f>IF(ROW()=16,Assumptions!$C$4,V362)</x:f>
        <x:v>9947.319288220082</x:v>
      </x:c>
      <x:c r="O363" s="78" t="n">
        <x:f>IF(AND(K363&gt;IF(F363&gt;=Assumptions!$C$21,Assumptions!$C$10,Assumptions!$C$9),D363&gt;Assumptions!$C$23),N363*M363,0)</x:f>
        <x:v>49.73659644110041</x:v>
      </x:c>
      <x:c r="P363" s="78" t="n">
        <x:f>IFERROR(O363/F363,0)</x:f>
        <x:v>73.14205358985353</x:v>
      </x:c>
      <x:c r="Q363" s="78" t="n">
        <x:v>1</x:v>
      </x:c>
      <x:c r="R363" s="78" t="str">
        <x:v>Resolve</x:v>
      </x:c>
      <x:c r="S363" s="78" t="n">
        <x:f>IF(R363="Resolve",IF(IF(E363="YES",Q363,1-Q363)=1,P363*(1-F363),-O363),P363*(G363-F363))</x:f>
        <x:v>23.405457148753126</x:v>
      </x:c>
      <x:c r="T363" s="78" t="n">
        <x:f>P363*J363</x:f>
        <x:v>0.2194261607695606</x:v>
      </x:c>
      <x:c r="U363" s="78" t="n">
        <x:f>S363-T363</x:f>
        <x:v>23.186030987983564</x:v>
      </x:c>
      <x:c r="V363" s="78" t="n">
        <x:f>N363+U363</x:f>
        <x:v>9970.505319208065</x:v>
      </x:c>
      <x:c r="W363" s="74" t="n">
        <x:f>IFERROR(V363/MAX($V$16:V363)-1,0)</x:f>
        <x:v>-0.013391004822261077</x:v>
      </x:c>
      <x:c r="X363" t="str">
        <x:f>IF(O363&gt;0,"TRADE","NO_TRADE")</x:f>
        <x:v>TRADE</x:v>
      </x:c>
    </x:row>
    <x:row r="364">
      <x:c r="A364" s="66" t="n">
        <x:v>46167.52013888889</x:v>
      </x:c>
      <x:c r="B364" s="66" t="str">
        <x:v>MKT_1005</x:v>
      </x:c>
      <x:c r="C364" s="66" t="n">
        <x:v>46167.520833333336</x:v>
      </x:c>
      <x:c r="D364" t="n">
        <x:v>60</x:v>
      </x:c>
      <x:c r="E364" t="str">
        <x:v>NO</x:v>
      </x:c>
      <x:c r="F364" s="74" t="n">
        <x:v>0.91</x:v>
      </x:c>
      <x:c r="G364" s="74" t="n">
        <x:v>0.91</x:v>
      </x:c>
      <x:c r="H364" s="74" t="n">
        <x:v>0.9450000000000001</x:v>
      </x:c>
      <x:c r="I364" s="74" t="n">
        <x:f>IF(E364="YES",H364,1-H364)</x:f>
        <x:v>0.05499999999999994</x:v>
      </x:c>
      <x:c r="J364" s="76" t="n">
        <x:f>Assumptions!$C$12+Assumptions!$C$11*F364</x:f>
        <x:v>0.003</x:v>
      </x:c>
      <x:c r="K364" s="76" t="n">
        <x:f>I364-F364-J364</x:f>
        <x:v>-0.8580000000000001</x:v>
      </x:c>
      <x:c r="L364" s="74" t="n">
        <x:f>MAX(0,IFERROR(K364/(1-F364),0))</x:f>
        <x:v>0</x:v>
      </x:c>
      <x:c r="M364" s="74" t="n">
        <x:f>MIN(Assumptions!$C$8*L364,Assumptions!$C$5)</x:f>
        <x:v>0</x:v>
      </x:c>
      <x:c r="N364" s="78" t="n">
        <x:f>IF(ROW()=16,Assumptions!$C$4,V363)</x:f>
        <x:v>9970.505319208065</x:v>
      </x:c>
      <x:c r="O364" s="78" t="n">
        <x:f>IF(AND(K364&gt;IF(F364&gt;=Assumptions!$C$21,Assumptions!$C$10,Assumptions!$C$9),D364&gt;Assumptions!$C$23),N364*M364,0)</x:f>
        <x:v>0</x:v>
      </x:c>
      <x:c r="P364" s="78" t="n">
        <x:f>IFERROR(O364/F364,0)</x:f>
        <x:v>0</x:v>
      </x:c>
      <x:c r="Q364" s="78" t="n">
        <x:v>1</x:v>
      </x:c>
      <x:c r="R364" s="78" t="str">
        <x:v>Resolve</x:v>
      </x:c>
      <x:c r="S364" s="78" t="n">
        <x:f>IF(R364="Resolve",IF(IF(E364="YES",Q364,1-Q364)=1,P364*(1-F364),-O364),P364*(G364-F364))</x:f>
        <x:v>0</x:v>
      </x:c>
      <x:c r="T364" s="78" t="n">
        <x:f>P364*J364</x:f>
        <x:v>0</x:v>
      </x:c>
      <x:c r="U364" s="78" t="n">
        <x:f>S364-T364</x:f>
        <x:v>0</x:v>
      </x:c>
      <x:c r="V364" s="78" t="n">
        <x:f>N364+U364</x:f>
        <x:v>9970.505319208065</x:v>
      </x:c>
      <x:c r="W364" s="74" t="n">
        <x:f>IFERROR(V364/MAX($V$16:V364)-1,0)</x:f>
        <x:v>-0.013391004822261077</x:v>
      </x:c>
      <x:c r="X364" t="str">
        <x:f>IF(O364&gt;0,"TRADE","NO_TRADE")</x:f>
        <x:v>NO_TRADE</x:v>
      </x:c>
    </x:row>
    <x:row r="365">
      <x:c r="A365" s="66" t="n">
        <x:v>46167.52019675926</x:v>
      </x:c>
      <x:c r="B365" s="66" t="str">
        <x:v>MKT_1005</x:v>
      </x:c>
      <x:c r="C365" s="66" t="n">
        <x:v>46167.520833333336</x:v>
      </x:c>
      <x:c r="D365" t="n">
        <x:v>55</x:v>
      </x:c>
      <x:c r="E365" t="str">
        <x:v>YES</x:v>
      </x:c>
      <x:c r="F365" s="74" t="n">
        <x:v>0.83</x:v>
      </x:c>
      <x:c r="G365" s="74" t="n">
        <x:v>0.83</x:v>
      </x:c>
      <x:c r="H365" s="74" t="n">
        <x:v>0.82</x:v>
      </x:c>
      <x:c r="I365" s="74" t="n">
        <x:f>IF(E365="YES",H365,1-H365)</x:f>
        <x:v>0.82</x:v>
      </x:c>
      <x:c r="J365" s="76" t="n">
        <x:f>Assumptions!$C$12+Assumptions!$C$11*F365</x:f>
        <x:v>0.003</x:v>
      </x:c>
      <x:c r="K365" s="76" t="n">
        <x:f>I365-F365-J365</x:f>
        <x:v>-0.013000000000000008</x:v>
      </x:c>
      <x:c r="L365" s="74" t="n">
        <x:f>MAX(0,IFERROR(K365/(1-F365),0))</x:f>
        <x:v>0</x:v>
      </x:c>
      <x:c r="M365" s="74" t="n">
        <x:f>MIN(Assumptions!$C$8*L365,Assumptions!$C$5)</x:f>
        <x:v>0</x:v>
      </x:c>
      <x:c r="N365" s="78" t="n">
        <x:f>IF(ROW()=16,Assumptions!$C$4,V364)</x:f>
        <x:v>9970.505319208065</x:v>
      </x:c>
      <x:c r="O365" s="78" t="n">
        <x:f>IF(AND(K365&gt;IF(F365&gt;=Assumptions!$C$21,Assumptions!$C$10,Assumptions!$C$9),D365&gt;Assumptions!$C$23),N365*M365,0)</x:f>
        <x:v>0</x:v>
      </x:c>
      <x:c r="P365" s="78" t="n">
        <x:f>IFERROR(O365/F365,0)</x:f>
        <x:v>0</x:v>
      </x:c>
      <x:c r="Q365" s="78" t="n">
        <x:v>1</x:v>
      </x:c>
      <x:c r="R365" s="78" t="str">
        <x:v>Resolve</x:v>
      </x:c>
      <x:c r="S365" s="78" t="n">
        <x:f>IF(R365="Resolve",IF(IF(E365="YES",Q365,1-Q365)=1,P365*(1-F365),-O365),P365*(G365-F365))</x:f>
        <x:v>0</x:v>
      </x:c>
      <x:c r="T365" s="78" t="n">
        <x:f>P365*J365</x:f>
        <x:v>0</x:v>
      </x:c>
      <x:c r="U365" s="78" t="n">
        <x:f>S365-T365</x:f>
        <x:v>0</x:v>
      </x:c>
      <x:c r="V365" s="78" t="n">
        <x:f>N365+U365</x:f>
        <x:v>9970.505319208065</x:v>
      </x:c>
      <x:c r="W365" s="74" t="n">
        <x:f>IFERROR(V365/MAX($V$16:V365)-1,0)</x:f>
        <x:v>-0.013391004822261077</x:v>
      </x:c>
      <x:c r="X365" t="str">
        <x:f>IF(O365&gt;0,"TRADE","NO_TRADE")</x:f>
        <x:v>NO_TRADE</x:v>
      </x:c>
    </x:row>
    <x:row r="366">
      <x:c r="A366" s="66" t="n">
        <x:v>46167.52025462963</x:v>
      </x:c>
      <x:c r="B366" s="66" t="str">
        <x:v>MKT_1005</x:v>
      </x:c>
      <x:c r="C366" s="66" t="n">
        <x:v>46167.520833333336</x:v>
      </x:c>
      <x:c r="D366" t="n">
        <x:v>50</x:v>
      </x:c>
      <x:c r="E366" t="str">
        <x:v>YES</x:v>
      </x:c>
      <x:c r="F366" s="74" t="n">
        <x:v>0.52</x:v>
      </x:c>
      <x:c r="G366" s="74" t="n">
        <x:v>0.52</x:v>
      </x:c>
      <x:c r="H366" s="74" t="n">
        <x:v>0.535</x:v>
      </x:c>
      <x:c r="I366" s="74" t="n">
        <x:f>IF(E366="YES",H366,1-H366)</x:f>
        <x:v>0.535</x:v>
      </x:c>
      <x:c r="J366" s="76" t="n">
        <x:f>Assumptions!$C$12+Assumptions!$C$11*F366</x:f>
        <x:v>0.003</x:v>
      </x:c>
      <x:c r="K366" s="76" t="n">
        <x:f>I366-F366-J366</x:f>
        <x:v>0.012000000000000014</x:v>
      </x:c>
      <x:c r="L366" s="74" t="n">
        <x:f>MAX(0,IFERROR(K366/(1-F366),0))</x:f>
        <x:v>0.02500000000000003</x:v>
      </x:c>
      <x:c r="M366" s="74" t="n">
        <x:f>MIN(Assumptions!$C$8*L366,Assumptions!$C$5)</x:f>
        <x:v>0.005</x:v>
      </x:c>
      <x:c r="N366" s="78" t="n">
        <x:f>IF(ROW()=16,Assumptions!$C$4,V365)</x:f>
        <x:v>9970.505319208065</x:v>
      </x:c>
      <x:c r="O366" s="78" t="n">
        <x:f>IF(AND(K366&gt;IF(F366&gt;=Assumptions!$C$21,Assumptions!$C$10,Assumptions!$C$9),D366&gt;Assumptions!$C$23),N366*M366,0)</x:f>
        <x:v>49.85252659604033</x:v>
      </x:c>
      <x:c r="P366" s="78" t="n">
        <x:f>IFERROR(O366/F366,0)</x:f>
        <x:v>95.8702434539237</x:v>
      </x:c>
      <x:c r="Q366" s="78" t="n">
        <x:v>0</x:v>
      </x:c>
      <x:c r="R366" s="78" t="str">
        <x:v>Resolve</x:v>
      </x:c>
      <x:c r="S366" s="78" t="n">
        <x:f>IF(R366="Resolve",IF(IF(E366="YES",Q366,1-Q366)=1,P366*(1-F366),-O366),P366*(G366-F366))</x:f>
        <x:v>-49.85252659604033</x:v>
      </x:c>
      <x:c r="T366" s="78" t="n">
        <x:f>P366*J366</x:f>
        <x:v>0.28761073036177115</x:v>
      </x:c>
      <x:c r="U366" s="78" t="n">
        <x:f>S366-T366</x:f>
        <x:v>-50.1401373264021</x:v>
      </x:c>
      <x:c r="V366" s="78" t="n">
        <x:f>N366+U366</x:f>
        <x:v>9920.365181881663</x:v>
      </x:c>
      <x:c r="W366" s="74" t="n">
        <x:f>IFERROR(V366/MAX($V$16:V366)-1,0)</x:f>
        <x:v>-0.01835250967301061</x:v>
      </x:c>
      <x:c r="X366" t="str">
        <x:f>IF(O366&gt;0,"TRADE","NO_TRADE")</x:f>
        <x:v>TRADE</x:v>
      </x:c>
    </x:row>
    <x:row r="367">
      <x:c r="A367" s="66" t="n">
        <x:v>46167.5203125</x:v>
      </x:c>
      <x:c r="B367" s="66" t="str">
        <x:v>MKT_1005</x:v>
      </x:c>
      <x:c r="C367" s="66" t="n">
        <x:v>46167.520833333336</x:v>
      </x:c>
      <x:c r="D367" t="n">
        <x:v>45</x:v>
      </x:c>
      <x:c r="E367" t="str">
        <x:v>NO</x:v>
      </x:c>
      <x:c r="F367" s="74" t="n">
        <x:v>0.61</x:v>
      </x:c>
      <x:c r="G367" s="74" t="n">
        <x:v>0.61</x:v>
      </x:c>
      <x:c r="H367" s="74" t="n">
        <x:v>0.63</x:v>
      </x:c>
      <x:c r="I367" s="74" t="n">
        <x:f>IF(E367="YES",H367,1-H367)</x:f>
        <x:v>0.37</x:v>
      </x:c>
      <x:c r="J367" s="76" t="n">
        <x:f>Assumptions!$C$12+Assumptions!$C$11*F367</x:f>
        <x:v>0.003</x:v>
      </x:c>
      <x:c r="K367" s="76" t="n">
        <x:f>I367-F367-J367</x:f>
        <x:v>-0.243</x:v>
      </x:c>
      <x:c r="L367" s="74" t="n">
        <x:f>MAX(0,IFERROR(K367/(1-F367),0))</x:f>
        <x:v>0</x:v>
      </x:c>
      <x:c r="M367" s="74" t="n">
        <x:f>MIN(Assumptions!$C$8*L367,Assumptions!$C$5)</x:f>
        <x:v>0</x:v>
      </x:c>
      <x:c r="N367" s="78" t="n">
        <x:f>IF(ROW()=16,Assumptions!$C$4,V366)</x:f>
        <x:v>9920.365181881663</x:v>
      </x:c>
      <x:c r="O367" s="78" t="n">
        <x:f>IF(AND(K367&gt;IF(F367&gt;=Assumptions!$C$21,Assumptions!$C$10,Assumptions!$C$9),D367&gt;Assumptions!$C$23),N367*M367,0)</x:f>
        <x:v>0</x:v>
      </x:c>
      <x:c r="P367" s="78" t="n">
        <x:f>IFERROR(O367/F367,0)</x:f>
        <x:v>0</x:v>
      </x:c>
      <x:c r="Q367" s="78" t="n">
        <x:v>1</x:v>
      </x:c>
      <x:c r="R367" s="78" t="str">
        <x:v>Resolve</x:v>
      </x:c>
      <x:c r="S367" s="78" t="n">
        <x:f>IF(R367="Resolve",IF(IF(E367="YES",Q367,1-Q367)=1,P367*(1-F367),-O367),P367*(G367-F367))</x:f>
        <x:v>0</x:v>
      </x:c>
      <x:c r="T367" s="78" t="n">
        <x:f>P367*J367</x:f>
        <x:v>0</x:v>
      </x:c>
      <x:c r="U367" s="78" t="n">
        <x:f>S367-T367</x:f>
        <x:v>0</x:v>
      </x:c>
      <x:c r="V367" s="78" t="n">
        <x:f>N367+U367</x:f>
        <x:v>9920.365181881663</x:v>
      </x:c>
      <x:c r="W367" s="74" t="n">
        <x:f>IFERROR(V367/MAX($V$16:V367)-1,0)</x:f>
        <x:v>-0.01835250967301061</x:v>
      </x:c>
      <x:c r="X367" t="str">
        <x:f>IF(O367&gt;0,"TRADE","NO_TRADE")</x:f>
        <x:v>NO_TRADE</x:v>
      </x:c>
    </x:row>
    <x:row r="368">
      <x:c r="A368" s="66" t="n">
        <x:v>46167.520370370374</x:v>
      </x:c>
      <x:c r="B368" s="66" t="str">
        <x:v>MKT_1005</x:v>
      </x:c>
      <x:c r="C368" s="66" t="n">
        <x:v>46167.520833333336</x:v>
      </x:c>
      <x:c r="D368" t="n">
        <x:v>40</x:v>
      </x:c>
      <x:c r="E368" t="str">
        <x:v>YES</x:v>
      </x:c>
      <x:c r="F368" s="74" t="n">
        <x:v>0.74</x:v>
      </x:c>
      <x:c r="G368" s="74" t="n">
        <x:v>0.74</x:v>
      </x:c>
      <x:c r="H368" s="74" t="n">
        <x:v>0.735</x:v>
      </x:c>
      <x:c r="I368" s="74" t="n">
        <x:f>IF(E368="YES",H368,1-H368)</x:f>
        <x:v>0.735</x:v>
      </x:c>
      <x:c r="J368" s="76" t="n">
        <x:f>Assumptions!$C$12+Assumptions!$C$11*F368</x:f>
        <x:v>0.003</x:v>
      </x:c>
      <x:c r="K368" s="76" t="n">
        <x:f>I368-F368-J368</x:f>
        <x:v>-0.008000000000000004</x:v>
      </x:c>
      <x:c r="L368" s="74" t="n">
        <x:f>MAX(0,IFERROR(K368/(1-F368),0))</x:f>
        <x:v>0</x:v>
      </x:c>
      <x:c r="M368" s="74" t="n">
        <x:f>MIN(Assumptions!$C$8*L368,Assumptions!$C$5)</x:f>
        <x:v>0</x:v>
      </x:c>
      <x:c r="N368" s="78" t="n">
        <x:f>IF(ROW()=16,Assumptions!$C$4,V367)</x:f>
        <x:v>9920.365181881663</x:v>
      </x:c>
      <x:c r="O368" s="78" t="n">
        <x:f>IF(AND(K368&gt;IF(F368&gt;=Assumptions!$C$21,Assumptions!$C$10,Assumptions!$C$9),D368&gt;Assumptions!$C$23),N368*M368,0)</x:f>
        <x:v>0</x:v>
      </x:c>
      <x:c r="P368" s="78" t="n">
        <x:f>IFERROR(O368/F368,0)</x:f>
        <x:v>0</x:v>
      </x:c>
      <x:c r="Q368" s="78" t="n">
        <x:v>1</x:v>
      </x:c>
      <x:c r="R368" s="78" t="str">
        <x:v>Resolve</x:v>
      </x:c>
      <x:c r="S368" s="78" t="n">
        <x:f>IF(R368="Resolve",IF(IF(E368="YES",Q368,1-Q368)=1,P368*(1-F368),-O368),P368*(G368-F368))</x:f>
        <x:v>0</x:v>
      </x:c>
      <x:c r="T368" s="78" t="n">
        <x:f>P368*J368</x:f>
        <x:v>0</x:v>
      </x:c>
      <x:c r="U368" s="78" t="n">
        <x:f>S368-T368</x:f>
        <x:v>0</x:v>
      </x:c>
      <x:c r="V368" s="78" t="n">
        <x:f>N368+U368</x:f>
        <x:v>9920.365181881663</x:v>
      </x:c>
      <x:c r="W368" s="74" t="n">
        <x:f>IFERROR(V368/MAX($V$16:V368)-1,0)</x:f>
        <x:v>-0.01835250967301061</x:v>
      </x:c>
      <x:c r="X368" t="str">
        <x:f>IF(O368&gt;0,"TRADE","NO_TRADE")</x:f>
        <x:v>NO_TRADE</x:v>
      </x:c>
    </x:row>
    <x:row r="369">
      <x:c r="A369" s="66" t="n">
        <x:v>46167.52042824074</x:v>
      </x:c>
      <x:c r="B369" s="66" t="str">
        <x:v>MKT_1005</x:v>
      </x:c>
      <x:c r="C369" s="66" t="n">
        <x:v>46167.520833333336</x:v>
      </x:c>
      <x:c r="D369" t="n">
        <x:v>35</x:v>
      </x:c>
      <x:c r="E369" t="str">
        <x:v>YES</x:v>
      </x:c>
      <x:c r="F369" s="74" t="n">
        <x:v>0.88</x:v>
      </x:c>
      <x:c r="G369" s="74" t="n">
        <x:v>0.88</x:v>
      </x:c>
      <x:c r="H369" s="74" t="n">
        <x:v>0.91</x:v>
      </x:c>
      <x:c r="I369" s="74" t="n">
        <x:f>IF(E369="YES",H369,1-H369)</x:f>
        <x:v>0.91</x:v>
      </x:c>
      <x:c r="J369" s="76" t="n">
        <x:f>Assumptions!$C$12+Assumptions!$C$11*F369</x:f>
        <x:v>0.003</x:v>
      </x:c>
      <x:c r="K369" s="76" t="n">
        <x:f>I369-F369-J369</x:f>
        <x:v>0.027000000000000027</x:v>
      </x:c>
      <x:c r="L369" s="74" t="n">
        <x:f>MAX(0,IFERROR(K369/(1-F369),0))</x:f>
        <x:v>0.22500000000000023</x:v>
      </x:c>
      <x:c r="M369" s="74" t="n">
        <x:f>MIN(Assumptions!$C$8*L369,Assumptions!$C$5)</x:f>
        <x:v>0.005</x:v>
      </x:c>
      <x:c r="N369" s="78" t="n">
        <x:f>IF(ROW()=16,Assumptions!$C$4,V368)</x:f>
        <x:v>9920.365181881663</x:v>
      </x:c>
      <x:c r="O369" s="78" t="n">
        <x:f>IF(AND(K369&gt;IF(F369&gt;=Assumptions!$C$21,Assumptions!$C$10,Assumptions!$C$9),D369&gt;Assumptions!$C$23),N369*M369,0)</x:f>
        <x:v>49.60182590940832</x:v>
      </x:c>
      <x:c r="P369" s="78" t="n">
        <x:f>IFERROR(O369/F369,0)</x:f>
        <x:v>56.36571126069127</x:v>
      </x:c>
      <x:c r="Q369" s="78" t="n">
        <x:v>0</x:v>
      </x:c>
      <x:c r="R369" s="78" t="str">
        <x:v>Resolve</x:v>
      </x:c>
      <x:c r="S369" s="78" t="n">
        <x:f>IF(R369="Resolve",IF(IF(E369="YES",Q369,1-Q369)=1,P369*(1-F369),-O369),P369*(G369-F369))</x:f>
        <x:v>-49.60182590940832</x:v>
      </x:c>
      <x:c r="T369" s="78" t="n">
        <x:f>P369*J369</x:f>
        <x:v>0.1690971337820738</x:v>
      </x:c>
      <x:c r="U369" s="78" t="n">
        <x:f>S369-T369</x:f>
        <x:v>-49.77092304319039</x:v>
      </x:c>
      <x:c r="V369" s="78" t="n">
        <x:f>N369+U369</x:f>
        <x:v>9870.594258838473</x:v>
      </x:c>
      <x:c r="W369" s="74" t="n">
        <x:f>IFERROR(V369/MAX($V$16:V369)-1,0)</x:f>
        <x:v>-0.023277479752321528</x:v>
      </x:c>
      <x:c r="X369" t="str">
        <x:f>IF(O369&gt;0,"TRADE","NO_TRADE")</x:f>
        <x:v>TRADE</x:v>
      </x:c>
    </x:row>
    <x:row r="370">
      <x:c r="A370" s="66" t="n">
        <x:v>46167.52048611111</x:v>
      </x:c>
      <x:c r="B370" s="66" t="str">
        <x:v>MKT_1005</x:v>
      </x:c>
      <x:c r="C370" s="66" t="n">
        <x:v>46167.520833333336</x:v>
      </x:c>
      <x:c r="D370" t="n">
        <x:v>30</x:v>
      </x:c>
      <x:c r="E370" t="str">
        <x:v>NO</x:v>
      </x:c>
      <x:c r="F370" s="74" t="n">
        <x:v>0.94</x:v>
      </x:c>
      <x:c r="G370" s="74" t="n">
        <x:v>0.94</x:v>
      </x:c>
      <x:c r="H370" s="74" t="n">
        <x:v>0.98</x:v>
      </x:c>
      <x:c r="I370" s="74" t="n">
        <x:f>IF(E370="YES",H370,1-H370)</x:f>
        <x:v>0.020000000000000018</x:v>
      </x:c>
      <x:c r="J370" s="76" t="n">
        <x:f>Assumptions!$C$12+Assumptions!$C$11*F370</x:f>
        <x:v>0.003</x:v>
      </x:c>
      <x:c r="K370" s="76" t="n">
        <x:f>I370-F370-J370</x:f>
        <x:v>-0.9229999999999999</x:v>
      </x:c>
      <x:c r="L370" s="74" t="n">
        <x:f>MAX(0,IFERROR(K370/(1-F370),0))</x:f>
        <x:v>0</x:v>
      </x:c>
      <x:c r="M370" s="74" t="n">
        <x:f>MIN(Assumptions!$C$8*L370,Assumptions!$C$5)</x:f>
        <x:v>0</x:v>
      </x:c>
      <x:c r="N370" s="78" t="n">
        <x:f>IF(ROW()=16,Assumptions!$C$4,V369)</x:f>
        <x:v>9870.594258838473</x:v>
      </x:c>
      <x:c r="O370" s="78" t="n">
        <x:f>IF(AND(K370&gt;IF(F370&gt;=Assumptions!$C$21,Assumptions!$C$10,Assumptions!$C$9),D370&gt;Assumptions!$C$23),N370*M370,0)</x:f>
        <x:v>0</x:v>
      </x:c>
      <x:c r="P370" s="78" t="n">
        <x:f>IFERROR(O370/F370,0)</x:f>
        <x:v>0</x:v>
      </x:c>
      <x:c r="Q370" s="78" t="n">
        <x:v>1</x:v>
      </x:c>
      <x:c r="R370" s="78" t="str">
        <x:v>Resolve</x:v>
      </x:c>
      <x:c r="S370" s="78" t="n">
        <x:f>IF(R370="Resolve",IF(IF(E370="YES",Q370,1-Q370)=1,P370*(1-F370),-O370),P370*(G370-F370))</x:f>
        <x:v>0</x:v>
      </x:c>
      <x:c r="T370" s="78" t="n">
        <x:f>P370*J370</x:f>
        <x:v>0</x:v>
      </x:c>
      <x:c r="U370" s="78" t="n">
        <x:f>S370-T370</x:f>
        <x:v>0</x:v>
      </x:c>
      <x:c r="V370" s="78" t="n">
        <x:f>N370+U370</x:f>
        <x:v>9870.594258838473</x:v>
      </x:c>
      <x:c r="W370" s="74" t="n">
        <x:f>IFERROR(V370/MAX($V$16:V370)-1,0)</x:f>
        <x:v>-0.023277479752321528</x:v>
      </x:c>
      <x:c r="X370" t="str">
        <x:f>IF(O370&gt;0,"TRADE","NO_TRADE")</x:f>
        <x:v>NO_TRADE</x:v>
      </x:c>
    </x:row>
    <x:row r="371">
      <x:c r="A371" s="66" t="n">
        <x:v>46167.52054398148</x:v>
      </x:c>
      <x:c r="B371" s="66" t="str">
        <x:v>MKT_1005</x:v>
      </x:c>
      <x:c r="C371" s="66" t="n">
        <x:v>46167.520833333336</x:v>
      </x:c>
      <x:c r="D371" t="n">
        <x:v>25</x:v>
      </x:c>
      <x:c r="E371" t="str">
        <x:v>YES</x:v>
      </x:c>
      <x:c r="F371" s="74" t="n">
        <x:v>0.95</x:v>
      </x:c>
      <x:c r="G371" s="74" t="n">
        <x:v>0.95</x:v>
      </x:c>
      <x:c r="H371" s="74" t="n">
        <x:v>0.968</x:v>
      </x:c>
      <x:c r="I371" s="74" t="n">
        <x:f>IF(E371="YES",H371,1-H371)</x:f>
        <x:v>0.968</x:v>
      </x:c>
      <x:c r="J371" s="76" t="n">
        <x:f>Assumptions!$C$12+Assumptions!$C$11*F371</x:f>
        <x:v>0.003</x:v>
      </x:c>
      <x:c r="K371" s="76" t="n">
        <x:f>I371-F371-J371</x:f>
        <x:v>0.015000000000000017</x:v>
      </x:c>
      <x:c r="L371" s="74" t="n">
        <x:f>MAX(0,IFERROR(K371/(1-F371),0))</x:f>
        <x:v>0.30000000000000004</x:v>
      </x:c>
      <x:c r="M371" s="74" t="n">
        <x:f>MIN(Assumptions!$C$8*L371,Assumptions!$C$5)</x:f>
        <x:v>0.005</x:v>
      </x:c>
      <x:c r="N371" s="78" t="n">
        <x:f>IF(ROW()=16,Assumptions!$C$4,V370)</x:f>
        <x:v>9870.594258838473</x:v>
      </x:c>
      <x:c r="O371" s="78" t="n">
        <x:f>IF(AND(K371&gt;IF(F371&gt;=Assumptions!$C$21,Assumptions!$C$10,Assumptions!$C$9),D371&gt;Assumptions!$C$23),N371*M371,0)</x:f>
        <x:v>49.352971294192365</x:v>
      </x:c>
      <x:c r="P371" s="78" t="n">
        <x:f>IFERROR(O371/F371,0)</x:f>
        <x:v>51.95049609914986</x:v>
      </x:c>
      <x:c r="Q371" s="78" t="n">
        <x:v>1</x:v>
      </x:c>
      <x:c r="R371" s="78" t="str">
        <x:v>Resolve</x:v>
      </x:c>
      <x:c r="S371" s="78" t="n">
        <x:f>IF(R371="Resolve",IF(IF(E371="YES",Q371,1-Q371)=1,P371*(1-F371),-O371),P371*(G371-F371))</x:f>
        <x:v>2.5975248049574953</x:v>
      </x:c>
      <x:c r="T371" s="78" t="n">
        <x:f>P371*J371</x:f>
        <x:v>0.15585148829744958</x:v>
      </x:c>
      <x:c r="U371" s="78" t="n">
        <x:f>S371-T371</x:f>
        <x:v>2.4416733166600455</x:v>
      </x:c>
      <x:c r="V371" s="78" t="n">
        <x:f>N371+U371</x:f>
        <x:v>9873.035932155133</x:v>
      </x:c>
      <x:c r="W371" s="74" t="n">
        <x:f>IFERROR(V371/MAX($V$16:V371)-1,0)</x:f>
        <x:v>-0.02303586944468139</x:v>
      </x:c>
      <x:c r="X371" t="str">
        <x:f>IF(O371&gt;0,"TRADE","NO_TRADE")</x:f>
        <x:v>TRADE</x:v>
      </x:c>
    </x:row>
    <x:row r="372">
      <x:c r="A372" s="66" t="n">
        <x:v>46167.52060185185</x:v>
      </x:c>
      <x:c r="B372" s="66" t="str">
        <x:v>MKT_1005</x:v>
      </x:c>
      <x:c r="C372" s="66" t="n">
        <x:v>46167.520833333336</x:v>
      </x:c>
      <x:c r="D372" t="n">
        <x:v>20</x:v>
      </x:c>
      <x:c r="E372" t="str">
        <x:v>YES</x:v>
      </x:c>
      <x:c r="F372" s="74" t="n">
        <x:v>0.57</x:v>
      </x:c>
      <x:c r="G372" s="74" t="n">
        <x:v>0.57</x:v>
      </x:c>
      <x:c r="H372" s="74" t="n">
        <x:v>0.582</x:v>
      </x:c>
      <x:c r="I372" s="74" t="n">
        <x:f>IF(E372="YES",H372,1-H372)</x:f>
        <x:v>0.582</x:v>
      </x:c>
      <x:c r="J372" s="76" t="n">
        <x:f>Assumptions!$C$12+Assumptions!$C$11*F372</x:f>
        <x:v>0.003</x:v>
      </x:c>
      <x:c r="K372" s="76" t="n">
        <x:f>I372-F372-J372</x:f>
        <x:v>0.009000000000000011</x:v>
      </x:c>
      <x:c r="L372" s="74" t="n">
        <x:f>MAX(0,IFERROR(K372/(1-F372),0))</x:f>
        <x:v>0.02093023255813956</x:v>
      </x:c>
      <x:c r="M372" s="74" t="n">
        <x:f>MIN(Assumptions!$C$8*L372,Assumptions!$C$5)</x:f>
        <x:v>0.005</x:v>
      </x:c>
      <x:c r="N372" s="78" t="n">
        <x:f>IF(ROW()=16,Assumptions!$C$4,V371)</x:f>
        <x:v>9873.035932155133</x:v>
      </x:c>
      <x:c r="O372" s="78" t="n">
        <x:f>IF(AND(K372&gt;IF(F372&gt;=Assumptions!$C$21,Assumptions!$C$10,Assumptions!$C$9),D372&gt;Assumptions!$C$23),N372*M372,0)</x:f>
        <x:v>49.36517966077567</x:v>
      </x:c>
      <x:c r="P372" s="78" t="n">
        <x:f>IFERROR(O372/F372,0)</x:f>
        <x:v>86.60557835223801</x:v>
      </x:c>
      <x:c r="Q372" s="78" t="n">
        <x:v>1</x:v>
      </x:c>
      <x:c r="R372" s="78" t="str">
        <x:v>Resolve</x:v>
      </x:c>
      <x:c r="S372" s="78" t="n">
        <x:f>IF(R372="Resolve",IF(IF(E372="YES",Q372,1-Q372)=1,P372*(1-F372),-O372),P372*(G372-F372))</x:f>
        <x:v>37.24039869146235</x:v>
      </x:c>
      <x:c r="T372" s="78" t="n">
        <x:f>P372*J372</x:f>
        <x:v>0.25981673505671404</x:v>
      </x:c>
      <x:c r="U372" s="78" t="n">
        <x:f>S372-T372</x:f>
        <x:v>36.980581956405636</x:v>
      </x:c>
      <x:c r="V372" s="78" t="n">
        <x:f>N372+U372</x:f>
        <x:v>9910.01651411154</x:v>
      </x:c>
      <x:c r="W372" s="74" t="n">
        <x:f>IFERROR(V372/MAX($V$16:V372)-1,0)</x:f>
        <x:v>-0.019376538885495953</x:v>
      </x:c>
      <x:c r="X372" t="str">
        <x:f>IF(O372&gt;0,"TRADE","NO_TRADE")</x:f>
        <x:v>TRADE</x:v>
      </x:c>
    </x:row>
    <x:row r="373">
      <x:c r="A373" s="66" t="n">
        <x:v>46167.52065972222</x:v>
      </x:c>
      <x:c r="B373" s="66" t="str">
        <x:v>MKT_1005</x:v>
      </x:c>
      <x:c r="C373" s="66" t="n">
        <x:v>46167.520833333336</x:v>
      </x:c>
      <x:c r="D373" t="n">
        <x:v>15</x:v>
      </x:c>
      <x:c r="E373" t="str">
        <x:v>NO</x:v>
      </x:c>
      <x:c r="F373" s="74" t="n">
        <x:v>0.68</x:v>
      </x:c>
      <x:c r="G373" s="74" t="n">
        <x:v>0.68</x:v>
      </x:c>
      <x:c r="H373" s="74" t="n">
        <x:v>0.7050000000000001</x:v>
      </x:c>
      <x:c r="I373" s="74" t="n">
        <x:f>IF(E373="YES",H373,1-H373)</x:f>
        <x:v>0.29499999999999993</x:v>
      </x:c>
      <x:c r="J373" s="76" t="n">
        <x:f>Assumptions!$C$12+Assumptions!$C$11*F373</x:f>
        <x:v>0.003</x:v>
      </x:c>
      <x:c r="K373" s="76" t="n">
        <x:f>I373-F373-J373</x:f>
        <x:v>-0.3880000000000001</x:v>
      </x:c>
      <x:c r="L373" s="74" t="n">
        <x:f>MAX(0,IFERROR(K373/(1-F373),0))</x:f>
        <x:v>0</x:v>
      </x:c>
      <x:c r="M373" s="74" t="n">
        <x:f>MIN(Assumptions!$C$8*L373,Assumptions!$C$5)</x:f>
        <x:v>0</x:v>
      </x:c>
      <x:c r="N373" s="78" t="n">
        <x:f>IF(ROW()=16,Assumptions!$C$4,V372)</x:f>
        <x:v>9910.01651411154</x:v>
      </x:c>
      <x:c r="O373" s="78" t="n">
        <x:f>IF(AND(K373&gt;IF(F373&gt;=Assumptions!$C$21,Assumptions!$C$10,Assumptions!$C$9),D373&gt;Assumptions!$C$23),N373*M373,0)</x:f>
        <x:v>0</x:v>
      </x:c>
      <x:c r="P373" s="78" t="n">
        <x:f>IFERROR(O373/F373,0)</x:f>
        <x:v>0</x:v>
      </x:c>
      <x:c r="Q373" s="78" t="n">
        <x:v>0</x:v>
      </x:c>
      <x:c r="R373" s="78" t="str">
        <x:v>Resolve</x:v>
      </x:c>
      <x:c r="S373" s="78" t="n">
        <x:f>IF(R373="Resolve",IF(IF(E373="YES",Q373,1-Q373)=1,P373*(1-F373),-O373),P373*(G373-F373))</x:f>
        <x:v>0</x:v>
      </x:c>
      <x:c r="T373" s="78" t="n">
        <x:f>P373*J373</x:f>
        <x:v>0</x:v>
      </x:c>
      <x:c r="U373" s="78" t="n">
        <x:f>S373-T373</x:f>
        <x:v>0</x:v>
      </x:c>
      <x:c r="V373" s="78" t="n">
        <x:f>N373+U373</x:f>
        <x:v>9910.01651411154</x:v>
      </x:c>
      <x:c r="W373" s="74" t="n">
        <x:f>IFERROR(V373/MAX($V$16:V373)-1,0)</x:f>
        <x:v>-0.019376538885495953</x:v>
      </x:c>
      <x:c r="X373" t="str">
        <x:f>IF(O373&gt;0,"TRADE","NO_TRADE")</x:f>
        <x:v>NO_TRADE</x:v>
      </x:c>
    </x:row>
    <x:row r="374">
      <x:c r="A374" s="66" t="n">
        <x:v>46167.52071759259</x:v>
      </x:c>
      <x:c r="B374" s="66" t="str">
        <x:v>MKT_1005</x:v>
      </x:c>
      <x:c r="C374" s="66" t="n">
        <x:v>46167.520833333336</x:v>
      </x:c>
      <x:c r="D374" t="n">
        <x:v>10</x:v>
      </x:c>
      <x:c r="E374" t="str">
        <x:v>YES</x:v>
      </x:c>
      <x:c r="F374" s="74" t="n">
        <x:v>0.91</x:v>
      </x:c>
      <x:c r="G374" s="74" t="n">
        <x:v>0.91</x:v>
      </x:c>
      <x:c r="H374" s="74" t="n">
        <x:v>0.9450000000000001</x:v>
      </x:c>
      <x:c r="I374" s="74" t="n">
        <x:f>IF(E374="YES",H374,1-H374)</x:f>
        <x:v>0.9450000000000001</x:v>
      </x:c>
      <x:c r="J374" s="76" t="n">
        <x:f>Assumptions!$C$12+Assumptions!$C$11*F374</x:f>
        <x:v>0.003</x:v>
      </x:c>
      <x:c r="K374" s="76" t="n">
        <x:f>I374-F374-J374</x:f>
        <x:v>0.03200000000000003</x:v>
      </x:c>
      <x:c r="L374" s="74" t="n">
        <x:f>MAX(0,IFERROR(K374/(1-F374),0))</x:f>
        <x:v>0.355555555555556</x:v>
      </x:c>
      <x:c r="M374" s="74" t="n">
        <x:f>MIN(Assumptions!$C$8*L374,Assumptions!$C$5)</x:f>
        <x:v>0.005</x:v>
      </x:c>
      <x:c r="N374" s="78" t="n">
        <x:f>IF(ROW()=16,Assumptions!$C$4,V373)</x:f>
        <x:v>9910.01651411154</x:v>
      </x:c>
      <x:c r="O374" s="78" t="n">
        <x:f>IF(AND(K374&gt;IF(F374&gt;=Assumptions!$C$21,Assumptions!$C$10,Assumptions!$C$9),D374&gt;Assumptions!$C$23),N374*M374,0)</x:f>
        <x:v>49.5500825705577</x:v>
      </x:c>
      <x:c r="P374" s="78" t="n">
        <x:f>IFERROR(O374/F374,0)</x:f>
        <x:v>54.45064018742604</x:v>
      </x:c>
      <x:c r="Q374" s="78" t="n">
        <x:v>1</x:v>
      </x:c>
      <x:c r="R374" s="78" t="str">
        <x:v>Resolve</x:v>
      </x:c>
      <x:c r="S374" s="78" t="n">
        <x:f>IF(R374="Resolve",IF(IF(E374="YES",Q374,1-Q374)=1,P374*(1-F374),-O374),P374*(G374-F374))</x:f>
        <x:v>4.900557616868342</x:v>
      </x:c>
      <x:c r="T374" s="78" t="n">
        <x:f>P374*J374</x:f>
        <x:v>0.16335192056227812</x:v>
      </x:c>
      <x:c r="U374" s="78" t="n">
        <x:f>S374-T374</x:f>
        <x:v>4.737205696306064</x:v>
      </x:c>
      <x:c r="V374" s="78" t="n">
        <x:f>N374+U374</x:f>
        <x:v>9914.753719807846</x:v>
      </x:c>
      <x:c r="W374" s="74" t="n">
        <x:f>IFERROR(V374/MAX($V$16:V374)-1,0)</x:f>
        <x:v>-0.018907779318919182</x:v>
      </x:c>
      <x:c r="X374" t="str">
        <x:f>IF(O374&gt;0,"TRADE","NO_TRADE")</x:f>
        <x:v>TRADE</x:v>
      </x:c>
    </x:row>
    <x:row r="375">
      <x:c r="A375" s="66" t="n">
        <x:v>46167.52077546297</x:v>
      </x:c>
      <x:c r="B375" s="66" t="str">
        <x:v>MKT_1005</x:v>
      </x:c>
      <x:c r="C375" s="66" t="n">
        <x:v>46167.520833333336</x:v>
      </x:c>
      <x:c r="D375" t="n">
        <x:v>5</x:v>
      </x:c>
      <x:c r="E375" t="str">
        <x:v>YES</x:v>
      </x:c>
      <x:c r="F375" s="74" t="n">
        <x:v>0.83</x:v>
      </x:c>
      <x:c r="G375" s="74" t="n">
        <x:v>0.83</x:v>
      </x:c>
      <x:c r="H375" s="74" t="n">
        <x:v>0.82</x:v>
      </x:c>
      <x:c r="I375" s="74" t="n">
        <x:f>IF(E375="YES",H375,1-H375)</x:f>
        <x:v>0.82</x:v>
      </x:c>
      <x:c r="J375" s="76" t="n">
        <x:f>Assumptions!$C$12+Assumptions!$C$11*F375</x:f>
        <x:v>0.003</x:v>
      </x:c>
      <x:c r="K375" s="76" t="n">
        <x:f>I375-F375-J375</x:f>
        <x:v>-0.013000000000000008</x:v>
      </x:c>
      <x:c r="L375" s="74" t="n">
        <x:f>MAX(0,IFERROR(K375/(1-F375),0))</x:f>
        <x:v>0</x:v>
      </x:c>
      <x:c r="M375" s="74" t="n">
        <x:f>MIN(Assumptions!$C$8*L375,Assumptions!$C$5)</x:f>
        <x:v>0</x:v>
      </x:c>
      <x:c r="N375" s="78" t="n">
        <x:f>IF(ROW()=16,Assumptions!$C$4,V374)</x:f>
        <x:v>9914.753719807846</x:v>
      </x:c>
      <x:c r="O375" s="78" t="n">
        <x:f>IF(AND(K375&gt;IF(F375&gt;=Assumptions!$C$21,Assumptions!$C$10,Assumptions!$C$9),D375&gt;Assumptions!$C$23),N375*M375,0)</x:f>
        <x:v>0</x:v>
      </x:c>
      <x:c r="P375" s="78" t="n">
        <x:f>IFERROR(O375/F375,0)</x:f>
        <x:v>0</x:v>
      </x:c>
      <x:c r="Q375" s="78" t="n">
        <x:v>1</x:v>
      </x:c>
      <x:c r="R375" s="78" t="str">
        <x:v>Resolve</x:v>
      </x:c>
      <x:c r="S375" s="78" t="n">
        <x:f>IF(R375="Resolve",IF(IF(E375="YES",Q375,1-Q375)=1,P375*(1-F375),-O375),P375*(G375-F375))</x:f>
        <x:v>0</x:v>
      </x:c>
      <x:c r="T375" s="78" t="n">
        <x:f>P375*J375</x:f>
        <x:v>0</x:v>
      </x:c>
      <x:c r="U375" s="78" t="n">
        <x:f>S375-T375</x:f>
        <x:v>0</x:v>
      </x:c>
      <x:c r="V375" s="78" t="n">
        <x:f>N375+U375</x:f>
        <x:v>9914.753719807846</x:v>
      </x:c>
      <x:c r="W375" s="74" t="n">
        <x:f>IFERROR(V375/MAX($V$16:V375)-1,0)</x:f>
        <x:v>-0.018907779318919182</x:v>
      </x:c>
      <x:c r="X375" t="str">
        <x:f>IF(O375&gt;0,"TRADE","NO_TRADE")</x:f>
        <x:v>NO_TRADE</x:v>
      </x:c>
    </x:row>
    <x:row r="376">
      <x:c r="A376" s="66" t="n">
        <x:v>46167.520833333336</x:v>
      </x:c>
      <x:c r="B376" s="66" t="str">
        <x:v>MKT_1006</x:v>
      </x:c>
      <x:c r="C376" s="66" t="n">
        <x:v>46167.524305555555</x:v>
      </x:c>
      <x:c r="D376" t="n">
        <x:v>300</x:v>
      </x:c>
      <x:c r="E376" t="str">
        <x:v>NO</x:v>
      </x:c>
      <x:c r="F376" s="74" t="n">
        <x:v>0.52</x:v>
      </x:c>
      <x:c r="G376" s="74" t="n">
        <x:v>0.52</x:v>
      </x:c>
      <x:c r="H376" s="74" t="n">
        <x:v>0.535</x:v>
      </x:c>
      <x:c r="I376" s="74" t="n">
        <x:f>IF(E376="YES",H376,1-H376)</x:f>
        <x:v>0.46499999999999997</x:v>
      </x:c>
      <x:c r="J376" s="76" t="n">
        <x:f>Assumptions!$C$12+Assumptions!$C$11*F376</x:f>
        <x:v>0.003</x:v>
      </x:c>
      <x:c r="K376" s="76" t="n">
        <x:f>I376-F376-J376</x:f>
        <x:v>-0.05800000000000005</x:v>
      </x:c>
      <x:c r="L376" s="74" t="n">
        <x:f>MAX(0,IFERROR(K376/(1-F376),0))</x:f>
        <x:v>0</x:v>
      </x:c>
      <x:c r="M376" s="74" t="n">
        <x:f>MIN(Assumptions!$C$8*L376,Assumptions!$C$5)</x:f>
        <x:v>0</x:v>
      </x:c>
      <x:c r="N376" s="78" t="n">
        <x:f>IF(ROW()=16,Assumptions!$C$4,V375)</x:f>
        <x:v>9914.753719807846</x:v>
      </x:c>
      <x:c r="O376" s="78" t="n">
        <x:f>IF(AND(K376&gt;IF(F376&gt;=Assumptions!$C$21,Assumptions!$C$10,Assumptions!$C$9),D376&gt;Assumptions!$C$23),N376*M376,0)</x:f>
        <x:v>0</x:v>
      </x:c>
      <x:c r="P376" s="78" t="n">
        <x:f>IFERROR(O376/F376,0)</x:f>
        <x:v>0</x:v>
      </x:c>
      <x:c r="Q376" s="78" t="n">
        <x:v>0</x:v>
      </x:c>
      <x:c r="R376" s="78" t="str">
        <x:v>Resolve</x:v>
      </x:c>
      <x:c r="S376" s="78" t="n">
        <x:f>IF(R376="Resolve",IF(IF(E376="YES",Q376,1-Q376)=1,P376*(1-F376),-O376),P376*(G376-F376))</x:f>
        <x:v>0</x:v>
      </x:c>
      <x:c r="T376" s="78" t="n">
        <x:f>P376*J376</x:f>
        <x:v>0</x:v>
      </x:c>
      <x:c r="U376" s="78" t="n">
        <x:f>S376-T376</x:f>
        <x:v>0</x:v>
      </x:c>
      <x:c r="V376" s="78" t="n">
        <x:f>N376+U376</x:f>
        <x:v>9914.753719807846</x:v>
      </x:c>
      <x:c r="W376" s="74" t="n">
        <x:f>IFERROR(V376/MAX($V$16:V376)-1,0)</x:f>
        <x:v>-0.018907779318919182</x:v>
      </x:c>
      <x:c r="X376" t="str">
        <x:f>IF(O376&gt;0,"TRADE","NO_TRADE")</x:f>
        <x:v>NO_TRADE</x:v>
      </x:c>
    </x:row>
    <x:row r="377">
      <x:c r="A377" s="66" t="n">
        <x:v>46167.520891203705</x:v>
      </x:c>
      <x:c r="B377" s="66" t="str">
        <x:v>MKT_1006</x:v>
      </x:c>
      <x:c r="C377" s="66" t="n">
        <x:v>46167.524305555555</x:v>
      </x:c>
      <x:c r="D377" t="n">
        <x:v>295</x:v>
      </x:c>
      <x:c r="E377" t="str">
        <x:v>YES</x:v>
      </x:c>
      <x:c r="F377" s="74" t="n">
        <x:v>0.61</x:v>
      </x:c>
      <x:c r="G377" s="74" t="n">
        <x:v>0.61</x:v>
      </x:c>
      <x:c r="H377" s="74" t="n">
        <x:v>0.63</x:v>
      </x:c>
      <x:c r="I377" s="74" t="n">
        <x:f>IF(E377="YES",H377,1-H377)</x:f>
        <x:v>0.63</x:v>
      </x:c>
      <x:c r="J377" s="76" t="n">
        <x:f>Assumptions!$C$12+Assumptions!$C$11*F377</x:f>
        <x:v>0.003</x:v>
      </x:c>
      <x:c r="K377" s="76" t="n">
        <x:f>I377-F377-J377</x:f>
        <x:v>0.01700000000000002</x:v>
      </x:c>
      <x:c r="L377" s="74" t="n">
        <x:f>MAX(0,IFERROR(K377/(1-F377),0))</x:f>
        <x:v>0.043589743589743636</x:v>
      </x:c>
      <x:c r="M377" s="74" t="n">
        <x:f>MIN(Assumptions!$C$8*L377,Assumptions!$C$5)</x:f>
        <x:v>0.005</x:v>
      </x:c>
      <x:c r="N377" s="78" t="n">
        <x:f>IF(ROW()=16,Assumptions!$C$4,V376)</x:f>
        <x:v>9914.753719807846</x:v>
      </x:c>
      <x:c r="O377" s="78" t="n">
        <x:f>IF(AND(K377&gt;IF(F377&gt;=Assumptions!$C$21,Assumptions!$C$10,Assumptions!$C$9),D377&gt;Assumptions!$C$23),N377*M377,0)</x:f>
        <x:v>49.573768599039234</x:v>
      </x:c>
      <x:c r="P377" s="78" t="n">
        <x:f>IFERROR(O377/F377,0)</x:f>
        <x:v>81.26847311317907</x:v>
      </x:c>
      <x:c r="Q377" s="78" t="n">
        <x:v>1</x:v>
      </x:c>
      <x:c r="R377" s="78" t="str">
        <x:v>Resolve</x:v>
      </x:c>
      <x:c r="S377" s="78" t="n">
        <x:f>IF(R377="Resolve",IF(IF(E377="YES",Q377,1-Q377)=1,P377*(1-F377),-O377),P377*(G377-F377))</x:f>
        <x:v>31.69470451413984</x:v>
      </x:c>
      <x:c r="T377" s="78" t="n">
        <x:f>P377*J377</x:f>
        <x:v>0.24380541933953723</x:v>
      </x:c>
      <x:c r="U377" s="78" t="n">
        <x:f>S377-T377</x:f>
        <x:v>31.450899094800302</x:v>
      </x:c>
      <x:c r="V377" s="78" t="n">
        <x:f>N377+U377</x:f>
        <x:v>9946.204618902646</x:v>
      </x:c>
      <x:c r="W377" s="74" t="n">
        <x:f>IFERROR(V377/MAX($V$16:V377)-1,0)</x:f>
        <x:v>-0.015795626127086626</x:v>
      </x:c>
      <x:c r="X377" t="str">
        <x:f>IF(O377&gt;0,"TRADE","NO_TRADE")</x:f>
        <x:v>TRADE</x:v>
      </x:c>
    </x:row>
    <x:row r="378">
      <x:c r="A378" s="66" t="n">
        <x:v>46167.520949074074</x:v>
      </x:c>
      <x:c r="B378" s="66" t="str">
        <x:v>MKT_1006</x:v>
      </x:c>
      <x:c r="C378" s="66" t="n">
        <x:v>46167.524305555555</x:v>
      </x:c>
      <x:c r="D378" t="n">
        <x:v>290</x:v>
      </x:c>
      <x:c r="E378" t="str">
        <x:v>YES</x:v>
      </x:c>
      <x:c r="F378" s="74" t="n">
        <x:v>0.74</x:v>
      </x:c>
      <x:c r="G378" s="74" t="n">
        <x:v>0.74</x:v>
      </x:c>
      <x:c r="H378" s="74" t="n">
        <x:v>0.735</x:v>
      </x:c>
      <x:c r="I378" s="74" t="n">
        <x:f>IF(E378="YES",H378,1-H378)</x:f>
        <x:v>0.735</x:v>
      </x:c>
      <x:c r="J378" s="76" t="n">
        <x:f>Assumptions!$C$12+Assumptions!$C$11*F378</x:f>
        <x:v>0.003</x:v>
      </x:c>
      <x:c r="K378" s="76" t="n">
        <x:f>I378-F378-J378</x:f>
        <x:v>-0.008000000000000004</x:v>
      </x:c>
      <x:c r="L378" s="74" t="n">
        <x:f>MAX(0,IFERROR(K378/(1-F378),0))</x:f>
        <x:v>0</x:v>
      </x:c>
      <x:c r="M378" s="74" t="n">
        <x:f>MIN(Assumptions!$C$8*L378,Assumptions!$C$5)</x:f>
        <x:v>0</x:v>
      </x:c>
      <x:c r="N378" s="78" t="n">
        <x:f>IF(ROW()=16,Assumptions!$C$4,V377)</x:f>
        <x:v>9946.204618902646</x:v>
      </x:c>
      <x:c r="O378" s="78" t="n">
        <x:f>IF(AND(K378&gt;IF(F378&gt;=Assumptions!$C$21,Assumptions!$C$10,Assumptions!$C$9),D378&gt;Assumptions!$C$23),N378*M378,0)</x:f>
        <x:v>0</x:v>
      </x:c>
      <x:c r="P378" s="78" t="n">
        <x:f>IFERROR(O378/F378,0)</x:f>
        <x:v>0</x:v>
      </x:c>
      <x:c r="Q378" s="78" t="n">
        <x:v>1</x:v>
      </x:c>
      <x:c r="R378" s="78" t="str">
        <x:v>Resolve</x:v>
      </x:c>
      <x:c r="S378" s="78" t="n">
        <x:f>IF(R378="Resolve",IF(IF(E378="YES",Q378,1-Q378)=1,P378*(1-F378),-O378),P378*(G378-F378))</x:f>
        <x:v>0</x:v>
      </x:c>
      <x:c r="T378" s="78" t="n">
        <x:f>P378*J378</x:f>
        <x:v>0</x:v>
      </x:c>
      <x:c r="U378" s="78" t="n">
        <x:f>S378-T378</x:f>
        <x:v>0</x:v>
      </x:c>
      <x:c r="V378" s="78" t="n">
        <x:f>N378+U378</x:f>
        <x:v>9946.204618902646</x:v>
      </x:c>
      <x:c r="W378" s="74" t="n">
        <x:f>IFERROR(V378/MAX($V$16:V378)-1,0)</x:f>
        <x:v>-0.015795626127086626</x:v>
      </x:c>
      <x:c r="X378" t="str">
        <x:f>IF(O378&gt;0,"TRADE","NO_TRADE")</x:f>
        <x:v>NO_TRADE</x:v>
      </x:c>
    </x:row>
    <x:row r="379">
      <x:c r="A379" s="66" t="n">
        <x:v>46167.521006944444</x:v>
      </x:c>
      <x:c r="B379" s="66" t="str">
        <x:v>MKT_1006</x:v>
      </x:c>
      <x:c r="C379" s="66" t="n">
        <x:v>46167.524305555555</x:v>
      </x:c>
      <x:c r="D379" t="n">
        <x:v>285</x:v>
      </x:c>
      <x:c r="E379" t="str">
        <x:v>NO</x:v>
      </x:c>
      <x:c r="F379" s="74" t="n">
        <x:v>0.88</x:v>
      </x:c>
      <x:c r="G379" s="74" t="n">
        <x:v>0.88</x:v>
      </x:c>
      <x:c r="H379" s="74" t="n">
        <x:v>0.91</x:v>
      </x:c>
      <x:c r="I379" s="74" t="n">
        <x:f>IF(E379="YES",H379,1-H379)</x:f>
        <x:v>0.08999999999999997</x:v>
      </x:c>
      <x:c r="J379" s="76" t="n">
        <x:f>Assumptions!$C$12+Assumptions!$C$11*F379</x:f>
        <x:v>0.003</x:v>
      </x:c>
      <x:c r="K379" s="76" t="n">
        <x:f>I379-F379-J379</x:f>
        <x:v>-0.793</x:v>
      </x:c>
      <x:c r="L379" s="74" t="n">
        <x:f>MAX(0,IFERROR(K379/(1-F379),0))</x:f>
        <x:v>0</x:v>
      </x:c>
      <x:c r="M379" s="74" t="n">
        <x:f>MIN(Assumptions!$C$8*L379,Assumptions!$C$5)</x:f>
        <x:v>0</x:v>
      </x:c>
      <x:c r="N379" s="78" t="n">
        <x:f>IF(ROW()=16,Assumptions!$C$4,V378)</x:f>
        <x:v>9946.204618902646</x:v>
      </x:c>
      <x:c r="O379" s="78" t="n">
        <x:f>IF(AND(K379&gt;IF(F379&gt;=Assumptions!$C$21,Assumptions!$C$10,Assumptions!$C$9),D379&gt;Assumptions!$C$23),N379*M379,0)</x:f>
        <x:v>0</x:v>
      </x:c>
      <x:c r="P379" s="78" t="n">
        <x:f>IFERROR(O379/F379,0)</x:f>
        <x:v>0</x:v>
      </x:c>
      <x:c r="Q379" s="78" t="n">
        <x:v>1</x:v>
      </x:c>
      <x:c r="R379" s="78" t="str">
        <x:v>Resolve</x:v>
      </x:c>
      <x:c r="S379" s="78" t="n">
        <x:f>IF(R379="Resolve",IF(IF(E379="YES",Q379,1-Q379)=1,P379*(1-F379),-O379),P379*(G379-F379))</x:f>
        <x:v>0</x:v>
      </x:c>
      <x:c r="T379" s="78" t="n">
        <x:f>P379*J379</x:f>
        <x:v>0</x:v>
      </x:c>
      <x:c r="U379" s="78" t="n">
        <x:f>S379-T379</x:f>
        <x:v>0</x:v>
      </x:c>
      <x:c r="V379" s="78" t="n">
        <x:f>N379+U379</x:f>
        <x:v>9946.204618902646</x:v>
      </x:c>
      <x:c r="W379" s="74" t="n">
        <x:f>IFERROR(V379/MAX($V$16:V379)-1,0)</x:f>
        <x:v>-0.015795626127086626</x:v>
      </x:c>
      <x:c r="X379" t="str">
        <x:f>IF(O379&gt;0,"TRADE","NO_TRADE")</x:f>
        <x:v>NO_TRADE</x:v>
      </x:c>
    </x:row>
    <x:row r="380">
      <x:c r="A380" s="66" t="n">
        <x:v>46167.52106481481</x:v>
      </x:c>
      <x:c r="B380" s="66" t="str">
        <x:v>MKT_1006</x:v>
      </x:c>
      <x:c r="C380" s="66" t="n">
        <x:v>46167.524305555555</x:v>
      </x:c>
      <x:c r="D380" t="n">
        <x:v>280</x:v>
      </x:c>
      <x:c r="E380" t="str">
        <x:v>YES</x:v>
      </x:c>
      <x:c r="F380" s="74" t="n">
        <x:v>0.94</x:v>
      </x:c>
      <x:c r="G380" s="74" t="n">
        <x:v>0.94</x:v>
      </x:c>
      <x:c r="H380" s="74" t="n">
        <x:v>0.98</x:v>
      </x:c>
      <x:c r="I380" s="74" t="n">
        <x:f>IF(E380="YES",H380,1-H380)</x:f>
        <x:v>0.98</x:v>
      </x:c>
      <x:c r="J380" s="76" t="n">
        <x:f>Assumptions!$C$12+Assumptions!$C$11*F380</x:f>
        <x:v>0.003</x:v>
      </x:c>
      <x:c r="K380" s="76" t="n">
        <x:f>I380-F380-J380</x:f>
        <x:v>0.03700000000000003</x:v>
      </x:c>
      <x:c r="L380" s="74" t="n">
        <x:f>MAX(0,IFERROR(K380/(1-F380),0))</x:f>
        <x:v>0.6166666666666667</x:v>
      </x:c>
      <x:c r="M380" s="74" t="n">
        <x:f>MIN(Assumptions!$C$8*L380,Assumptions!$C$5)</x:f>
        <x:v>0.005</x:v>
      </x:c>
      <x:c r="N380" s="78" t="n">
        <x:f>IF(ROW()=16,Assumptions!$C$4,V379)</x:f>
        <x:v>9946.204618902646</x:v>
      </x:c>
      <x:c r="O380" s="78" t="n">
        <x:f>IF(AND(K380&gt;IF(F380&gt;=Assumptions!$C$21,Assumptions!$C$10,Assumptions!$C$9),D380&gt;Assumptions!$C$23),N380*M380,0)</x:f>
        <x:v>49.73102309451323</x:v>
      </x:c>
      <x:c r="P380" s="78" t="n">
        <x:f>IFERROR(O380/F380,0)</x:f>
        <x:v>52.90534371756727</x:v>
      </x:c>
      <x:c r="Q380" s="78" t="n">
        <x:v>0</x:v>
      </x:c>
      <x:c r="R380" s="78" t="str">
        <x:v>Resolve</x:v>
      </x:c>
      <x:c r="S380" s="78" t="n">
        <x:f>IF(R380="Resolve",IF(IF(E380="YES",Q380,1-Q380)=1,P380*(1-F380),-O380),P380*(G380-F380))</x:f>
        <x:v>-49.73102309451323</x:v>
      </x:c>
      <x:c r="T380" s="78" t="n">
        <x:f>P380*J380</x:f>
        <x:v>0.1587160311527018</x:v>
      </x:c>
      <x:c r="U380" s="78" t="n">
        <x:f>S380-T380</x:f>
        <x:v>-49.88973912566593</x:v>
      </x:c>
      <x:c r="V380" s="78" t="n">
        <x:f>N380+U380</x:f>
        <x:v>9896.31487977698</x:v>
      </x:c>
      <x:c r="W380" s="74" t="n">
        <x:f>IFERROR(V380/MAX($V$16:V380)-1,0)</x:f>
        <x:v>-0.02073235338539592</x:v>
      </x:c>
      <x:c r="X380" t="str">
        <x:f>IF(O380&gt;0,"TRADE","NO_TRADE")</x:f>
        <x:v>TRADE</x:v>
      </x:c>
    </x:row>
    <x:row r="381">
      <x:c r="A381" s="66" t="n">
        <x:v>46167.52112268518</x:v>
      </x:c>
      <x:c r="B381" s="66" t="str">
        <x:v>MKT_1006</x:v>
      </x:c>
      <x:c r="C381" s="66" t="n">
        <x:v>46167.524305555555</x:v>
      </x:c>
      <x:c r="D381" t="n">
        <x:v>275</x:v>
      </x:c>
      <x:c r="E381" t="str">
        <x:v>YES</x:v>
      </x:c>
      <x:c r="F381" s="74" t="n">
        <x:v>0.95</x:v>
      </x:c>
      <x:c r="G381" s="74" t="n">
        <x:v>0.95</x:v>
      </x:c>
      <x:c r="H381" s="74" t="n">
        <x:v>0.968</x:v>
      </x:c>
      <x:c r="I381" s="74" t="n">
        <x:f>IF(E381="YES",H381,1-H381)</x:f>
        <x:v>0.968</x:v>
      </x:c>
      <x:c r="J381" s="76" t="n">
        <x:f>Assumptions!$C$12+Assumptions!$C$11*F381</x:f>
        <x:v>0.003</x:v>
      </x:c>
      <x:c r="K381" s="76" t="n">
        <x:f>I381-F381-J381</x:f>
        <x:v>0.015000000000000017</x:v>
      </x:c>
      <x:c r="L381" s="74" t="n">
        <x:f>MAX(0,IFERROR(K381/(1-F381),0))</x:f>
        <x:v>0.30000000000000004</x:v>
      </x:c>
      <x:c r="M381" s="74" t="n">
        <x:f>MIN(Assumptions!$C$8*L381,Assumptions!$C$5)</x:f>
        <x:v>0.005</x:v>
      </x:c>
      <x:c r="N381" s="78" t="n">
        <x:f>IF(ROW()=16,Assumptions!$C$4,V380)</x:f>
        <x:v>9896.31487977698</x:v>
      </x:c>
      <x:c r="O381" s="78" t="n">
        <x:f>IF(AND(K381&gt;IF(F381&gt;=Assumptions!$C$21,Assumptions!$C$10,Assumptions!$C$9),D381&gt;Assumptions!$C$23),N381*M381,0)</x:f>
        <x:v>49.4815743988849</x:v>
      </x:c>
      <x:c r="P381" s="78" t="n">
        <x:f>IFERROR(O381/F381,0)</x:f>
        <x:v>52.0858677882999</x:v>
      </x:c>
      <x:c r="Q381" s="78" t="n">
        <x:v>1</x:v>
      </x:c>
      <x:c r="R381" s="78" t="str">
        <x:v>Resolve</x:v>
      </x:c>
      <x:c r="S381" s="78" t="n">
        <x:f>IF(R381="Resolve",IF(IF(E381="YES",Q381,1-Q381)=1,P381*(1-F381),-O381),P381*(G381-F381))</x:f>
        <x:v>2.6042933894149973</x:v>
      </x:c>
      <x:c r="T381" s="78" t="n">
        <x:f>P381*J381</x:f>
        <x:v>0.15625760336489972</x:v>
      </x:c>
      <x:c r="U381" s="78" t="n">
        <x:f>S381-T381</x:f>
        <x:v>2.4480357860500974</x:v>
      </x:c>
      <x:c r="V381" s="78" t="n">
        <x:f>N381+U381</x:f>
        <x:v>9898.762915563031</x:v>
      </x:c>
      <x:c r="W381" s="74" t="n">
        <x:f>IFERROR(V381/MAX($V$16:V381)-1,0)</x:f>
        <x:v>-0.02049011349386498</x:v>
      </x:c>
      <x:c r="X381" t="str">
        <x:f>IF(O381&gt;0,"TRADE","NO_TRADE")</x:f>
        <x:v>TRADE</x:v>
      </x:c>
    </x:row>
    <x:row r="382">
      <x:c r="A382" s="66" t="n">
        <x:v>46167.52118055556</x:v>
      </x:c>
      <x:c r="B382" s="66" t="str">
        <x:v>MKT_1006</x:v>
      </x:c>
      <x:c r="C382" s="66" t="n">
        <x:v>46167.524305555555</x:v>
      </x:c>
      <x:c r="D382" t="n">
        <x:v>270</x:v>
      </x:c>
      <x:c r="E382" t="str">
        <x:v>NO</x:v>
      </x:c>
      <x:c r="F382" s="74" t="n">
        <x:v>0.57</x:v>
      </x:c>
      <x:c r="G382" s="74" t="n">
        <x:v>0.57</x:v>
      </x:c>
      <x:c r="H382" s="74" t="n">
        <x:v>0.582</x:v>
      </x:c>
      <x:c r="I382" s="74" t="n">
        <x:f>IF(E382="YES",H382,1-H382)</x:f>
        <x:v>0.41800000000000004</x:v>
      </x:c>
      <x:c r="J382" s="76" t="n">
        <x:f>Assumptions!$C$12+Assumptions!$C$11*F382</x:f>
        <x:v>0.003</x:v>
      </x:c>
      <x:c r="K382" s="76" t="n">
        <x:f>I382-F382-J382</x:f>
        <x:v>-0.15499999999999992</x:v>
      </x:c>
      <x:c r="L382" s="74" t="n">
        <x:f>MAX(0,IFERROR(K382/(1-F382),0))</x:f>
        <x:v>0</x:v>
      </x:c>
      <x:c r="M382" s="74" t="n">
        <x:f>MIN(Assumptions!$C$8*L382,Assumptions!$C$5)</x:f>
        <x:v>0</x:v>
      </x:c>
      <x:c r="N382" s="78" t="n">
        <x:f>IF(ROW()=16,Assumptions!$C$4,V381)</x:f>
        <x:v>9898.762915563031</x:v>
      </x:c>
      <x:c r="O382" s="78" t="n">
        <x:f>IF(AND(K382&gt;IF(F382&gt;=Assumptions!$C$21,Assumptions!$C$10,Assumptions!$C$9),D382&gt;Assumptions!$C$23),N382*M382,0)</x:f>
        <x:v>0</x:v>
      </x:c>
      <x:c r="P382" s="78" t="n">
        <x:f>IFERROR(O382/F382,0)</x:f>
        <x:v>0</x:v>
      </x:c>
      <x:c r="Q382" s="78" t="n">
        <x:v>1</x:v>
      </x:c>
      <x:c r="R382" s="78" t="str">
        <x:v>Resolve</x:v>
      </x:c>
      <x:c r="S382" s="78" t="n">
        <x:f>IF(R382="Resolve",IF(IF(E382="YES",Q382,1-Q382)=1,P382*(1-F382),-O382),P382*(G382-F382))</x:f>
        <x:v>0</x:v>
      </x:c>
      <x:c r="T382" s="78" t="n">
        <x:f>P382*J382</x:f>
        <x:v>0</x:v>
      </x:c>
      <x:c r="U382" s="78" t="n">
        <x:f>S382-T382</x:f>
        <x:v>0</x:v>
      </x:c>
      <x:c r="V382" s="78" t="n">
        <x:f>N382+U382</x:f>
        <x:v>9898.762915563031</x:v>
      </x:c>
      <x:c r="W382" s="74" t="n">
        <x:f>IFERROR(V382/MAX($V$16:V382)-1,0)</x:f>
        <x:v>-0.02049011349386498</x:v>
      </x:c>
      <x:c r="X382" t="str">
        <x:f>IF(O382&gt;0,"TRADE","NO_TRADE")</x:f>
        <x:v>NO_TRADE</x:v>
      </x:c>
    </x:row>
    <x:row r="383">
      <x:c r="A383" s="66" t="n">
        <x:v>46167.52123842593</x:v>
      </x:c>
      <x:c r="B383" s="66" t="str">
        <x:v>MKT_1006</x:v>
      </x:c>
      <x:c r="C383" s="66" t="n">
        <x:v>46167.524305555555</x:v>
      </x:c>
      <x:c r="D383" t="n">
        <x:v>265</x:v>
      </x:c>
      <x:c r="E383" t="str">
        <x:v>YES</x:v>
      </x:c>
      <x:c r="F383" s="74" t="n">
        <x:v>0.68</x:v>
      </x:c>
      <x:c r="G383" s="74" t="n">
        <x:v>0.68</x:v>
      </x:c>
      <x:c r="H383" s="74" t="n">
        <x:v>0.7050000000000001</x:v>
      </x:c>
      <x:c r="I383" s="74" t="n">
        <x:f>IF(E383="YES",H383,1-H383)</x:f>
        <x:v>0.7050000000000001</x:v>
      </x:c>
      <x:c r="J383" s="76" t="n">
        <x:f>Assumptions!$C$12+Assumptions!$C$11*F383</x:f>
        <x:v>0.003</x:v>
      </x:c>
      <x:c r="K383" s="76" t="n">
        <x:f>I383-F383-J383</x:f>
        <x:v>0.022000000000000023</x:v>
      </x:c>
      <x:c r="L383" s="74" t="n">
        <x:f>MAX(0,IFERROR(K383/(1-F383),0))</x:f>
        <x:v>0.06875000000000009</x:v>
      </x:c>
      <x:c r="M383" s="74" t="n">
        <x:f>MIN(Assumptions!$C$8*L383,Assumptions!$C$5)</x:f>
        <x:v>0.005</x:v>
      </x:c>
      <x:c r="N383" s="78" t="n">
        <x:f>IF(ROW()=16,Assumptions!$C$4,V382)</x:f>
        <x:v>9898.762915563031</x:v>
      </x:c>
      <x:c r="O383" s="78" t="n">
        <x:f>IF(AND(K383&gt;IF(F383&gt;=Assumptions!$C$21,Assumptions!$C$10,Assumptions!$C$9),D383&gt;Assumptions!$C$23),N383*M383,0)</x:f>
        <x:v>49.49381457781516</x:v>
      </x:c>
      <x:c r="P383" s="78" t="n">
        <x:f>IFERROR(O383/F383,0)</x:f>
        <x:v>72.78502143796347</x:v>
      </x:c>
      <x:c r="Q383" s="78" t="n">
        <x:v>0</x:v>
      </x:c>
      <x:c r="R383" s="78" t="str">
        <x:v>Resolve</x:v>
      </x:c>
      <x:c r="S383" s="78" t="n">
        <x:f>IF(R383="Resolve",IF(IF(E383="YES",Q383,1-Q383)=1,P383*(1-F383),-O383),P383*(G383-F383))</x:f>
        <x:v>-49.49381457781516</x:v>
      </x:c>
      <x:c r="T383" s="78" t="n">
        <x:f>P383*J383</x:f>
        <x:v>0.2183550643138904</x:v>
      </x:c>
      <x:c r="U383" s="78" t="n">
        <x:f>S383-T383</x:f>
        <x:v>-49.71216964212905</x:v>
      </x:c>
      <x:c r="V383" s="78" t="n">
        <x:f>N383+U383</x:f>
        <x:v>9849.050745920902</x:v>
      </x:c>
      <x:c r="W383" s="74" t="n">
        <x:f>IFERROR(V383/MAX($V$16:V383)-1,0)</x:f>
        <x:v>-0.025409269762127318</x:v>
      </x:c>
      <x:c r="X383" t="str">
        <x:f>IF(O383&gt;0,"TRADE","NO_TRADE")</x:f>
        <x:v>TRADE</x:v>
      </x:c>
    </x:row>
    <x:row r="384">
      <x:c r="A384" s="66" t="n">
        <x:v>46167.5212962963</x:v>
      </x:c>
      <x:c r="B384" s="66" t="str">
        <x:v>MKT_1006</x:v>
      </x:c>
      <x:c r="C384" s="66" t="n">
        <x:v>46167.524305555555</x:v>
      </x:c>
      <x:c r="D384" t="n">
        <x:v>260</x:v>
      </x:c>
      <x:c r="E384" t="str">
        <x:v>YES</x:v>
      </x:c>
      <x:c r="F384" s="74" t="n">
        <x:v>0.91</x:v>
      </x:c>
      <x:c r="G384" s="74" t="n">
        <x:v>0.91</x:v>
      </x:c>
      <x:c r="H384" s="74" t="n">
        <x:v>0.9450000000000001</x:v>
      </x:c>
      <x:c r="I384" s="74" t="n">
        <x:f>IF(E384="YES",H384,1-H384)</x:f>
        <x:v>0.9450000000000001</x:v>
      </x:c>
      <x:c r="J384" s="76" t="n">
        <x:f>Assumptions!$C$12+Assumptions!$C$11*F384</x:f>
        <x:v>0.003</x:v>
      </x:c>
      <x:c r="K384" s="76" t="n">
        <x:f>I384-F384-J384</x:f>
        <x:v>0.03200000000000003</x:v>
      </x:c>
      <x:c r="L384" s="74" t="n">
        <x:f>MAX(0,IFERROR(K384/(1-F384),0))</x:f>
        <x:v>0.355555555555556</x:v>
      </x:c>
      <x:c r="M384" s="74" t="n">
        <x:f>MIN(Assumptions!$C$8*L384,Assumptions!$C$5)</x:f>
        <x:v>0.005</x:v>
      </x:c>
      <x:c r="N384" s="78" t="n">
        <x:f>IF(ROW()=16,Assumptions!$C$4,V383)</x:f>
        <x:v>9849.050745920902</x:v>
      </x:c>
      <x:c r="O384" s="78" t="n">
        <x:f>IF(AND(K384&gt;IF(F384&gt;=Assumptions!$C$21,Assumptions!$C$10,Assumptions!$C$9),D384&gt;Assumptions!$C$23),N384*M384,0)</x:f>
        <x:v>49.245253729604514</x:v>
      </x:c>
      <x:c r="P384" s="78" t="n">
        <x:f>IFERROR(O384/F384,0)</x:f>
        <x:v>54.11566343912584</x:v>
      </x:c>
      <x:c r="Q384" s="78" t="n">
        <x:v>1</x:v>
      </x:c>
      <x:c r="R384" s="78" t="str">
        <x:v>Resolve</x:v>
      </x:c>
      <x:c r="S384" s="78" t="n">
        <x:f>IF(R384="Resolve",IF(IF(E384="YES",Q384,1-Q384)=1,P384*(1-F384),-O384),P384*(G384-F384))</x:f>
        <x:v>4.870409709521324</x:v>
      </x:c>
      <x:c r="T384" s="78" t="n">
        <x:f>P384*J384</x:f>
        <x:v>0.1623469903173775</x:v>
      </x:c>
      <x:c r="U384" s="78" t="n">
        <x:f>S384-T384</x:f>
        <x:v>4.708062719203946</x:v>
      </x:c>
      <x:c r="V384" s="78" t="n">
        <x:f>N384+U384</x:f>
        <x:v>9853.758808640107</x:v>
      </x:c>
      <x:c r="W384" s="74" t="n">
        <x:f>IFERROR(V384/MAX($V$16:V384)-1,0)</x:f>
        <x:v>-0.024943393973497097</x:v>
      </x:c>
      <x:c r="X384" t="str">
        <x:f>IF(O384&gt;0,"TRADE","NO_TRADE")</x:f>
        <x:v>TRADE</x:v>
      </x:c>
    </x:row>
    <x:row r="385">
      <x:c r="A385" s="66" t="n">
        <x:v>46167.52135416667</x:v>
      </x:c>
      <x:c r="B385" s="66" t="str">
        <x:v>MKT_1006</x:v>
      </x:c>
      <x:c r="C385" s="66" t="n">
        <x:v>46167.524305555555</x:v>
      </x:c>
      <x:c r="D385" t="n">
        <x:v>255</x:v>
      </x:c>
      <x:c r="E385" t="str">
        <x:v>NO</x:v>
      </x:c>
      <x:c r="F385" s="74" t="n">
        <x:v>0.83</x:v>
      </x:c>
      <x:c r="G385" s="74" t="n">
        <x:v>0.83</x:v>
      </x:c>
      <x:c r="H385" s="74" t="n">
        <x:v>0.82</x:v>
      </x:c>
      <x:c r="I385" s="74" t="n">
        <x:f>IF(E385="YES",H385,1-H385)</x:f>
        <x:v>0.18000000000000005</x:v>
      </x:c>
      <x:c r="J385" s="76" t="n">
        <x:f>Assumptions!$C$12+Assumptions!$C$11*F385</x:f>
        <x:v>0.003</x:v>
      </x:c>
      <x:c r="K385" s="76" t="n">
        <x:f>I385-F385-J385</x:f>
        <x:v>-0.6529999999999999</x:v>
      </x:c>
      <x:c r="L385" s="74" t="n">
        <x:f>MAX(0,IFERROR(K385/(1-F385),0))</x:f>
        <x:v>0</x:v>
      </x:c>
      <x:c r="M385" s="74" t="n">
        <x:f>MIN(Assumptions!$C$8*L385,Assumptions!$C$5)</x:f>
        <x:v>0</x:v>
      </x:c>
      <x:c r="N385" s="78" t="n">
        <x:f>IF(ROW()=16,Assumptions!$C$4,V384)</x:f>
        <x:v>9853.758808640107</x:v>
      </x:c>
      <x:c r="O385" s="78" t="n">
        <x:f>IF(AND(K385&gt;IF(F385&gt;=Assumptions!$C$21,Assumptions!$C$10,Assumptions!$C$9),D385&gt;Assumptions!$C$23),N385*M385,0)</x:f>
        <x:v>0</x:v>
      </x:c>
      <x:c r="P385" s="78" t="n">
        <x:f>IFERROR(O385/F385,0)</x:f>
        <x:v>0</x:v>
      </x:c>
      <x:c r="Q385" s="78" t="n">
        <x:v>1</x:v>
      </x:c>
      <x:c r="R385" s="78" t="str">
        <x:v>Resolve</x:v>
      </x:c>
      <x:c r="S385" s="78" t="n">
        <x:f>IF(R385="Resolve",IF(IF(E385="YES",Q385,1-Q385)=1,P385*(1-F385),-O385),P385*(G385-F385))</x:f>
        <x:v>0</x:v>
      </x:c>
      <x:c r="T385" s="78" t="n">
        <x:f>P385*J385</x:f>
        <x:v>0</x:v>
      </x:c>
      <x:c r="U385" s="78" t="n">
        <x:f>S385-T385</x:f>
        <x:v>0</x:v>
      </x:c>
      <x:c r="V385" s="78" t="n">
        <x:f>N385+U385</x:f>
        <x:v>9853.758808640107</x:v>
      </x:c>
      <x:c r="W385" s="74" t="n">
        <x:f>IFERROR(V385/MAX($V$16:V385)-1,0)</x:f>
        <x:v>-0.024943393973497097</x:v>
      </x:c>
      <x:c r="X385" t="str">
        <x:f>IF(O385&gt;0,"TRADE","NO_TRADE")</x:f>
        <x:v>NO_TRADE</x:v>
      </x:c>
    </x:row>
    <x:row r="386">
      <x:c r="A386" s="66" t="n">
        <x:v>46167.52141203704</x:v>
      </x:c>
      <x:c r="B386" s="66" t="str">
        <x:v>MKT_1006</x:v>
      </x:c>
      <x:c r="C386" s="66" t="n">
        <x:v>46167.524305555555</x:v>
      </x:c>
      <x:c r="D386" t="n">
        <x:v>250</x:v>
      </x:c>
      <x:c r="E386" t="str">
        <x:v>YES</x:v>
      </x:c>
      <x:c r="F386" s="74" t="n">
        <x:v>0.52</x:v>
      </x:c>
      <x:c r="G386" s="74" t="n">
        <x:v>0.52</x:v>
      </x:c>
      <x:c r="H386" s="74" t="n">
        <x:v>0.535</x:v>
      </x:c>
      <x:c r="I386" s="74" t="n">
        <x:f>IF(E386="YES",H386,1-H386)</x:f>
        <x:v>0.535</x:v>
      </x:c>
      <x:c r="J386" s="76" t="n">
        <x:f>Assumptions!$C$12+Assumptions!$C$11*F386</x:f>
        <x:v>0.003</x:v>
      </x:c>
      <x:c r="K386" s="76" t="n">
        <x:f>I386-F386-J386</x:f>
        <x:v>0.012000000000000014</x:v>
      </x:c>
      <x:c r="L386" s="74" t="n">
        <x:f>MAX(0,IFERROR(K386/(1-F386),0))</x:f>
        <x:v>0.02500000000000003</x:v>
      </x:c>
      <x:c r="M386" s="74" t="n">
        <x:f>MIN(Assumptions!$C$8*L386,Assumptions!$C$5)</x:f>
        <x:v>0.005</x:v>
      </x:c>
      <x:c r="N386" s="78" t="n">
        <x:f>IF(ROW()=16,Assumptions!$C$4,V385)</x:f>
        <x:v>9853.758808640107</x:v>
      </x:c>
      <x:c r="O386" s="78" t="n">
        <x:f>IF(AND(K386&gt;IF(F386&gt;=Assumptions!$C$21,Assumptions!$C$10,Assumptions!$C$9),D386&gt;Assumptions!$C$23),N386*M386,0)</x:f>
        <x:v>49.268794043200536</x:v>
      </x:c>
      <x:c r="P386" s="78" t="n">
        <x:f>IFERROR(O386/F386,0)</x:f>
        <x:v>94.74768085230872</x:v>
      </x:c>
      <x:c r="Q386" s="78" t="n">
        <x:v>1</x:v>
      </x:c>
      <x:c r="R386" s="78" t="str">
        <x:v>Resolve</x:v>
      </x:c>
      <x:c r="S386" s="78" t="n">
        <x:f>IF(R386="Resolve",IF(IF(E386="YES",Q386,1-Q386)=1,P386*(1-F386),-O386),P386*(G386-F386))</x:f>
        <x:v>45.47888680910818</x:v>
      </x:c>
      <x:c r="T386" s="78" t="n">
        <x:f>P386*J386</x:f>
        <x:v>0.2842430425569262</x:v>
      </x:c>
      <x:c r="U386" s="78" t="n">
        <x:f>S386-T386</x:f>
        <x:v>45.19464376655126</x:v>
      </x:c>
      <x:c r="V386" s="78" t="n">
        <x:f>N386+U386</x:f>
        <x:v>9898.953452406658</x:v>
      </x:c>
      <x:c r="W386" s="74" t="n">
        <x:f>IFERROR(V386/MAX($V$16:V386)-1,0)</x:f>
        <x:v>-0.02047125934777938</x:v>
      </x:c>
      <x:c r="X386" t="str">
        <x:f>IF(O386&gt;0,"TRADE","NO_TRADE")</x:f>
        <x:v>TRADE</x:v>
      </x:c>
    </x:row>
    <x:row r="387">
      <x:c r="A387" s="66" t="n">
        <x:v>46167.521469907406</x:v>
      </x:c>
      <x:c r="B387" s="66" t="str">
        <x:v>MKT_1006</x:v>
      </x:c>
      <x:c r="C387" s="66" t="n">
        <x:v>46167.524305555555</x:v>
      </x:c>
      <x:c r="D387" t="n">
        <x:v>245</x:v>
      </x:c>
      <x:c r="E387" t="str">
        <x:v>YES</x:v>
      </x:c>
      <x:c r="F387" s="74" t="n">
        <x:v>0.61</x:v>
      </x:c>
      <x:c r="G387" s="74" t="n">
        <x:v>0.61</x:v>
      </x:c>
      <x:c r="H387" s="74" t="n">
        <x:v>0.63</x:v>
      </x:c>
      <x:c r="I387" s="74" t="n">
        <x:f>IF(E387="YES",H387,1-H387)</x:f>
        <x:v>0.63</x:v>
      </x:c>
      <x:c r="J387" s="76" t="n">
        <x:f>Assumptions!$C$12+Assumptions!$C$11*F387</x:f>
        <x:v>0.003</x:v>
      </x:c>
      <x:c r="K387" s="76" t="n">
        <x:f>I387-F387-J387</x:f>
        <x:v>0.01700000000000002</x:v>
      </x:c>
      <x:c r="L387" s="74" t="n">
        <x:f>MAX(0,IFERROR(K387/(1-F387),0))</x:f>
        <x:v>0.043589743589743636</x:v>
      </x:c>
      <x:c r="M387" s="74" t="n">
        <x:f>MIN(Assumptions!$C$8*L387,Assumptions!$C$5)</x:f>
        <x:v>0.005</x:v>
      </x:c>
      <x:c r="N387" s="78" t="n">
        <x:f>IF(ROW()=16,Assumptions!$C$4,V386)</x:f>
        <x:v>9898.953452406658</x:v>
      </x:c>
      <x:c r="O387" s="78" t="n">
        <x:f>IF(AND(K387&gt;IF(F387&gt;=Assumptions!$C$21,Assumptions!$C$10,Assumptions!$C$9),D387&gt;Assumptions!$C$23),N387*M387,0)</x:f>
        <x:v>49.49476726203329</x:v>
      </x:c>
      <x:c r="P387" s="78" t="n">
        <x:f>IFERROR(O387/F387,0)</x:f>
        <x:v>81.13896272464474</x:v>
      </x:c>
      <x:c r="Q387" s="78" t="n">
        <x:v>0</x:v>
      </x:c>
      <x:c r="R387" s="78" t="str">
        <x:v>Resolve</x:v>
      </x:c>
      <x:c r="S387" s="78" t="n">
        <x:f>IF(R387="Resolve",IF(IF(E387="YES",Q387,1-Q387)=1,P387*(1-F387),-O387),P387*(G387-F387))</x:f>
        <x:v>-49.49476726203329</x:v>
      </x:c>
      <x:c r="T387" s="78" t="n">
        <x:f>P387*J387</x:f>
        <x:v>0.24341688817393423</x:v>
      </x:c>
      <x:c r="U387" s="78" t="n">
        <x:f>S387-T387</x:f>
        <x:v>-49.738184150207225</x:v>
      </x:c>
      <x:c r="V387" s="78" t="n">
        <x:f>N387+U387</x:f>
        <x:v>9849.215268256452</x:v>
      </x:c>
      <x:c r="W387" s="74" t="n">
        <x:f>IFERROR(V387/MAX($V$16:V387)-1,0)</x:f>
        <x:v>-0.025392989823351475</x:v>
      </x:c>
      <x:c r="X387" t="str">
        <x:f>IF(O387&gt;0,"TRADE","NO_TRADE")</x:f>
        <x:v>TRADE</x:v>
      </x:c>
    </x:row>
    <x:row r="388">
      <x:c r="A388" s="66" t="n">
        <x:v>46167.521527777775</x:v>
      </x:c>
      <x:c r="B388" s="66" t="str">
        <x:v>MKT_1006</x:v>
      </x:c>
      <x:c r="C388" s="66" t="n">
        <x:v>46167.524305555555</x:v>
      </x:c>
      <x:c r="D388" t="n">
        <x:v>240</x:v>
      </x:c>
      <x:c r="E388" t="str">
        <x:v>NO</x:v>
      </x:c>
      <x:c r="F388" s="74" t="n">
        <x:v>0.74</x:v>
      </x:c>
      <x:c r="G388" s="74" t="n">
        <x:v>0.74</x:v>
      </x:c>
      <x:c r="H388" s="74" t="n">
        <x:v>0.735</x:v>
      </x:c>
      <x:c r="I388" s="74" t="n">
        <x:f>IF(E388="YES",H388,1-H388)</x:f>
        <x:v>0.265</x:v>
      </x:c>
      <x:c r="J388" s="76" t="n">
        <x:f>Assumptions!$C$12+Assumptions!$C$11*F388</x:f>
        <x:v>0.003</x:v>
      </x:c>
      <x:c r="K388" s="76" t="n">
        <x:f>I388-F388-J388</x:f>
        <x:v>-0.478</x:v>
      </x:c>
      <x:c r="L388" s="74" t="n">
        <x:f>MAX(0,IFERROR(K388/(1-F388),0))</x:f>
        <x:v>0</x:v>
      </x:c>
      <x:c r="M388" s="74" t="n">
        <x:f>MIN(Assumptions!$C$8*L388,Assumptions!$C$5)</x:f>
        <x:v>0</x:v>
      </x:c>
      <x:c r="N388" s="78" t="n">
        <x:f>IF(ROW()=16,Assumptions!$C$4,V387)</x:f>
        <x:v>9849.215268256452</x:v>
      </x:c>
      <x:c r="O388" s="78" t="n">
        <x:f>IF(AND(K388&gt;IF(F388&gt;=Assumptions!$C$21,Assumptions!$C$10,Assumptions!$C$9),D388&gt;Assumptions!$C$23),N388*M388,0)</x:f>
        <x:v>0</x:v>
      </x:c>
      <x:c r="P388" s="78" t="n">
        <x:f>IFERROR(O388/F388,0)</x:f>
        <x:v>0</x:v>
      </x:c>
      <x:c r="Q388" s="78" t="n">
        <x:v>1</x:v>
      </x:c>
      <x:c r="R388" s="78" t="str">
        <x:v>Resolve</x:v>
      </x:c>
      <x:c r="S388" s="78" t="n">
        <x:f>IF(R388="Resolve",IF(IF(E388="YES",Q388,1-Q388)=1,P388*(1-F388),-O388),P388*(G388-F388))</x:f>
        <x:v>0</x:v>
      </x:c>
      <x:c r="T388" s="78" t="n">
        <x:f>P388*J388</x:f>
        <x:v>0</x:v>
      </x:c>
      <x:c r="U388" s="78" t="n">
        <x:f>S388-T388</x:f>
        <x:v>0</x:v>
      </x:c>
      <x:c r="V388" s="78" t="n">
        <x:f>N388+U388</x:f>
        <x:v>9849.215268256452</x:v>
      </x:c>
      <x:c r="W388" s="74" t="n">
        <x:f>IFERROR(V388/MAX($V$16:V388)-1,0)</x:f>
        <x:v>-0.025392989823351475</x:v>
      </x:c>
      <x:c r="X388" t="str">
        <x:f>IF(O388&gt;0,"TRADE","NO_TRADE")</x:f>
        <x:v>NO_TRADE</x:v>
      </x:c>
    </x:row>
    <x:row r="389">
      <x:c r="A389" s="66" t="n">
        <x:v>46167.521585648145</x:v>
      </x:c>
      <x:c r="B389" s="66" t="str">
        <x:v>MKT_1006</x:v>
      </x:c>
      <x:c r="C389" s="66" t="n">
        <x:v>46167.524305555555</x:v>
      </x:c>
      <x:c r="D389" t="n">
        <x:v>235</x:v>
      </x:c>
      <x:c r="E389" t="str">
        <x:v>YES</x:v>
      </x:c>
      <x:c r="F389" s="74" t="n">
        <x:v>0.88</x:v>
      </x:c>
      <x:c r="G389" s="74" t="n">
        <x:v>0.88</x:v>
      </x:c>
      <x:c r="H389" s="74" t="n">
        <x:v>0.91</x:v>
      </x:c>
      <x:c r="I389" s="74" t="n">
        <x:f>IF(E389="YES",H389,1-H389)</x:f>
        <x:v>0.91</x:v>
      </x:c>
      <x:c r="J389" s="76" t="n">
        <x:f>Assumptions!$C$12+Assumptions!$C$11*F389</x:f>
        <x:v>0.003</x:v>
      </x:c>
      <x:c r="K389" s="76" t="n">
        <x:f>I389-F389-J389</x:f>
        <x:v>0.027000000000000027</x:v>
      </x:c>
      <x:c r="L389" s="74" t="n">
        <x:f>MAX(0,IFERROR(K389/(1-F389),0))</x:f>
        <x:v>0.22500000000000023</x:v>
      </x:c>
      <x:c r="M389" s="74" t="n">
        <x:f>MIN(Assumptions!$C$8*L389,Assumptions!$C$5)</x:f>
        <x:v>0.005</x:v>
      </x:c>
      <x:c r="N389" s="78" t="n">
        <x:f>IF(ROW()=16,Assumptions!$C$4,V388)</x:f>
        <x:v>9849.215268256452</x:v>
      </x:c>
      <x:c r="O389" s="78" t="n">
        <x:f>IF(AND(K389&gt;IF(F389&gt;=Assumptions!$C$21,Assumptions!$C$10,Assumptions!$C$9),D389&gt;Assumptions!$C$23),N389*M389,0)</x:f>
        <x:v>49.24607634128226</x:v>
      </x:c>
      <x:c r="P389" s="78" t="n">
        <x:f>IFERROR(O389/F389,0)</x:f>
        <x:v>55.961450387820754</x:v>
      </x:c>
      <x:c r="Q389" s="78" t="n">
        <x:v>1</x:v>
      </x:c>
      <x:c r="R389" s="78" t="str">
        <x:v>Resolve</x:v>
      </x:c>
      <x:c r="S389" s="78" t="n">
        <x:f>IF(R389="Resolve",IF(IF(E389="YES",Q389,1-Q389)=1,P389*(1-F389),-O389),P389*(G389-F389))</x:f>
        <x:v>6.71537404653849</x:v>
      </x:c>
      <x:c r="T389" s="78" t="n">
        <x:f>P389*J389</x:f>
        <x:v>0.16788435116346226</x:v>
      </x:c>
      <x:c r="U389" s="78" t="n">
        <x:f>S389-T389</x:f>
        <x:v>6.5474896953750275</x:v>
      </x:c>
      <x:c r="V389" s="78" t="n">
        <x:f>N389+U389</x:f>
        <x:v>9855.762757951827</x:v>
      </x:c>
      <x:c r="W389" s="74" t="n">
        <x:f>IFERROR(V389/MAX($V$16:V389)-1,0)</x:f>
        <x:v>-0.02474509766317723</x:v>
      </x:c>
      <x:c r="X389" t="str">
        <x:f>IF(O389&gt;0,"TRADE","NO_TRADE")</x:f>
        <x:v>TRADE</x:v>
      </x:c>
    </x:row>
    <x:row r="390">
      <x:c r="A390" s="66" t="n">
        <x:v>46167.52164351852</x:v>
      </x:c>
      <x:c r="B390" s="66" t="str">
        <x:v>MKT_1006</x:v>
      </x:c>
      <x:c r="C390" s="66" t="n">
        <x:v>46167.524305555555</x:v>
      </x:c>
      <x:c r="D390" t="n">
        <x:v>230</x:v>
      </x:c>
      <x:c r="E390" t="str">
        <x:v>YES</x:v>
      </x:c>
      <x:c r="F390" s="74" t="n">
        <x:v>0.94</x:v>
      </x:c>
      <x:c r="G390" s="74" t="n">
        <x:v>0.94</x:v>
      </x:c>
      <x:c r="H390" s="74" t="n">
        <x:v>0.98</x:v>
      </x:c>
      <x:c r="I390" s="74" t="n">
        <x:f>IF(E390="YES",H390,1-H390)</x:f>
        <x:v>0.98</x:v>
      </x:c>
      <x:c r="J390" s="76" t="n">
        <x:f>Assumptions!$C$12+Assumptions!$C$11*F390</x:f>
        <x:v>0.003</x:v>
      </x:c>
      <x:c r="K390" s="76" t="n">
        <x:f>I390-F390-J390</x:f>
        <x:v>0.03700000000000003</x:v>
      </x:c>
      <x:c r="L390" s="74" t="n">
        <x:f>MAX(0,IFERROR(K390/(1-F390),0))</x:f>
        <x:v>0.6166666666666667</x:v>
      </x:c>
      <x:c r="M390" s="74" t="n">
        <x:f>MIN(Assumptions!$C$8*L390,Assumptions!$C$5)</x:f>
        <x:v>0.005</x:v>
      </x:c>
      <x:c r="N390" s="78" t="n">
        <x:f>IF(ROW()=16,Assumptions!$C$4,V389)</x:f>
        <x:v>9855.762757951827</x:v>
      </x:c>
      <x:c r="O390" s="78" t="n">
        <x:f>IF(AND(K390&gt;IF(F390&gt;=Assumptions!$C$21,Assumptions!$C$10,Assumptions!$C$9),D390&gt;Assumptions!$C$23),N390*M390,0)</x:f>
        <x:v>49.278813789759134</x:v>
      </x:c>
      <x:c r="P390" s="78" t="n">
        <x:f>IFERROR(O390/F390,0)</x:f>
        <x:v>52.42426998910546</x:v>
      </x:c>
      <x:c r="Q390" s="78" t="n">
        <x:v>0</x:v>
      </x:c>
      <x:c r="R390" s="78" t="str">
        <x:v>Resolve</x:v>
      </x:c>
      <x:c r="S390" s="78" t="n">
        <x:f>IF(R390="Resolve",IF(IF(E390="YES",Q390,1-Q390)=1,P390*(1-F390),-O390),P390*(G390-F390))</x:f>
        <x:v>-49.278813789759134</x:v>
      </x:c>
      <x:c r="T390" s="78" t="n">
        <x:f>P390*J390</x:f>
        <x:v>0.15727280996731638</x:v>
      </x:c>
      <x:c r="U390" s="78" t="n">
        <x:f>S390-T390</x:f>
        <x:v>-49.43608659972645</x:v>
      </x:c>
      <x:c r="V390" s="78" t="n">
        <x:f>N390+U390</x:f>
        <x:v>9806.3266713521</x:v>
      </x:c>
      <x:c r="W390" s="74" t="n">
        <x:f>IFERROR(V390/MAX($V$16:V390)-1,0)</x:f>
        <x:v>-0.02963693475309015</x:v>
      </x:c>
      <x:c r="X390" t="str">
        <x:f>IF(O390&gt;0,"TRADE","NO_TRADE")</x:f>
        <x:v>TRADE</x:v>
      </x:c>
    </x:row>
    <x:row r="391">
      <x:c r="A391" s="66" t="n">
        <x:v>46167.52170138889</x:v>
      </x:c>
      <x:c r="B391" s="66" t="str">
        <x:v>MKT_1006</x:v>
      </x:c>
      <x:c r="C391" s="66" t="n">
        <x:v>46167.524305555555</x:v>
      </x:c>
      <x:c r="D391" t="n">
        <x:v>225</x:v>
      </x:c>
      <x:c r="E391" t="str">
        <x:v>NO</x:v>
      </x:c>
      <x:c r="F391" s="74" t="n">
        <x:v>0.95</x:v>
      </x:c>
      <x:c r="G391" s="74" t="n">
        <x:v>0.95</x:v>
      </x:c>
      <x:c r="H391" s="74" t="n">
        <x:v>0.968</x:v>
      </x:c>
      <x:c r="I391" s="74" t="n">
        <x:f>IF(E391="YES",H391,1-H391)</x:f>
        <x:v>0.03200000000000003</x:v>
      </x:c>
      <x:c r="J391" s="76" t="n">
        <x:f>Assumptions!$C$12+Assumptions!$C$11*F391</x:f>
        <x:v>0.003</x:v>
      </x:c>
      <x:c r="K391" s="76" t="n">
        <x:f>I391-F391-J391</x:f>
        <x:v>-0.9209999999999999</x:v>
      </x:c>
      <x:c r="L391" s="74" t="n">
        <x:f>MAX(0,IFERROR(K391/(1-F391),0))</x:f>
        <x:v>0</x:v>
      </x:c>
      <x:c r="M391" s="74" t="n">
        <x:f>MIN(Assumptions!$C$8*L391,Assumptions!$C$5)</x:f>
        <x:v>0</x:v>
      </x:c>
      <x:c r="N391" s="78" t="n">
        <x:f>IF(ROW()=16,Assumptions!$C$4,V390)</x:f>
        <x:v>9806.3266713521</x:v>
      </x:c>
      <x:c r="O391" s="78" t="n">
        <x:f>IF(AND(K391&gt;IF(F391&gt;=Assumptions!$C$21,Assumptions!$C$10,Assumptions!$C$9),D391&gt;Assumptions!$C$23),N391*M391,0)</x:f>
        <x:v>0</x:v>
      </x:c>
      <x:c r="P391" s="78" t="n">
        <x:f>IFERROR(O391/F391,0)</x:f>
        <x:v>0</x:v>
      </x:c>
      <x:c r="Q391" s="78" t="n">
        <x:v>1</x:v>
      </x:c>
      <x:c r="R391" s="78" t="str">
        <x:v>Resolve</x:v>
      </x:c>
      <x:c r="S391" s="78" t="n">
        <x:f>IF(R391="Resolve",IF(IF(E391="YES",Q391,1-Q391)=1,P391*(1-F391),-O391),P391*(G391-F391))</x:f>
        <x:v>0</x:v>
      </x:c>
      <x:c r="T391" s="78" t="n">
        <x:f>P391*J391</x:f>
        <x:v>0</x:v>
      </x:c>
      <x:c r="U391" s="78" t="n">
        <x:f>S391-T391</x:f>
        <x:v>0</x:v>
      </x:c>
      <x:c r="V391" s="78" t="n">
        <x:f>N391+U391</x:f>
        <x:v>9806.3266713521</x:v>
      </x:c>
      <x:c r="W391" s="74" t="n">
        <x:f>IFERROR(V391/MAX($V$16:V391)-1,0)</x:f>
        <x:v>-0.02963693475309015</x:v>
      </x:c>
      <x:c r="X391" t="str">
        <x:f>IF(O391&gt;0,"TRADE","NO_TRADE")</x:f>
        <x:v>NO_TRADE</x:v>
      </x:c>
    </x:row>
    <x:row r="392">
      <x:c r="A392" s="66" t="n">
        <x:v>46167.52175925926</x:v>
      </x:c>
      <x:c r="B392" s="66" t="str">
        <x:v>MKT_1006</x:v>
      </x:c>
      <x:c r="C392" s="66" t="n">
        <x:v>46167.524305555555</x:v>
      </x:c>
      <x:c r="D392" t="n">
        <x:v>220</x:v>
      </x:c>
      <x:c r="E392" t="str">
        <x:v>YES</x:v>
      </x:c>
      <x:c r="F392" s="74" t="n">
        <x:v>0.57</x:v>
      </x:c>
      <x:c r="G392" s="74" t="n">
        <x:v>0.57</x:v>
      </x:c>
      <x:c r="H392" s="74" t="n">
        <x:v>0.582</x:v>
      </x:c>
      <x:c r="I392" s="74" t="n">
        <x:f>IF(E392="YES",H392,1-H392)</x:f>
        <x:v>0.582</x:v>
      </x:c>
      <x:c r="J392" s="76" t="n">
        <x:f>Assumptions!$C$12+Assumptions!$C$11*F392</x:f>
        <x:v>0.003</x:v>
      </x:c>
      <x:c r="K392" s="76" t="n">
        <x:f>I392-F392-J392</x:f>
        <x:v>0.009000000000000011</x:v>
      </x:c>
      <x:c r="L392" s="74" t="n">
        <x:f>MAX(0,IFERROR(K392/(1-F392),0))</x:f>
        <x:v>0.02093023255813956</x:v>
      </x:c>
      <x:c r="M392" s="74" t="n">
        <x:f>MIN(Assumptions!$C$8*L392,Assumptions!$C$5)</x:f>
        <x:v>0.005</x:v>
      </x:c>
      <x:c r="N392" s="78" t="n">
        <x:f>IF(ROW()=16,Assumptions!$C$4,V391)</x:f>
        <x:v>9806.3266713521</x:v>
      </x:c>
      <x:c r="O392" s="78" t="n">
        <x:f>IF(AND(K392&gt;IF(F392&gt;=Assumptions!$C$21,Assumptions!$C$10,Assumptions!$C$9),D392&gt;Assumptions!$C$23),N392*M392,0)</x:f>
        <x:v>49.0316333567605</x:v>
      </x:c>
      <x:c r="P392" s="78" t="n">
        <x:f>IFERROR(O392/F392,0)</x:f>
        <x:v>86.02040939782545</x:v>
      </x:c>
      <x:c r="Q392" s="78" t="n">
        <x:v>1</x:v>
      </x:c>
      <x:c r="R392" s="78" t="str">
        <x:v>Resolve</x:v>
      </x:c>
      <x:c r="S392" s="78" t="n">
        <x:f>IF(R392="Resolve",IF(IF(E392="YES",Q392,1-Q392)=1,P392*(1-F392),-O392),P392*(G392-F392))</x:f>
        <x:v>36.988776041064945</x:v>
      </x:c>
      <x:c r="T392" s="78" t="n">
        <x:f>P392*J392</x:f>
        <x:v>0.2580612281934763</x:v>
      </x:c>
      <x:c r="U392" s="78" t="n">
        <x:f>S392-T392</x:f>
        <x:v>36.73071481287147</x:v>
      </x:c>
      <x:c r="V392" s="78" t="n">
        <x:f>N392+U392</x:f>
        <x:v>9843.057386164972</x:v>
      </x:c>
      <x:c r="W392" s="74" t="n">
        <x:f>IFERROR(V392/MAX($V$16:V392)-1,0)</x:f>
        <x:v>-0.026002329236770594</x:v>
      </x:c>
      <x:c r="X392" t="str">
        <x:f>IF(O392&gt;0,"TRADE","NO_TRADE")</x:f>
        <x:v>TRADE</x:v>
      </x:c>
    </x:row>
    <x:row r="393">
      <x:c r="A393" s="66" t="n">
        <x:v>46167.52181712963</x:v>
      </x:c>
      <x:c r="B393" s="66" t="str">
        <x:v>MKT_1006</x:v>
      </x:c>
      <x:c r="C393" s="66" t="n">
        <x:v>46167.524305555555</x:v>
      </x:c>
      <x:c r="D393" t="n">
        <x:v>215</x:v>
      </x:c>
      <x:c r="E393" t="str">
        <x:v>YES</x:v>
      </x:c>
      <x:c r="F393" s="74" t="n">
        <x:v>0.68</x:v>
      </x:c>
      <x:c r="G393" s="74" t="n">
        <x:v>0.68</x:v>
      </x:c>
      <x:c r="H393" s="74" t="n">
        <x:v>0.7050000000000001</x:v>
      </x:c>
      <x:c r="I393" s="74" t="n">
        <x:f>IF(E393="YES",H393,1-H393)</x:f>
        <x:v>0.7050000000000001</x:v>
      </x:c>
      <x:c r="J393" s="76" t="n">
        <x:f>Assumptions!$C$12+Assumptions!$C$11*F393</x:f>
        <x:v>0.003</x:v>
      </x:c>
      <x:c r="K393" s="76" t="n">
        <x:f>I393-F393-J393</x:f>
        <x:v>0.022000000000000023</x:v>
      </x:c>
      <x:c r="L393" s="74" t="n">
        <x:f>MAX(0,IFERROR(K393/(1-F393),0))</x:f>
        <x:v>0.06875000000000009</x:v>
      </x:c>
      <x:c r="M393" s="74" t="n">
        <x:f>MIN(Assumptions!$C$8*L393,Assumptions!$C$5)</x:f>
        <x:v>0.005</x:v>
      </x:c>
      <x:c r="N393" s="78" t="n">
        <x:f>IF(ROW()=16,Assumptions!$C$4,V392)</x:f>
        <x:v>9843.057386164972</x:v>
      </x:c>
      <x:c r="O393" s="78" t="n">
        <x:f>IF(AND(K393&gt;IF(F393&gt;=Assumptions!$C$21,Assumptions!$C$10,Assumptions!$C$9),D393&gt;Assumptions!$C$23),N393*M393,0)</x:f>
        <x:v>49.21528693082486</x:v>
      </x:c>
      <x:c r="P393" s="78" t="n">
        <x:f>IFERROR(O393/F393,0)</x:f>
        <x:v>72.37542195709538</x:v>
      </x:c>
      <x:c r="Q393" s="78" t="n">
        <x:v>1</x:v>
      </x:c>
      <x:c r="R393" s="78" t="str">
        <x:v>Resolve</x:v>
      </x:c>
      <x:c r="S393" s="78" t="n">
        <x:f>IF(R393="Resolve",IF(IF(E393="YES",Q393,1-Q393)=1,P393*(1-F393),-O393),P393*(G393-F393))</x:f>
        <x:v>23.16013502627052</x:v>
      </x:c>
      <x:c r="T393" s="78" t="n">
        <x:f>P393*J393</x:f>
        <x:v>0.21712626587128617</x:v>
      </x:c>
      <x:c r="U393" s="78" t="n">
        <x:f>S393-T393</x:f>
        <x:v>22.943008760399234</x:v>
      </x:c>
      <x:c r="V393" s="78" t="n">
        <x:f>N393+U393</x:f>
        <x:v>9866.000394925371</x:v>
      </x:c>
      <x:c r="W393" s="74" t="n">
        <x:f>IFERROR(V393/MAX($V$16:V393)-1,0)</x:f>
        <x:v>-0.02373205525418276</x:v>
      </x:c>
      <x:c r="X393" t="str">
        <x:f>IF(O393&gt;0,"TRADE","NO_TRADE")</x:f>
        <x:v>TRADE</x:v>
      </x:c>
    </x:row>
    <x:row r="394">
      <x:c r="A394" s="66" t="n">
        <x:v>46167.521875</x:v>
      </x:c>
      <x:c r="B394" s="66" t="str">
        <x:v>MKT_1006</x:v>
      </x:c>
      <x:c r="C394" s="66" t="n">
        <x:v>46167.524305555555</x:v>
      </x:c>
      <x:c r="D394" t="n">
        <x:v>210</x:v>
      </x:c>
      <x:c r="E394" t="str">
        <x:v>NO</x:v>
      </x:c>
      <x:c r="F394" s="74" t="n">
        <x:v>0.91</x:v>
      </x:c>
      <x:c r="G394" s="74" t="n">
        <x:v>0.91</x:v>
      </x:c>
      <x:c r="H394" s="74" t="n">
        <x:v>0.9450000000000001</x:v>
      </x:c>
      <x:c r="I394" s="74" t="n">
        <x:f>IF(E394="YES",H394,1-H394)</x:f>
        <x:v>0.05499999999999994</x:v>
      </x:c>
      <x:c r="J394" s="76" t="n">
        <x:f>Assumptions!$C$12+Assumptions!$C$11*F394</x:f>
        <x:v>0.003</x:v>
      </x:c>
      <x:c r="K394" s="76" t="n">
        <x:f>I394-F394-J394</x:f>
        <x:v>-0.8580000000000001</x:v>
      </x:c>
      <x:c r="L394" s="74" t="n">
        <x:f>MAX(0,IFERROR(K394/(1-F394),0))</x:f>
        <x:v>0</x:v>
      </x:c>
      <x:c r="M394" s="74" t="n">
        <x:f>MIN(Assumptions!$C$8*L394,Assumptions!$C$5)</x:f>
        <x:v>0</x:v>
      </x:c>
      <x:c r="N394" s="78" t="n">
        <x:f>IF(ROW()=16,Assumptions!$C$4,V393)</x:f>
        <x:v>9866.000394925371</x:v>
      </x:c>
      <x:c r="O394" s="78" t="n">
        <x:f>IF(AND(K394&gt;IF(F394&gt;=Assumptions!$C$21,Assumptions!$C$10,Assumptions!$C$9),D394&gt;Assumptions!$C$23),N394*M394,0)</x:f>
        <x:v>0</x:v>
      </x:c>
      <x:c r="P394" s="78" t="n">
        <x:f>IFERROR(O394/F394,0)</x:f>
        <x:v>0</x:v>
      </x:c>
      <x:c r="Q394" s="78" t="n">
        <x:v>0</x:v>
      </x:c>
      <x:c r="R394" s="78" t="str">
        <x:v>Resolve</x:v>
      </x:c>
      <x:c r="S394" s="78" t="n">
        <x:f>IF(R394="Resolve",IF(IF(E394="YES",Q394,1-Q394)=1,P394*(1-F394),-O394),P394*(G394-F394))</x:f>
        <x:v>0</x:v>
      </x:c>
      <x:c r="T394" s="78" t="n">
        <x:f>P394*J394</x:f>
        <x:v>0</x:v>
      </x:c>
      <x:c r="U394" s="78" t="n">
        <x:f>S394-T394</x:f>
        <x:v>0</x:v>
      </x:c>
      <x:c r="V394" s="78" t="n">
        <x:f>N394+U394</x:f>
        <x:v>9866.000394925371</x:v>
      </x:c>
      <x:c r="W394" s="74" t="n">
        <x:f>IFERROR(V394/MAX($V$16:V394)-1,0)</x:f>
        <x:v>-0.02373205525418276</x:v>
      </x:c>
      <x:c r="X394" t="str">
        <x:f>IF(O394&gt;0,"TRADE","NO_TRADE")</x:f>
        <x:v>NO_TRADE</x:v>
      </x:c>
    </x:row>
    <x:row r="395">
      <x:c r="A395" s="66" t="n">
        <x:v>46167.52193287037</x:v>
      </x:c>
      <x:c r="B395" s="66" t="str">
        <x:v>MKT_1006</x:v>
      </x:c>
      <x:c r="C395" s="66" t="n">
        <x:v>46167.524305555555</x:v>
      </x:c>
      <x:c r="D395" t="n">
        <x:v>205</x:v>
      </x:c>
      <x:c r="E395" t="str">
        <x:v>YES</x:v>
      </x:c>
      <x:c r="F395" s="74" t="n">
        <x:v>0.83</x:v>
      </x:c>
      <x:c r="G395" s="74" t="n">
        <x:v>0.83</x:v>
      </x:c>
      <x:c r="H395" s="74" t="n">
        <x:v>0.82</x:v>
      </x:c>
      <x:c r="I395" s="74" t="n">
        <x:f>IF(E395="YES",H395,1-H395)</x:f>
        <x:v>0.82</x:v>
      </x:c>
      <x:c r="J395" s="76" t="n">
        <x:f>Assumptions!$C$12+Assumptions!$C$11*F395</x:f>
        <x:v>0.003</x:v>
      </x:c>
      <x:c r="K395" s="76" t="n">
        <x:f>I395-F395-J395</x:f>
        <x:v>-0.013000000000000008</x:v>
      </x:c>
      <x:c r="L395" s="74" t="n">
        <x:f>MAX(0,IFERROR(K395/(1-F395),0))</x:f>
        <x:v>0</x:v>
      </x:c>
      <x:c r="M395" s="74" t="n">
        <x:f>MIN(Assumptions!$C$8*L395,Assumptions!$C$5)</x:f>
        <x:v>0</x:v>
      </x:c>
      <x:c r="N395" s="78" t="n">
        <x:f>IF(ROW()=16,Assumptions!$C$4,V394)</x:f>
        <x:v>9866.000394925371</x:v>
      </x:c>
      <x:c r="O395" s="78" t="n">
        <x:f>IF(AND(K395&gt;IF(F395&gt;=Assumptions!$C$21,Assumptions!$C$10,Assumptions!$C$9),D395&gt;Assumptions!$C$23),N395*M395,0)</x:f>
        <x:v>0</x:v>
      </x:c>
      <x:c r="P395" s="78" t="n">
        <x:f>IFERROR(O395/F395,0)</x:f>
        <x:v>0</x:v>
      </x:c>
      <x:c r="Q395" s="78" t="n">
        <x:v>1</x:v>
      </x:c>
      <x:c r="R395" s="78" t="str">
        <x:v>Resolve</x:v>
      </x:c>
      <x:c r="S395" s="78" t="n">
        <x:f>IF(R395="Resolve",IF(IF(E395="YES",Q395,1-Q395)=1,P395*(1-F395),-O395),P395*(G395-F395))</x:f>
        <x:v>0</x:v>
      </x:c>
      <x:c r="T395" s="78" t="n">
        <x:f>P395*J395</x:f>
        <x:v>0</x:v>
      </x:c>
      <x:c r="U395" s="78" t="n">
        <x:f>S395-T395</x:f>
        <x:v>0</x:v>
      </x:c>
      <x:c r="V395" s="78" t="n">
        <x:f>N395+U395</x:f>
        <x:v>9866.000394925371</x:v>
      </x:c>
      <x:c r="W395" s="74" t="n">
        <x:f>IFERROR(V395/MAX($V$16:V395)-1,0)</x:f>
        <x:v>-0.02373205525418276</x:v>
      </x:c>
      <x:c r="X395" t="str">
        <x:f>IF(O395&gt;0,"TRADE","NO_TRADE")</x:f>
        <x:v>NO_TRADE</x:v>
      </x:c>
    </x:row>
    <x:row r="396">
      <x:c r="A396" s="66" t="n">
        <x:v>46167.52199074074</x:v>
      </x:c>
      <x:c r="B396" s="66" t="str">
        <x:v>MKT_1006</x:v>
      </x:c>
      <x:c r="C396" s="66" t="n">
        <x:v>46167.524305555555</x:v>
      </x:c>
      <x:c r="D396" t="n">
        <x:v>200</x:v>
      </x:c>
      <x:c r="E396" t="str">
        <x:v>YES</x:v>
      </x:c>
      <x:c r="F396" s="74" t="n">
        <x:v>0.52</x:v>
      </x:c>
      <x:c r="G396" s="74" t="n">
        <x:v>0.52</x:v>
      </x:c>
      <x:c r="H396" s="74" t="n">
        <x:v>0.535</x:v>
      </x:c>
      <x:c r="I396" s="74" t="n">
        <x:f>IF(E396="YES",H396,1-H396)</x:f>
        <x:v>0.535</x:v>
      </x:c>
      <x:c r="J396" s="76" t="n">
        <x:f>Assumptions!$C$12+Assumptions!$C$11*F396</x:f>
        <x:v>0.003</x:v>
      </x:c>
      <x:c r="K396" s="76" t="n">
        <x:f>I396-F396-J396</x:f>
        <x:v>0.012000000000000014</x:v>
      </x:c>
      <x:c r="L396" s="74" t="n">
        <x:f>MAX(0,IFERROR(K396/(1-F396),0))</x:f>
        <x:v>0.02500000000000003</x:v>
      </x:c>
      <x:c r="M396" s="74" t="n">
        <x:f>MIN(Assumptions!$C$8*L396,Assumptions!$C$5)</x:f>
        <x:v>0.005</x:v>
      </x:c>
      <x:c r="N396" s="78" t="n">
        <x:f>IF(ROW()=16,Assumptions!$C$4,V395)</x:f>
        <x:v>9866.000394925371</x:v>
      </x:c>
      <x:c r="O396" s="78" t="n">
        <x:f>IF(AND(K396&gt;IF(F396&gt;=Assumptions!$C$21,Assumptions!$C$10,Assumptions!$C$9),D396&gt;Assumptions!$C$23),N396*M396,0)</x:f>
        <x:v>49.33000197462686</x:v>
      </x:c>
      <x:c r="P396" s="78" t="n">
        <x:f>IFERROR(O396/F396,0)</x:f>
        <x:v>94.86538841274395</x:v>
      </x:c>
      <x:c r="Q396" s="78" t="n">
        <x:v>1</x:v>
      </x:c>
      <x:c r="R396" s="78" t="str">
        <x:v>Resolve</x:v>
      </x:c>
      <x:c r="S396" s="78" t="n">
        <x:f>IF(R396="Resolve",IF(IF(E396="YES",Q396,1-Q396)=1,P396*(1-F396),-O396),P396*(G396-F396))</x:f>
        <x:v>45.535386438117094</x:v>
      </x:c>
      <x:c r="T396" s="78" t="n">
        <x:f>P396*J396</x:f>
        <x:v>0.2845961652382319</x:v>
      </x:c>
      <x:c r="U396" s="78" t="n">
        <x:f>S396-T396</x:f>
        <x:v>45.25079027287886</x:v>
      </x:c>
      <x:c r="V396" s="78" t="n">
        <x:f>N396+U396</x:f>
        <x:v>9911.25118519825</x:v>
      </x:c>
      <x:c r="W396" s="74" t="n">
        <x:f>IFERROR(V396/MAX($V$16:V396)-1,0)</x:f>
        <x:v>-0.01925436477683884</x:v>
      </x:c>
      <x:c r="X396" t="str">
        <x:f>IF(O396&gt;0,"TRADE","NO_TRADE")</x:f>
        <x:v>TRADE</x:v>
      </x:c>
    </x:row>
    <x:row r="397">
      <x:c r="A397" s="66" t="n">
        <x:v>46167.522048611114</x:v>
      </x:c>
      <x:c r="B397" s="66" t="str">
        <x:v>MKT_1006</x:v>
      </x:c>
      <x:c r="C397" s="66" t="n">
        <x:v>46167.524305555555</x:v>
      </x:c>
      <x:c r="D397" t="n">
        <x:v>195</x:v>
      </x:c>
      <x:c r="E397" t="str">
        <x:v>NO</x:v>
      </x:c>
      <x:c r="F397" s="74" t="n">
        <x:v>0.61</x:v>
      </x:c>
      <x:c r="G397" s="74" t="n">
        <x:v>0.61</x:v>
      </x:c>
      <x:c r="H397" s="74" t="n">
        <x:v>0.63</x:v>
      </x:c>
      <x:c r="I397" s="74" t="n">
        <x:f>IF(E397="YES",H397,1-H397)</x:f>
        <x:v>0.37</x:v>
      </x:c>
      <x:c r="J397" s="76" t="n">
        <x:f>Assumptions!$C$12+Assumptions!$C$11*F397</x:f>
        <x:v>0.003</x:v>
      </x:c>
      <x:c r="K397" s="76" t="n">
        <x:f>I397-F397-J397</x:f>
        <x:v>-0.243</x:v>
      </x:c>
      <x:c r="L397" s="74" t="n">
        <x:f>MAX(0,IFERROR(K397/(1-F397),0))</x:f>
        <x:v>0</x:v>
      </x:c>
      <x:c r="M397" s="74" t="n">
        <x:f>MIN(Assumptions!$C$8*L397,Assumptions!$C$5)</x:f>
        <x:v>0</x:v>
      </x:c>
      <x:c r="N397" s="78" t="n">
        <x:f>IF(ROW()=16,Assumptions!$C$4,V396)</x:f>
        <x:v>9911.25118519825</x:v>
      </x:c>
      <x:c r="O397" s="78" t="n">
        <x:f>IF(AND(K397&gt;IF(F397&gt;=Assumptions!$C$21,Assumptions!$C$10,Assumptions!$C$9),D397&gt;Assumptions!$C$23),N397*M397,0)</x:f>
        <x:v>0</x:v>
      </x:c>
      <x:c r="P397" s="78" t="n">
        <x:f>IFERROR(O397/F397,0)</x:f>
        <x:v>0</x:v>
      </x:c>
      <x:c r="Q397" s="78" t="n">
        <x:v>0</x:v>
      </x:c>
      <x:c r="R397" s="78" t="str">
        <x:v>Resolve</x:v>
      </x:c>
      <x:c r="S397" s="78" t="n">
        <x:f>IF(R397="Resolve",IF(IF(E397="YES",Q397,1-Q397)=1,P397*(1-F397),-O397),P397*(G397-F397))</x:f>
        <x:v>0</x:v>
      </x:c>
      <x:c r="T397" s="78" t="n">
        <x:f>P397*J397</x:f>
        <x:v>0</x:v>
      </x:c>
      <x:c r="U397" s="78" t="n">
        <x:f>S397-T397</x:f>
        <x:v>0</x:v>
      </x:c>
      <x:c r="V397" s="78" t="n">
        <x:f>N397+U397</x:f>
        <x:v>9911.25118519825</x:v>
      </x:c>
      <x:c r="W397" s="74" t="n">
        <x:f>IFERROR(V397/MAX($V$16:V397)-1,0)</x:f>
        <x:v>-0.01925436477683884</x:v>
      </x:c>
      <x:c r="X397" t="str">
        <x:f>IF(O397&gt;0,"TRADE","NO_TRADE")</x:f>
        <x:v>NO_TRADE</x:v>
      </x:c>
    </x:row>
    <x:row r="398">
      <x:c r="A398" s="66" t="n">
        <x:v>46167.52210648148</x:v>
      </x:c>
      <x:c r="B398" s="66" t="str">
        <x:v>MKT_1006</x:v>
      </x:c>
      <x:c r="C398" s="66" t="n">
        <x:v>46167.524305555555</x:v>
      </x:c>
      <x:c r="D398" t="n">
        <x:v>190</x:v>
      </x:c>
      <x:c r="E398" t="str">
        <x:v>YES</x:v>
      </x:c>
      <x:c r="F398" s="74" t="n">
        <x:v>0.74</x:v>
      </x:c>
      <x:c r="G398" s="74" t="n">
        <x:v>0.74</x:v>
      </x:c>
      <x:c r="H398" s="74" t="n">
        <x:v>0.735</x:v>
      </x:c>
      <x:c r="I398" s="74" t="n">
        <x:f>IF(E398="YES",H398,1-H398)</x:f>
        <x:v>0.735</x:v>
      </x:c>
      <x:c r="J398" s="76" t="n">
        <x:f>Assumptions!$C$12+Assumptions!$C$11*F398</x:f>
        <x:v>0.003</x:v>
      </x:c>
      <x:c r="K398" s="76" t="n">
        <x:f>I398-F398-J398</x:f>
        <x:v>-0.008000000000000004</x:v>
      </x:c>
      <x:c r="L398" s="74" t="n">
        <x:f>MAX(0,IFERROR(K398/(1-F398),0))</x:f>
        <x:v>0</x:v>
      </x:c>
      <x:c r="M398" s="74" t="n">
        <x:f>MIN(Assumptions!$C$8*L398,Assumptions!$C$5)</x:f>
        <x:v>0</x:v>
      </x:c>
      <x:c r="N398" s="78" t="n">
        <x:f>IF(ROW()=16,Assumptions!$C$4,V397)</x:f>
        <x:v>9911.25118519825</x:v>
      </x:c>
      <x:c r="O398" s="78" t="n">
        <x:f>IF(AND(K398&gt;IF(F398&gt;=Assumptions!$C$21,Assumptions!$C$10,Assumptions!$C$9),D398&gt;Assumptions!$C$23),N398*M398,0)</x:f>
        <x:v>0</x:v>
      </x:c>
      <x:c r="P398" s="78" t="n">
        <x:f>IFERROR(O398/F398,0)</x:f>
        <x:v>0</x:v>
      </x:c>
      <x:c r="Q398" s="78" t="n">
        <x:v>1</x:v>
      </x:c>
      <x:c r="R398" s="78" t="str">
        <x:v>Resolve</x:v>
      </x:c>
      <x:c r="S398" s="78" t="n">
        <x:f>IF(R398="Resolve",IF(IF(E398="YES",Q398,1-Q398)=1,P398*(1-F398),-O398),P398*(G398-F398))</x:f>
        <x:v>0</x:v>
      </x:c>
      <x:c r="T398" s="78" t="n">
        <x:f>P398*J398</x:f>
        <x:v>0</x:v>
      </x:c>
      <x:c r="U398" s="78" t="n">
        <x:f>S398-T398</x:f>
        <x:v>0</x:v>
      </x:c>
      <x:c r="V398" s="78" t="n">
        <x:f>N398+U398</x:f>
        <x:v>9911.25118519825</x:v>
      </x:c>
      <x:c r="W398" s="74" t="n">
        <x:f>IFERROR(V398/MAX($V$16:V398)-1,0)</x:f>
        <x:v>-0.01925436477683884</x:v>
      </x:c>
      <x:c r="X398" t="str">
        <x:f>IF(O398&gt;0,"TRADE","NO_TRADE")</x:f>
        <x:v>NO_TRADE</x:v>
      </x:c>
    </x:row>
    <x:row r="399">
      <x:c r="A399" s="66" t="n">
        <x:v>46167.52216435185</x:v>
      </x:c>
      <x:c r="B399" s="66" t="str">
        <x:v>MKT_1006</x:v>
      </x:c>
      <x:c r="C399" s="66" t="n">
        <x:v>46167.524305555555</x:v>
      </x:c>
      <x:c r="D399" t="n">
        <x:v>185</x:v>
      </x:c>
      <x:c r="E399" t="str">
        <x:v>YES</x:v>
      </x:c>
      <x:c r="F399" s="74" t="n">
        <x:v>0.88</x:v>
      </x:c>
      <x:c r="G399" s="74" t="n">
        <x:v>0.88</x:v>
      </x:c>
      <x:c r="H399" s="74" t="n">
        <x:v>0.91</x:v>
      </x:c>
      <x:c r="I399" s="74" t="n">
        <x:f>IF(E399="YES",H399,1-H399)</x:f>
        <x:v>0.91</x:v>
      </x:c>
      <x:c r="J399" s="76" t="n">
        <x:f>Assumptions!$C$12+Assumptions!$C$11*F399</x:f>
        <x:v>0.003</x:v>
      </x:c>
      <x:c r="K399" s="76" t="n">
        <x:f>I399-F399-J399</x:f>
        <x:v>0.027000000000000027</x:v>
      </x:c>
      <x:c r="L399" s="74" t="n">
        <x:f>MAX(0,IFERROR(K399/(1-F399),0))</x:f>
        <x:v>0.22500000000000023</x:v>
      </x:c>
      <x:c r="M399" s="74" t="n">
        <x:f>MIN(Assumptions!$C$8*L399,Assumptions!$C$5)</x:f>
        <x:v>0.005</x:v>
      </x:c>
      <x:c r="N399" s="78" t="n">
        <x:f>IF(ROW()=16,Assumptions!$C$4,V398)</x:f>
        <x:v>9911.25118519825</x:v>
      </x:c>
      <x:c r="O399" s="78" t="n">
        <x:f>IF(AND(K399&gt;IF(F399&gt;=Assumptions!$C$21,Assumptions!$C$10,Assumptions!$C$9),D399&gt;Assumptions!$C$23),N399*M399,0)</x:f>
        <x:v>49.55625592599125</x:v>
      </x:c>
      <x:c r="P399" s="78" t="n">
        <x:f>IFERROR(O399/F399,0)</x:f>
        <x:v>56.31392718862642</x:v>
      </x:c>
      <x:c r="Q399" s="78" t="n">
        <x:v>1</x:v>
      </x:c>
      <x:c r="R399" s="78" t="str">
        <x:v>Resolve</x:v>
      </x:c>
      <x:c r="S399" s="78" t="n">
        <x:f>IF(R399="Resolve",IF(IF(E399="YES",Q399,1-Q399)=1,P399*(1-F399),-O399),P399*(G399-F399))</x:f>
        <x:v>6.757671262635171</x:v>
      </x:c>
      <x:c r="T399" s="78" t="n">
        <x:f>P399*J399</x:f>
        <x:v>0.16894178156587927</x:v>
      </x:c>
      <x:c r="U399" s="78" t="n">
        <x:f>S399-T399</x:f>
        <x:v>6.588729481069292</x:v>
      </x:c>
      <x:c r="V399" s="78" t="n">
        <x:f>N399+U399</x:f>
        <x:v>9917.83991467932</x:v>
      </x:c>
      <x:c r="W399" s="74" t="n">
        <x:f>IFERROR(V399/MAX($V$16:V399)-1,0)</x:f>
        <x:v>-0.018602391826150755</x:v>
      </x:c>
      <x:c r="X399" t="str">
        <x:f>IF(O399&gt;0,"TRADE","NO_TRADE")</x:f>
        <x:v>TRADE</x:v>
      </x:c>
    </x:row>
    <x:row r="400">
      <x:c r="A400" s="66" t="n">
        <x:v>46167.52222222222</x:v>
      </x:c>
      <x:c r="B400" s="66" t="str">
        <x:v>MKT_1006</x:v>
      </x:c>
      <x:c r="C400" s="66" t="n">
        <x:v>46167.524305555555</x:v>
      </x:c>
      <x:c r="D400" t="n">
        <x:v>180</x:v>
      </x:c>
      <x:c r="E400" t="str">
        <x:v>NO</x:v>
      </x:c>
      <x:c r="F400" s="74" t="n">
        <x:v>0.94</x:v>
      </x:c>
      <x:c r="G400" s="74" t="n">
        <x:v>0.94</x:v>
      </x:c>
      <x:c r="H400" s="74" t="n">
        <x:v>0.98</x:v>
      </x:c>
      <x:c r="I400" s="74" t="n">
        <x:f>IF(E400="YES",H400,1-H400)</x:f>
        <x:v>0.020000000000000018</x:v>
      </x:c>
      <x:c r="J400" s="76" t="n">
        <x:f>Assumptions!$C$12+Assumptions!$C$11*F400</x:f>
        <x:v>0.003</x:v>
      </x:c>
      <x:c r="K400" s="76" t="n">
        <x:f>I400-F400-J400</x:f>
        <x:v>-0.9229999999999999</x:v>
      </x:c>
      <x:c r="L400" s="74" t="n">
        <x:f>MAX(0,IFERROR(K400/(1-F400),0))</x:f>
        <x:v>0</x:v>
      </x:c>
      <x:c r="M400" s="74" t="n">
        <x:f>MIN(Assumptions!$C$8*L400,Assumptions!$C$5)</x:f>
        <x:v>0</x:v>
      </x:c>
      <x:c r="N400" s="78" t="n">
        <x:f>IF(ROW()=16,Assumptions!$C$4,V399)</x:f>
        <x:v>9917.83991467932</x:v>
      </x:c>
      <x:c r="O400" s="78" t="n">
        <x:f>IF(AND(K400&gt;IF(F400&gt;=Assumptions!$C$21,Assumptions!$C$10,Assumptions!$C$9),D400&gt;Assumptions!$C$23),N400*M400,0)</x:f>
        <x:v>0</x:v>
      </x:c>
      <x:c r="P400" s="78" t="n">
        <x:f>IFERROR(O400/F400,0)</x:f>
        <x:v>0</x:v>
      </x:c>
      <x:c r="Q400" s="78" t="n">
        <x:v>1</x:v>
      </x:c>
      <x:c r="R400" s="78" t="str">
        <x:v>Resolve</x:v>
      </x:c>
      <x:c r="S400" s="78" t="n">
        <x:f>IF(R400="Resolve",IF(IF(E400="YES",Q400,1-Q400)=1,P400*(1-F400),-O400),P400*(G400-F400))</x:f>
        <x:v>0</x:v>
      </x:c>
      <x:c r="T400" s="78" t="n">
        <x:f>P400*J400</x:f>
        <x:v>0</x:v>
      </x:c>
      <x:c r="U400" s="78" t="n">
        <x:f>S400-T400</x:f>
        <x:v>0</x:v>
      </x:c>
      <x:c r="V400" s="78" t="n">
        <x:f>N400+U400</x:f>
        <x:v>9917.83991467932</x:v>
      </x:c>
      <x:c r="W400" s="74" t="n">
        <x:f>IFERROR(V400/MAX($V$16:V400)-1,0)</x:f>
        <x:v>-0.018602391826150755</x:v>
      </x:c>
      <x:c r="X400" t="str">
        <x:f>IF(O400&gt;0,"TRADE","NO_TRADE")</x:f>
        <x:v>NO_TRADE</x:v>
      </x:c>
    </x:row>
    <x:row r="401">
      <x:c r="A401" s="66" t="n">
        <x:v>46167.52228009259</x:v>
      </x:c>
      <x:c r="B401" s="66" t="str">
        <x:v>MKT_1006</x:v>
      </x:c>
      <x:c r="C401" s="66" t="n">
        <x:v>46167.524305555555</x:v>
      </x:c>
      <x:c r="D401" t="n">
        <x:v>175</x:v>
      </x:c>
      <x:c r="E401" t="str">
        <x:v>YES</x:v>
      </x:c>
      <x:c r="F401" s="74" t="n">
        <x:v>0.95</x:v>
      </x:c>
      <x:c r="G401" s="74" t="n">
        <x:v>0.95</x:v>
      </x:c>
      <x:c r="H401" s="74" t="n">
        <x:v>0.968</x:v>
      </x:c>
      <x:c r="I401" s="74" t="n">
        <x:f>IF(E401="YES",H401,1-H401)</x:f>
        <x:v>0.968</x:v>
      </x:c>
      <x:c r="J401" s="76" t="n">
        <x:f>Assumptions!$C$12+Assumptions!$C$11*F401</x:f>
        <x:v>0.003</x:v>
      </x:c>
      <x:c r="K401" s="76" t="n">
        <x:f>I401-F401-J401</x:f>
        <x:v>0.015000000000000017</x:v>
      </x:c>
      <x:c r="L401" s="74" t="n">
        <x:f>MAX(0,IFERROR(K401/(1-F401),0))</x:f>
        <x:v>0.30000000000000004</x:v>
      </x:c>
      <x:c r="M401" s="74" t="n">
        <x:f>MIN(Assumptions!$C$8*L401,Assumptions!$C$5)</x:f>
        <x:v>0.005</x:v>
      </x:c>
      <x:c r="N401" s="78" t="n">
        <x:f>IF(ROW()=16,Assumptions!$C$4,V400)</x:f>
        <x:v>9917.83991467932</x:v>
      </x:c>
      <x:c r="O401" s="78" t="n">
        <x:f>IF(AND(K401&gt;IF(F401&gt;=Assumptions!$C$21,Assumptions!$C$10,Assumptions!$C$9),D401&gt;Assumptions!$C$23),N401*M401,0)</x:f>
        <x:v>49.5891995733966</x:v>
      </x:c>
      <x:c r="P401" s="78" t="n">
        <x:f>IFERROR(O401/F401,0)</x:f>
        <x:v>52.19915744568063</x:v>
      </x:c>
      <x:c r="Q401" s="78" t="n">
        <x:v>0</x:v>
      </x:c>
      <x:c r="R401" s="78" t="str">
        <x:v>Resolve</x:v>
      </x:c>
      <x:c r="S401" s="78" t="n">
        <x:f>IF(R401="Resolve",IF(IF(E401="YES",Q401,1-Q401)=1,P401*(1-F401),-O401),P401*(G401-F401))</x:f>
        <x:v>-49.5891995733966</x:v>
      </x:c>
      <x:c r="T401" s="78" t="n">
        <x:f>P401*J401</x:f>
        <x:v>0.1565974723370419</x:v>
      </x:c>
      <x:c r="U401" s="78" t="n">
        <x:f>S401-T401</x:f>
        <x:v>-49.74579704573364</x:v>
      </x:c>
      <x:c r="V401" s="78" t="n">
        <x:f>N401+U401</x:f>
        <x:v>9868.094117633585</x:v>
      </x:c>
      <x:c r="W401" s="74" t="n">
        <x:f>IFERROR(V401/MAX($V$16:V401)-1,0)</x:f>
        <x:v>-0.02352487561872807</x:v>
      </x:c>
      <x:c r="X401" t="str">
        <x:f>IF(O401&gt;0,"TRADE","NO_TRADE")</x:f>
        <x:v>TRADE</x:v>
      </x:c>
    </x:row>
    <x:row r="402">
      <x:c r="A402" s="66" t="n">
        <x:v>46167.52233796296</x:v>
      </x:c>
      <x:c r="B402" s="66" t="str">
        <x:v>MKT_1006</x:v>
      </x:c>
      <x:c r="C402" s="66" t="n">
        <x:v>46167.524305555555</x:v>
      </x:c>
      <x:c r="D402" t="n">
        <x:v>170</x:v>
      </x:c>
      <x:c r="E402" t="str">
        <x:v>YES</x:v>
      </x:c>
      <x:c r="F402" s="74" t="n">
        <x:v>0.57</x:v>
      </x:c>
      <x:c r="G402" s="74" t="n">
        <x:v>0.57</x:v>
      </x:c>
      <x:c r="H402" s="74" t="n">
        <x:v>0.582</x:v>
      </x:c>
      <x:c r="I402" s="74" t="n">
        <x:f>IF(E402="YES",H402,1-H402)</x:f>
        <x:v>0.582</x:v>
      </x:c>
      <x:c r="J402" s="76" t="n">
        <x:f>Assumptions!$C$12+Assumptions!$C$11*F402</x:f>
        <x:v>0.003</x:v>
      </x:c>
      <x:c r="K402" s="76" t="n">
        <x:f>I402-F402-J402</x:f>
        <x:v>0.009000000000000011</x:v>
      </x:c>
      <x:c r="L402" s="74" t="n">
        <x:f>MAX(0,IFERROR(K402/(1-F402),0))</x:f>
        <x:v>0.02093023255813956</x:v>
      </x:c>
      <x:c r="M402" s="74" t="n">
        <x:f>MIN(Assumptions!$C$8*L402,Assumptions!$C$5)</x:f>
        <x:v>0.005</x:v>
      </x:c>
      <x:c r="N402" s="78" t="n">
        <x:f>IF(ROW()=16,Assumptions!$C$4,V401)</x:f>
        <x:v>9868.094117633585</x:v>
      </x:c>
      <x:c r="O402" s="78" t="n">
        <x:f>IF(AND(K402&gt;IF(F402&gt;=Assumptions!$C$21,Assumptions!$C$10,Assumptions!$C$9),D402&gt;Assumptions!$C$23),N402*M402,0)</x:f>
        <x:v>49.34047058816793</x:v>
      </x:c>
      <x:c r="P402" s="78" t="n">
        <x:f>IFERROR(O402/F402,0)</x:f>
        <x:v>86.56222910204902</x:v>
      </x:c>
      <x:c r="Q402" s="78" t="n">
        <x:v>1</x:v>
      </x:c>
      <x:c r="R402" s="78" t="str">
        <x:v>Resolve</x:v>
      </x:c>
      <x:c r="S402" s="78" t="n">
        <x:f>IF(R402="Resolve",IF(IF(E402="YES",Q402,1-Q402)=1,P402*(1-F402),-O402),P402*(G402-F402))</x:f>
        <x:v>37.221758513881085</x:v>
      </x:c>
      <x:c r="T402" s="78" t="n">
        <x:f>P402*J402</x:f>
        <x:v>0.2596866873061471</x:v>
      </x:c>
      <x:c r="U402" s="78" t="n">
        <x:f>S402-T402</x:f>
        <x:v>36.962071826574935</x:v>
      </x:c>
      <x:c r="V402" s="78" t="n">
        <x:f>N402+U402</x:f>
        <x:v>9905.05618946016</x:v>
      </x:c>
      <x:c r="W402" s="74" t="n">
        <x:f>IFERROR(V402/MAX($V$16:V402)-1,0)</x:f>
        <x:v>-0.019867376687931704</x:v>
      </x:c>
      <x:c r="X402" t="str">
        <x:f>IF(O402&gt;0,"TRADE","NO_TRADE")</x:f>
        <x:v>TRADE</x:v>
      </x:c>
    </x:row>
    <x:row r="403">
      <x:c r="A403" s="66" t="n">
        <x:v>46167.52239583333</x:v>
      </x:c>
      <x:c r="B403" s="66" t="str">
        <x:v>MKT_1006</x:v>
      </x:c>
      <x:c r="C403" s="66" t="n">
        <x:v>46167.524305555555</x:v>
      </x:c>
      <x:c r="D403" t="n">
        <x:v>165</x:v>
      </x:c>
      <x:c r="E403" t="str">
        <x:v>NO</x:v>
      </x:c>
      <x:c r="F403" s="74" t="n">
        <x:v>0.68</x:v>
      </x:c>
      <x:c r="G403" s="74" t="n">
        <x:v>0.68</x:v>
      </x:c>
      <x:c r="H403" s="74" t="n">
        <x:v>0.7050000000000001</x:v>
      </x:c>
      <x:c r="I403" s="74" t="n">
        <x:f>IF(E403="YES",H403,1-H403)</x:f>
        <x:v>0.29499999999999993</x:v>
      </x:c>
      <x:c r="J403" s="76" t="n">
        <x:f>Assumptions!$C$12+Assumptions!$C$11*F403</x:f>
        <x:v>0.003</x:v>
      </x:c>
      <x:c r="K403" s="76" t="n">
        <x:f>I403-F403-J403</x:f>
        <x:v>-0.3880000000000001</x:v>
      </x:c>
      <x:c r="L403" s="74" t="n">
        <x:f>MAX(0,IFERROR(K403/(1-F403),0))</x:f>
        <x:v>0</x:v>
      </x:c>
      <x:c r="M403" s="74" t="n">
        <x:f>MIN(Assumptions!$C$8*L403,Assumptions!$C$5)</x:f>
        <x:v>0</x:v>
      </x:c>
      <x:c r="N403" s="78" t="n">
        <x:f>IF(ROW()=16,Assumptions!$C$4,V402)</x:f>
        <x:v>9905.05618946016</x:v>
      </x:c>
      <x:c r="O403" s="78" t="n">
        <x:f>IF(AND(K403&gt;IF(F403&gt;=Assumptions!$C$21,Assumptions!$C$10,Assumptions!$C$9),D403&gt;Assumptions!$C$23),N403*M403,0)</x:f>
        <x:v>0</x:v>
      </x:c>
      <x:c r="P403" s="78" t="n">
        <x:f>IFERROR(O403/F403,0)</x:f>
        <x:v>0</x:v>
      </x:c>
      <x:c r="Q403" s="78" t="n">
        <x:v>1</x:v>
      </x:c>
      <x:c r="R403" s="78" t="str">
        <x:v>Resolve</x:v>
      </x:c>
      <x:c r="S403" s="78" t="n">
        <x:f>IF(R403="Resolve",IF(IF(E403="YES",Q403,1-Q403)=1,P403*(1-F403),-O403),P403*(G403-F403))</x:f>
        <x:v>0</x:v>
      </x:c>
      <x:c r="T403" s="78" t="n">
        <x:f>P403*J403</x:f>
        <x:v>0</x:v>
      </x:c>
      <x:c r="U403" s="78" t="n">
        <x:f>S403-T403</x:f>
        <x:v>0</x:v>
      </x:c>
      <x:c r="V403" s="78" t="n">
        <x:f>N403+U403</x:f>
        <x:v>9905.05618946016</x:v>
      </x:c>
      <x:c r="W403" s="74" t="n">
        <x:f>IFERROR(V403/MAX($V$16:V403)-1,0)</x:f>
        <x:v>-0.019867376687931704</x:v>
      </x:c>
      <x:c r="X403" t="str">
        <x:f>IF(O403&gt;0,"TRADE","NO_TRADE")</x:f>
        <x:v>NO_TRADE</x:v>
      </x:c>
    </x:row>
    <x:row r="404">
      <x:c r="A404" s="66" t="n">
        <x:v>46167.52245370371</x:v>
      </x:c>
      <x:c r="B404" s="66" t="str">
        <x:v>MKT_1006</x:v>
      </x:c>
      <x:c r="C404" s="66" t="n">
        <x:v>46167.524305555555</x:v>
      </x:c>
      <x:c r="D404" t="n">
        <x:v>160</x:v>
      </x:c>
      <x:c r="E404" t="str">
        <x:v>YES</x:v>
      </x:c>
      <x:c r="F404" s="74" t="n">
        <x:v>0.91</x:v>
      </x:c>
      <x:c r="G404" s="74" t="n">
        <x:v>0.91</x:v>
      </x:c>
      <x:c r="H404" s="74" t="n">
        <x:v>0.9450000000000001</x:v>
      </x:c>
      <x:c r="I404" s="74" t="n">
        <x:f>IF(E404="YES",H404,1-H404)</x:f>
        <x:v>0.9450000000000001</x:v>
      </x:c>
      <x:c r="J404" s="76" t="n">
        <x:f>Assumptions!$C$12+Assumptions!$C$11*F404</x:f>
        <x:v>0.003</x:v>
      </x:c>
      <x:c r="K404" s="76" t="n">
        <x:f>I404-F404-J404</x:f>
        <x:v>0.03200000000000003</x:v>
      </x:c>
      <x:c r="L404" s="74" t="n">
        <x:f>MAX(0,IFERROR(K404/(1-F404),0))</x:f>
        <x:v>0.355555555555556</x:v>
      </x:c>
      <x:c r="M404" s="74" t="n">
        <x:f>MIN(Assumptions!$C$8*L404,Assumptions!$C$5)</x:f>
        <x:v>0.005</x:v>
      </x:c>
      <x:c r="N404" s="78" t="n">
        <x:f>IF(ROW()=16,Assumptions!$C$4,V403)</x:f>
        <x:v>9905.05618946016</x:v>
      </x:c>
      <x:c r="O404" s="78" t="n">
        <x:f>IF(AND(K404&gt;IF(F404&gt;=Assumptions!$C$21,Assumptions!$C$10,Assumptions!$C$9),D404&gt;Assumptions!$C$23),N404*M404,0)</x:f>
        <x:v>49.5252809473008</x:v>
      </x:c>
      <x:c r="P404" s="78" t="n">
        <x:f>IFERROR(O404/F404,0)</x:f>
        <x:v>54.423385656374506</x:v>
      </x:c>
      <x:c r="Q404" s="78" t="n">
        <x:v>0</x:v>
      </x:c>
      <x:c r="R404" s="78" t="str">
        <x:v>Resolve</x:v>
      </x:c>
      <x:c r="S404" s="78" t="n">
        <x:f>IF(R404="Resolve",IF(IF(E404="YES",Q404,1-Q404)=1,P404*(1-F404),-O404),P404*(G404-F404))</x:f>
        <x:v>-49.5252809473008</x:v>
      </x:c>
      <x:c r="T404" s="78" t="n">
        <x:f>P404*J404</x:f>
        <x:v>0.16327015696912353</x:v>
      </x:c>
      <x:c r="U404" s="78" t="n">
        <x:f>S404-T404</x:f>
        <x:v>-49.688551104269926</x:v>
      </x:c>
      <x:c r="V404" s="78" t="n">
        <x:f>N404+U404</x:f>
        <x:v>9855.36763835589</x:v>
      </x:c>
      <x:c r="W404" s="74" t="n">
        <x:f>IFERROR(V404/MAX($V$16:V404)-1,0)</x:f>
        <x:v>-0.024784195836744294</x:v>
      </x:c>
      <x:c r="X404" t="str">
        <x:f>IF(O404&gt;0,"TRADE","NO_TRADE")</x:f>
        <x:v>TRADE</x:v>
      </x:c>
    </x:row>
    <x:row r="405">
      <x:c r="A405" s="66" t="n">
        <x:v>46167.522511574076</x:v>
      </x:c>
      <x:c r="B405" s="66" t="str">
        <x:v>MKT_1006</x:v>
      </x:c>
      <x:c r="C405" s="66" t="n">
        <x:v>46167.524305555555</x:v>
      </x:c>
      <x:c r="D405" t="n">
        <x:v>155</x:v>
      </x:c>
      <x:c r="E405" t="str">
        <x:v>YES</x:v>
      </x:c>
      <x:c r="F405" s="74" t="n">
        <x:v>0.83</x:v>
      </x:c>
      <x:c r="G405" s="74" t="n">
        <x:v>0.83</x:v>
      </x:c>
      <x:c r="H405" s="74" t="n">
        <x:v>0.82</x:v>
      </x:c>
      <x:c r="I405" s="74" t="n">
        <x:f>IF(E405="YES",H405,1-H405)</x:f>
        <x:v>0.82</x:v>
      </x:c>
      <x:c r="J405" s="76" t="n">
        <x:f>Assumptions!$C$12+Assumptions!$C$11*F405</x:f>
        <x:v>0.003</x:v>
      </x:c>
      <x:c r="K405" s="76" t="n">
        <x:f>I405-F405-J405</x:f>
        <x:v>-0.013000000000000008</x:v>
      </x:c>
      <x:c r="L405" s="74" t="n">
        <x:f>MAX(0,IFERROR(K405/(1-F405),0))</x:f>
        <x:v>0</x:v>
      </x:c>
      <x:c r="M405" s="74" t="n">
        <x:f>MIN(Assumptions!$C$8*L405,Assumptions!$C$5)</x:f>
        <x:v>0</x:v>
      </x:c>
      <x:c r="N405" s="78" t="n">
        <x:f>IF(ROW()=16,Assumptions!$C$4,V404)</x:f>
        <x:v>9855.36763835589</x:v>
      </x:c>
      <x:c r="O405" s="78" t="n">
        <x:f>IF(AND(K405&gt;IF(F405&gt;=Assumptions!$C$21,Assumptions!$C$10,Assumptions!$C$9),D405&gt;Assumptions!$C$23),N405*M405,0)</x:f>
        <x:v>0</x:v>
      </x:c>
      <x:c r="P405" s="78" t="n">
        <x:f>IFERROR(O405/F405,0)</x:f>
        <x:v>0</x:v>
      </x:c>
      <x:c r="Q405" s="78" t="n">
        <x:v>1</x:v>
      </x:c>
      <x:c r="R405" s="78" t="str">
        <x:v>Resolve</x:v>
      </x:c>
      <x:c r="S405" s="78" t="n">
        <x:f>IF(R405="Resolve",IF(IF(E405="YES",Q405,1-Q405)=1,P405*(1-F405),-O405),P405*(G405-F405))</x:f>
        <x:v>0</x:v>
      </x:c>
      <x:c r="T405" s="78" t="n">
        <x:f>P405*J405</x:f>
        <x:v>0</x:v>
      </x:c>
      <x:c r="U405" s="78" t="n">
        <x:f>S405-T405</x:f>
        <x:v>0</x:v>
      </x:c>
      <x:c r="V405" s="78" t="n">
        <x:f>N405+U405</x:f>
        <x:v>9855.36763835589</x:v>
      </x:c>
      <x:c r="W405" s="74" t="n">
        <x:f>IFERROR(V405/MAX($V$16:V405)-1,0)</x:f>
        <x:v>-0.024784195836744294</x:v>
      </x:c>
      <x:c r="X405" t="str">
        <x:f>IF(O405&gt;0,"TRADE","NO_TRADE")</x:f>
        <x:v>NO_TRADE</x:v>
      </x:c>
    </x:row>
    <x:row r="406">
      <x:c r="A406" s="66" t="n">
        <x:v>46167.522569444445</x:v>
      </x:c>
      <x:c r="B406" s="66" t="str">
        <x:v>MKT_1006</x:v>
      </x:c>
      <x:c r="C406" s="66" t="n">
        <x:v>46167.524305555555</x:v>
      </x:c>
      <x:c r="D406" t="n">
        <x:v>150</x:v>
      </x:c>
      <x:c r="E406" t="str">
        <x:v>NO</x:v>
      </x:c>
      <x:c r="F406" s="74" t="n">
        <x:v>0.52</x:v>
      </x:c>
      <x:c r="G406" s="74" t="n">
        <x:v>0.52</x:v>
      </x:c>
      <x:c r="H406" s="74" t="n">
        <x:v>0.535</x:v>
      </x:c>
      <x:c r="I406" s="74" t="n">
        <x:f>IF(E406="YES",H406,1-H406)</x:f>
        <x:v>0.46499999999999997</x:v>
      </x:c>
      <x:c r="J406" s="76" t="n">
        <x:f>Assumptions!$C$12+Assumptions!$C$11*F406</x:f>
        <x:v>0.003</x:v>
      </x:c>
      <x:c r="K406" s="76" t="n">
        <x:f>I406-F406-J406</x:f>
        <x:v>-0.05800000000000005</x:v>
      </x:c>
      <x:c r="L406" s="74" t="n">
        <x:f>MAX(0,IFERROR(K406/(1-F406),0))</x:f>
        <x:v>0</x:v>
      </x:c>
      <x:c r="M406" s="74" t="n">
        <x:f>MIN(Assumptions!$C$8*L406,Assumptions!$C$5)</x:f>
        <x:v>0</x:v>
      </x:c>
      <x:c r="N406" s="78" t="n">
        <x:f>IF(ROW()=16,Assumptions!$C$4,V405)</x:f>
        <x:v>9855.36763835589</x:v>
      </x:c>
      <x:c r="O406" s="78" t="n">
        <x:f>IF(AND(K406&gt;IF(F406&gt;=Assumptions!$C$21,Assumptions!$C$10,Assumptions!$C$9),D406&gt;Assumptions!$C$23),N406*M406,0)</x:f>
        <x:v>0</x:v>
      </x:c>
      <x:c r="P406" s="78" t="n">
        <x:f>IFERROR(O406/F406,0)</x:f>
        <x:v>0</x:v>
      </x:c>
      <x:c r="Q406" s="78" t="n">
        <x:v>1</x:v>
      </x:c>
      <x:c r="R406" s="78" t="str">
        <x:v>Resolve</x:v>
      </x:c>
      <x:c r="S406" s="78" t="n">
        <x:f>IF(R406="Resolve",IF(IF(E406="YES",Q406,1-Q406)=1,P406*(1-F406),-O406),P406*(G406-F406))</x:f>
        <x:v>0</x:v>
      </x:c>
      <x:c r="T406" s="78" t="n">
        <x:f>P406*J406</x:f>
        <x:v>0</x:v>
      </x:c>
      <x:c r="U406" s="78" t="n">
        <x:f>S406-T406</x:f>
        <x:v>0</x:v>
      </x:c>
      <x:c r="V406" s="78" t="n">
        <x:f>N406+U406</x:f>
        <x:v>9855.36763835589</x:v>
      </x:c>
      <x:c r="W406" s="74" t="n">
        <x:f>IFERROR(V406/MAX($V$16:V406)-1,0)</x:f>
        <x:v>-0.024784195836744294</x:v>
      </x:c>
      <x:c r="X406" t="str">
        <x:f>IF(O406&gt;0,"TRADE","NO_TRADE")</x:f>
        <x:v>NO_TRADE</x:v>
      </x:c>
    </x:row>
    <x:row r="407">
      <x:c r="A407" s="66" t="n">
        <x:v>46167.522627314815</x:v>
      </x:c>
      <x:c r="B407" s="66" t="str">
        <x:v>MKT_1006</x:v>
      </x:c>
      <x:c r="C407" s="66" t="n">
        <x:v>46167.524305555555</x:v>
      </x:c>
      <x:c r="D407" t="n">
        <x:v>145</x:v>
      </x:c>
      <x:c r="E407" t="str">
        <x:v>YES</x:v>
      </x:c>
      <x:c r="F407" s="74" t="n">
        <x:v>0.61</x:v>
      </x:c>
      <x:c r="G407" s="74" t="n">
        <x:v>0.61</x:v>
      </x:c>
      <x:c r="H407" s="74" t="n">
        <x:v>0.63</x:v>
      </x:c>
      <x:c r="I407" s="74" t="n">
        <x:f>IF(E407="YES",H407,1-H407)</x:f>
        <x:v>0.63</x:v>
      </x:c>
      <x:c r="J407" s="76" t="n">
        <x:f>Assumptions!$C$12+Assumptions!$C$11*F407</x:f>
        <x:v>0.003</x:v>
      </x:c>
      <x:c r="K407" s="76" t="n">
        <x:f>I407-F407-J407</x:f>
        <x:v>0.01700000000000002</x:v>
      </x:c>
      <x:c r="L407" s="74" t="n">
        <x:f>MAX(0,IFERROR(K407/(1-F407),0))</x:f>
        <x:v>0.043589743589743636</x:v>
      </x:c>
      <x:c r="M407" s="74" t="n">
        <x:f>MIN(Assumptions!$C$8*L407,Assumptions!$C$5)</x:f>
        <x:v>0.005</x:v>
      </x:c>
      <x:c r="N407" s="78" t="n">
        <x:f>IF(ROW()=16,Assumptions!$C$4,V406)</x:f>
        <x:v>9855.36763835589</x:v>
      </x:c>
      <x:c r="O407" s="78" t="n">
        <x:f>IF(AND(K407&gt;IF(F407&gt;=Assumptions!$C$21,Assumptions!$C$10,Assumptions!$C$9),D407&gt;Assumptions!$C$23),N407*M407,0)</x:f>
        <x:v>49.276838191779454</x:v>
      </x:c>
      <x:c r="P407" s="78" t="n">
        <x:f>IFERROR(O407/F407,0)</x:f>
        <x:v>80.78170195373681</x:v>
      </x:c>
      <x:c r="Q407" s="78" t="n">
        <x:v>1</x:v>
      </x:c>
      <x:c r="R407" s="78" t="str">
        <x:v>Resolve</x:v>
      </x:c>
      <x:c r="S407" s="78" t="n">
        <x:f>IF(R407="Resolve",IF(IF(E407="YES",Q407,1-Q407)=1,P407*(1-F407),-O407),P407*(G407-F407))</x:f>
        <x:v>31.50486376195736</x:v>
      </x:c>
      <x:c r="T407" s="78" t="n">
        <x:f>P407*J407</x:f>
        <x:v>0.24234510586121044</x:v>
      </x:c>
      <x:c r="U407" s="78" t="n">
        <x:f>S407-T407</x:f>
        <x:v>31.262518656096148</x:v>
      </x:c>
      <x:c r="V407" s="78" t="n">
        <x:f>N407+U407</x:f>
        <x:v>9886.630157011987</x:v>
      </x:c>
      <x:c r="W407" s="74" t="n">
        <x:f>IFERROR(V407/MAX($V$16:V407)-1,0)</x:f>
        <x:v>-0.021690683408783773</x:v>
      </x:c>
      <x:c r="X407" t="str">
        <x:f>IF(O407&gt;0,"TRADE","NO_TRADE")</x:f>
        <x:v>TRADE</x:v>
      </x:c>
    </x:row>
    <x:row r="408">
      <x:c r="A408" s="66" t="n">
        <x:v>46167.522685185184</x:v>
      </x:c>
      <x:c r="B408" s="66" t="str">
        <x:v>MKT_1006</x:v>
      </x:c>
      <x:c r="C408" s="66" t="n">
        <x:v>46167.524305555555</x:v>
      </x:c>
      <x:c r="D408" t="n">
        <x:v>140</x:v>
      </x:c>
      <x:c r="E408" t="str">
        <x:v>YES</x:v>
      </x:c>
      <x:c r="F408" s="74" t="n">
        <x:v>0.74</x:v>
      </x:c>
      <x:c r="G408" s="74" t="n">
        <x:v>0.74</x:v>
      </x:c>
      <x:c r="H408" s="74" t="n">
        <x:v>0.735</x:v>
      </x:c>
      <x:c r="I408" s="74" t="n">
        <x:f>IF(E408="YES",H408,1-H408)</x:f>
        <x:v>0.735</x:v>
      </x:c>
      <x:c r="J408" s="76" t="n">
        <x:f>Assumptions!$C$12+Assumptions!$C$11*F408</x:f>
        <x:v>0.003</x:v>
      </x:c>
      <x:c r="K408" s="76" t="n">
        <x:f>I408-F408-J408</x:f>
        <x:v>-0.008000000000000004</x:v>
      </x:c>
      <x:c r="L408" s="74" t="n">
        <x:f>MAX(0,IFERROR(K408/(1-F408),0))</x:f>
        <x:v>0</x:v>
      </x:c>
      <x:c r="M408" s="74" t="n">
        <x:f>MIN(Assumptions!$C$8*L408,Assumptions!$C$5)</x:f>
        <x:v>0</x:v>
      </x:c>
      <x:c r="N408" s="78" t="n">
        <x:f>IF(ROW()=16,Assumptions!$C$4,V407)</x:f>
        <x:v>9886.630157011987</x:v>
      </x:c>
      <x:c r="O408" s="78" t="n">
        <x:f>IF(AND(K408&gt;IF(F408&gt;=Assumptions!$C$21,Assumptions!$C$10,Assumptions!$C$9),D408&gt;Assumptions!$C$23),N408*M408,0)</x:f>
        <x:v>0</x:v>
      </x:c>
      <x:c r="P408" s="78" t="n">
        <x:f>IFERROR(O408/F408,0)</x:f>
        <x:v>0</x:v>
      </x:c>
      <x:c r="Q408" s="78" t="n">
        <x:v>0</x:v>
      </x:c>
      <x:c r="R408" s="78" t="str">
        <x:v>Resolve</x:v>
      </x:c>
      <x:c r="S408" s="78" t="n">
        <x:f>IF(R408="Resolve",IF(IF(E408="YES",Q408,1-Q408)=1,P408*(1-F408),-O408),P408*(G408-F408))</x:f>
        <x:v>0</x:v>
      </x:c>
      <x:c r="T408" s="78" t="n">
        <x:f>P408*J408</x:f>
        <x:v>0</x:v>
      </x:c>
      <x:c r="U408" s="78" t="n">
        <x:f>S408-T408</x:f>
        <x:v>0</x:v>
      </x:c>
      <x:c r="V408" s="78" t="n">
        <x:f>N408+U408</x:f>
        <x:v>9886.630157011987</x:v>
      </x:c>
      <x:c r="W408" s="74" t="n">
        <x:f>IFERROR(V408/MAX($V$16:V408)-1,0)</x:f>
        <x:v>-0.021690683408783773</x:v>
      </x:c>
      <x:c r="X408" t="str">
        <x:f>IF(O408&gt;0,"TRADE","NO_TRADE")</x:f>
        <x:v>NO_TRADE</x:v>
      </x:c>
    </x:row>
    <x:row r="409">
      <x:c r="A409" s="66" t="n">
        <x:v>46167.52274305555</x:v>
      </x:c>
      <x:c r="B409" s="66" t="str">
        <x:v>MKT_1006</x:v>
      </x:c>
      <x:c r="C409" s="66" t="n">
        <x:v>46167.524305555555</x:v>
      </x:c>
      <x:c r="D409" t="n">
        <x:v>135</x:v>
      </x:c>
      <x:c r="E409" t="str">
        <x:v>NO</x:v>
      </x:c>
      <x:c r="F409" s="74" t="n">
        <x:v>0.88</x:v>
      </x:c>
      <x:c r="G409" s="74" t="n">
        <x:v>0.88</x:v>
      </x:c>
      <x:c r="H409" s="74" t="n">
        <x:v>0.91</x:v>
      </x:c>
      <x:c r="I409" s="74" t="n">
        <x:f>IF(E409="YES",H409,1-H409)</x:f>
        <x:v>0.08999999999999997</x:v>
      </x:c>
      <x:c r="J409" s="76" t="n">
        <x:f>Assumptions!$C$12+Assumptions!$C$11*F409</x:f>
        <x:v>0.003</x:v>
      </x:c>
      <x:c r="K409" s="76" t="n">
        <x:f>I409-F409-J409</x:f>
        <x:v>-0.793</x:v>
      </x:c>
      <x:c r="L409" s="74" t="n">
        <x:f>MAX(0,IFERROR(K409/(1-F409),0))</x:f>
        <x:v>0</x:v>
      </x:c>
      <x:c r="M409" s="74" t="n">
        <x:f>MIN(Assumptions!$C$8*L409,Assumptions!$C$5)</x:f>
        <x:v>0</x:v>
      </x:c>
      <x:c r="N409" s="78" t="n">
        <x:f>IF(ROW()=16,Assumptions!$C$4,V408)</x:f>
        <x:v>9886.630157011987</x:v>
      </x:c>
      <x:c r="O409" s="78" t="n">
        <x:f>IF(AND(K409&gt;IF(F409&gt;=Assumptions!$C$21,Assumptions!$C$10,Assumptions!$C$9),D409&gt;Assumptions!$C$23),N409*M409,0)</x:f>
        <x:v>0</x:v>
      </x:c>
      <x:c r="P409" s="78" t="n">
        <x:f>IFERROR(O409/F409,0)</x:f>
        <x:v>0</x:v>
      </x:c>
      <x:c r="Q409" s="78" t="n">
        <x:v>1</x:v>
      </x:c>
      <x:c r="R409" s="78" t="str">
        <x:v>Resolve</x:v>
      </x:c>
      <x:c r="S409" s="78" t="n">
        <x:f>IF(R409="Resolve",IF(IF(E409="YES",Q409,1-Q409)=1,P409*(1-F409),-O409),P409*(G409-F409))</x:f>
        <x:v>0</x:v>
      </x:c>
      <x:c r="T409" s="78" t="n">
        <x:f>P409*J409</x:f>
        <x:v>0</x:v>
      </x:c>
      <x:c r="U409" s="78" t="n">
        <x:f>S409-T409</x:f>
        <x:v>0</x:v>
      </x:c>
      <x:c r="V409" s="78" t="n">
        <x:f>N409+U409</x:f>
        <x:v>9886.630157011987</x:v>
      </x:c>
      <x:c r="W409" s="74" t="n">
        <x:f>IFERROR(V409/MAX($V$16:V409)-1,0)</x:f>
        <x:v>-0.021690683408783773</x:v>
      </x:c>
      <x:c r="X409" t="str">
        <x:f>IF(O409&gt;0,"TRADE","NO_TRADE")</x:f>
        <x:v>NO_TRADE</x:v>
      </x:c>
    </x:row>
    <x:row r="410">
      <x:c r="A410" s="66" t="n">
        <x:v>46167.52280092592</x:v>
      </x:c>
      <x:c r="B410" s="66" t="str">
        <x:v>MKT_1006</x:v>
      </x:c>
      <x:c r="C410" s="66" t="n">
        <x:v>46167.524305555555</x:v>
      </x:c>
      <x:c r="D410" t="n">
        <x:v>130</x:v>
      </x:c>
      <x:c r="E410" t="str">
        <x:v>YES</x:v>
      </x:c>
      <x:c r="F410" s="74" t="n">
        <x:v>0.94</x:v>
      </x:c>
      <x:c r="G410" s="74" t="n">
        <x:v>0.94</x:v>
      </x:c>
      <x:c r="H410" s="74" t="n">
        <x:v>0.98</x:v>
      </x:c>
      <x:c r="I410" s="74" t="n">
        <x:f>IF(E410="YES",H410,1-H410)</x:f>
        <x:v>0.98</x:v>
      </x:c>
      <x:c r="J410" s="76" t="n">
        <x:f>Assumptions!$C$12+Assumptions!$C$11*F410</x:f>
        <x:v>0.003</x:v>
      </x:c>
      <x:c r="K410" s="76" t="n">
        <x:f>I410-F410-J410</x:f>
        <x:v>0.03700000000000003</x:v>
      </x:c>
      <x:c r="L410" s="74" t="n">
        <x:f>MAX(0,IFERROR(K410/(1-F410),0))</x:f>
        <x:v>0.6166666666666667</x:v>
      </x:c>
      <x:c r="M410" s="74" t="n">
        <x:f>MIN(Assumptions!$C$8*L410,Assumptions!$C$5)</x:f>
        <x:v>0.005</x:v>
      </x:c>
      <x:c r="N410" s="78" t="n">
        <x:f>IF(ROW()=16,Assumptions!$C$4,V409)</x:f>
        <x:v>9886.630157011987</x:v>
      </x:c>
      <x:c r="O410" s="78" t="n">
        <x:f>IF(AND(K410&gt;IF(F410&gt;=Assumptions!$C$21,Assumptions!$C$10,Assumptions!$C$9),D410&gt;Assumptions!$C$23),N410*M410,0)</x:f>
        <x:v>49.43315078505994</x:v>
      </x:c>
      <x:c r="P410" s="78" t="n">
        <x:f>IFERROR(O410/F410,0)</x:f>
        <x:v>52.58845828197866</x:v>
      </x:c>
      <x:c r="Q410" s="78" t="n">
        <x:v>1</x:v>
      </x:c>
      <x:c r="R410" s="78" t="str">
        <x:v>Resolve</x:v>
      </x:c>
      <x:c r="S410" s="78" t="n">
        <x:f>IF(R410="Resolve",IF(IF(E410="YES",Q410,1-Q410)=1,P410*(1-F410),-O410),P410*(G410-F410))</x:f>
        <x:v>3.1553074969187223</x:v>
      </x:c>
      <x:c r="T410" s="78" t="n">
        <x:f>P410*J410</x:f>
        <x:v>0.15776537484593597</x:v>
      </x:c>
      <x:c r="U410" s="78" t="n">
        <x:f>S410-T410</x:f>
        <x:v>2.9975421220727863</x:v>
      </x:c>
      <x:c r="V410" s="78" t="n">
        <x:f>N410+U410</x:f>
        <x:v>9889.62769913406</x:v>
      </x:c>
      <x:c r="W410" s="74" t="n">
        <x:f>IFERROR(V410/MAX($V$16:V410)-1,0)</x:f>
        <x:v>-0.021394068350030104</x:v>
      </x:c>
      <x:c r="X410" t="str">
        <x:f>IF(O410&gt;0,"TRADE","NO_TRADE")</x:f>
        <x:v>TRADE</x:v>
      </x:c>
    </x:row>
    <x:row r="411">
      <x:c r="A411" s="66" t="n">
        <x:v>46167.5228587963</x:v>
      </x:c>
      <x:c r="B411" s="66" t="str">
        <x:v>MKT_1006</x:v>
      </x:c>
      <x:c r="C411" s="66" t="n">
        <x:v>46167.524305555555</x:v>
      </x:c>
      <x:c r="D411" t="n">
        <x:v>125</x:v>
      </x:c>
      <x:c r="E411" t="str">
        <x:v>YES</x:v>
      </x:c>
      <x:c r="F411" s="74" t="n">
        <x:v>0.95</x:v>
      </x:c>
      <x:c r="G411" s="74" t="n">
        <x:v>0.95</x:v>
      </x:c>
      <x:c r="H411" s="74" t="n">
        <x:v>0.968</x:v>
      </x:c>
      <x:c r="I411" s="74" t="n">
        <x:f>IF(E411="YES",H411,1-H411)</x:f>
        <x:v>0.968</x:v>
      </x:c>
      <x:c r="J411" s="76" t="n">
        <x:f>Assumptions!$C$12+Assumptions!$C$11*F411</x:f>
        <x:v>0.003</x:v>
      </x:c>
      <x:c r="K411" s="76" t="n">
        <x:f>I411-F411-J411</x:f>
        <x:v>0.015000000000000017</x:v>
      </x:c>
      <x:c r="L411" s="74" t="n">
        <x:f>MAX(0,IFERROR(K411/(1-F411),0))</x:f>
        <x:v>0.30000000000000004</x:v>
      </x:c>
      <x:c r="M411" s="74" t="n">
        <x:f>MIN(Assumptions!$C$8*L411,Assumptions!$C$5)</x:f>
        <x:v>0.005</x:v>
      </x:c>
      <x:c r="N411" s="78" t="n">
        <x:f>IF(ROW()=16,Assumptions!$C$4,V410)</x:f>
        <x:v>9889.62769913406</x:v>
      </x:c>
      <x:c r="O411" s="78" t="n">
        <x:f>IF(AND(K411&gt;IF(F411&gt;=Assumptions!$C$21,Assumptions!$C$10,Assumptions!$C$9),D411&gt;Assumptions!$C$23),N411*M411,0)</x:f>
        <x:v>49.4481384956703</x:v>
      </x:c>
      <x:c r="P411" s="78" t="n">
        <x:f>IFERROR(O411/F411,0)</x:f>
        <x:v>52.05067210070558</x:v>
      </x:c>
      <x:c r="Q411" s="78" t="n">
        <x:v>0</x:v>
      </x:c>
      <x:c r="R411" s="78" t="str">
        <x:v>Resolve</x:v>
      </x:c>
      <x:c r="S411" s="78" t="n">
        <x:f>IF(R411="Resolve",IF(IF(E411="YES",Q411,1-Q411)=1,P411*(1-F411),-O411),P411*(G411-F411))</x:f>
        <x:v>-49.4481384956703</x:v>
      </x:c>
      <x:c r="T411" s="78" t="n">
        <x:f>P411*J411</x:f>
        <x:v>0.15615201630211675</x:v>
      </x:c>
      <x:c r="U411" s="78" t="n">
        <x:f>S411-T411</x:f>
        <x:v>-49.604290511972415</x:v>
      </x:c>
      <x:c r="V411" s="78" t="n">
        <x:f>N411+U411</x:f>
        <x:v>9840.023408622088</x:v>
      </x:c>
      <x:c r="W411" s="74" t="n">
        <x:f>IFERROR(V411/MAX($V$16:V411)-1,0)</x:f>
        <x:v>-0.026302549680884857</x:v>
      </x:c>
      <x:c r="X411" t="str">
        <x:f>IF(O411&gt;0,"TRADE","NO_TRADE")</x:f>
        <x:v>TRADE</x:v>
      </x:c>
    </x:row>
    <x:row r="412">
      <x:c r="A412" s="66" t="n">
        <x:v>46167.52291666667</x:v>
      </x:c>
      <x:c r="B412" s="66" t="str">
        <x:v>MKT_1006</x:v>
      </x:c>
      <x:c r="C412" s="66" t="n">
        <x:v>46167.524305555555</x:v>
      </x:c>
      <x:c r="D412" t="n">
        <x:v>120</x:v>
      </x:c>
      <x:c r="E412" t="str">
        <x:v>NO</x:v>
      </x:c>
      <x:c r="F412" s="74" t="n">
        <x:v>0.57</x:v>
      </x:c>
      <x:c r="G412" s="74" t="n">
        <x:v>0.57</x:v>
      </x:c>
      <x:c r="H412" s="74" t="n">
        <x:v>0.582</x:v>
      </x:c>
      <x:c r="I412" s="74" t="n">
        <x:f>IF(E412="YES",H412,1-H412)</x:f>
        <x:v>0.41800000000000004</x:v>
      </x:c>
      <x:c r="J412" s="76" t="n">
        <x:f>Assumptions!$C$12+Assumptions!$C$11*F412</x:f>
        <x:v>0.003</x:v>
      </x:c>
      <x:c r="K412" s="76" t="n">
        <x:f>I412-F412-J412</x:f>
        <x:v>-0.15499999999999992</x:v>
      </x:c>
      <x:c r="L412" s="74" t="n">
        <x:f>MAX(0,IFERROR(K412/(1-F412),0))</x:f>
        <x:v>0</x:v>
      </x:c>
      <x:c r="M412" s="74" t="n">
        <x:f>MIN(Assumptions!$C$8*L412,Assumptions!$C$5)</x:f>
        <x:v>0</x:v>
      </x:c>
      <x:c r="N412" s="78" t="n">
        <x:f>IF(ROW()=16,Assumptions!$C$4,V411)</x:f>
        <x:v>9840.023408622088</x:v>
      </x:c>
      <x:c r="O412" s="78" t="n">
        <x:f>IF(AND(K412&gt;IF(F412&gt;=Assumptions!$C$21,Assumptions!$C$10,Assumptions!$C$9),D412&gt;Assumptions!$C$23),N412*M412,0)</x:f>
        <x:v>0</x:v>
      </x:c>
      <x:c r="P412" s="78" t="n">
        <x:f>IFERROR(O412/F412,0)</x:f>
        <x:v>0</x:v>
      </x:c>
      <x:c r="Q412" s="78" t="n">
        <x:v>1</x:v>
      </x:c>
      <x:c r="R412" s="78" t="str">
        <x:v>Resolve</x:v>
      </x:c>
      <x:c r="S412" s="78" t="n">
        <x:f>IF(R412="Resolve",IF(IF(E412="YES",Q412,1-Q412)=1,P412*(1-F412),-O412),P412*(G412-F412))</x:f>
        <x:v>0</x:v>
      </x:c>
      <x:c r="T412" s="78" t="n">
        <x:f>P412*J412</x:f>
        <x:v>0</x:v>
      </x:c>
      <x:c r="U412" s="78" t="n">
        <x:f>S412-T412</x:f>
        <x:v>0</x:v>
      </x:c>
      <x:c r="V412" s="78" t="n">
        <x:f>N412+U412</x:f>
        <x:v>9840.023408622088</x:v>
      </x:c>
      <x:c r="W412" s="74" t="n">
        <x:f>IFERROR(V412/MAX($V$16:V412)-1,0)</x:f>
        <x:v>-0.026302549680884857</x:v>
      </x:c>
      <x:c r="X412" t="str">
        <x:f>IF(O412&gt;0,"TRADE","NO_TRADE")</x:f>
        <x:v>NO_TRADE</x:v>
      </x:c>
    </x:row>
    <x:row r="413">
      <x:c r="A413" s="66" t="n">
        <x:v>46167.52297453704</x:v>
      </x:c>
      <x:c r="B413" s="66" t="str">
        <x:v>MKT_1006</x:v>
      </x:c>
      <x:c r="C413" s="66" t="n">
        <x:v>46167.524305555555</x:v>
      </x:c>
      <x:c r="D413" t="n">
        <x:v>115</x:v>
      </x:c>
      <x:c r="E413" t="str">
        <x:v>YES</x:v>
      </x:c>
      <x:c r="F413" s="74" t="n">
        <x:v>0.68</x:v>
      </x:c>
      <x:c r="G413" s="74" t="n">
        <x:v>0.68</x:v>
      </x:c>
      <x:c r="H413" s="74" t="n">
        <x:v>0.7050000000000001</x:v>
      </x:c>
      <x:c r="I413" s="74" t="n">
        <x:f>IF(E413="YES",H413,1-H413)</x:f>
        <x:v>0.7050000000000001</x:v>
      </x:c>
      <x:c r="J413" s="76" t="n">
        <x:f>Assumptions!$C$12+Assumptions!$C$11*F413</x:f>
        <x:v>0.003</x:v>
      </x:c>
      <x:c r="K413" s="76" t="n">
        <x:f>I413-F413-J413</x:f>
        <x:v>0.022000000000000023</x:v>
      </x:c>
      <x:c r="L413" s="74" t="n">
        <x:f>MAX(0,IFERROR(K413/(1-F413),0))</x:f>
        <x:v>0.06875000000000009</x:v>
      </x:c>
      <x:c r="M413" s="74" t="n">
        <x:f>MIN(Assumptions!$C$8*L413,Assumptions!$C$5)</x:f>
        <x:v>0.005</x:v>
      </x:c>
      <x:c r="N413" s="78" t="n">
        <x:f>IF(ROW()=16,Assumptions!$C$4,V412)</x:f>
        <x:v>9840.023408622088</x:v>
      </x:c>
      <x:c r="O413" s="78" t="n">
        <x:f>IF(AND(K413&gt;IF(F413&gt;=Assumptions!$C$21,Assumptions!$C$10,Assumptions!$C$9),D413&gt;Assumptions!$C$23),N413*M413,0)</x:f>
        <x:v>49.20011704311044</x:v>
      </x:c>
      <x:c r="P413" s="78" t="n">
        <x:f>IFERROR(O413/F413,0)</x:f>
        <x:v>72.35311329869181</x:v>
      </x:c>
      <x:c r="Q413" s="78" t="n">
        <x:v>1</x:v>
      </x:c>
      <x:c r="R413" s="78" t="str">
        <x:v>Resolve</x:v>
      </x:c>
      <x:c r="S413" s="78" t="n">
        <x:f>IF(R413="Resolve",IF(IF(E413="YES",Q413,1-Q413)=1,P413*(1-F413),-O413),P413*(G413-F413))</x:f>
        <x:v>23.152996255581375</x:v>
      </x:c>
      <x:c r="T413" s="78" t="n">
        <x:f>P413*J413</x:f>
        <x:v>0.21705933989607543</x:v>
      </x:c>
      <x:c r="U413" s="78" t="n">
        <x:f>S413-T413</x:f>
        <x:v>22.9359369156853</x:v>
      </x:c>
      <x:c r="V413" s="78" t="n">
        <x:f>N413+U413</x:f>
        <x:v>9862.959345537773</x:v>
      </x:c>
      <x:c r="W413" s="74" t="n">
        <x:f>IFERROR(V413/MAX($V$16:V413)-1,0)</x:f>
        <x:v>-0.024032975476832252</x:v>
      </x:c>
      <x:c r="X413" t="str">
        <x:f>IF(O413&gt;0,"TRADE","NO_TRADE")</x:f>
        <x:v>TRADE</x:v>
      </x:c>
    </x:row>
    <x:row r="414">
      <x:c r="A414" s="66" t="n">
        <x:v>46167.52303240741</x:v>
      </x:c>
      <x:c r="B414" s="66" t="str">
        <x:v>MKT_1006</x:v>
      </x:c>
      <x:c r="C414" s="66" t="n">
        <x:v>46167.524305555555</x:v>
      </x:c>
      <x:c r="D414" t="n">
        <x:v>110</x:v>
      </x:c>
      <x:c r="E414" t="str">
        <x:v>YES</x:v>
      </x:c>
      <x:c r="F414" s="74" t="n">
        <x:v>0.91</x:v>
      </x:c>
      <x:c r="G414" s="74" t="n">
        <x:v>0.91</x:v>
      </x:c>
      <x:c r="H414" s="74" t="n">
        <x:v>0.9450000000000001</x:v>
      </x:c>
      <x:c r="I414" s="74" t="n">
        <x:f>IF(E414="YES",H414,1-H414)</x:f>
        <x:v>0.9450000000000001</x:v>
      </x:c>
      <x:c r="J414" s="76" t="n">
        <x:f>Assumptions!$C$12+Assumptions!$C$11*F414</x:f>
        <x:v>0.003</x:v>
      </x:c>
      <x:c r="K414" s="76" t="n">
        <x:f>I414-F414-J414</x:f>
        <x:v>0.03200000000000003</x:v>
      </x:c>
      <x:c r="L414" s="74" t="n">
        <x:f>MAX(0,IFERROR(K414/(1-F414),0))</x:f>
        <x:v>0.355555555555556</x:v>
      </x:c>
      <x:c r="M414" s="74" t="n">
        <x:f>MIN(Assumptions!$C$8*L414,Assumptions!$C$5)</x:f>
        <x:v>0.005</x:v>
      </x:c>
      <x:c r="N414" s="78" t="n">
        <x:f>IF(ROW()=16,Assumptions!$C$4,V413)</x:f>
        <x:v>9862.959345537773</x:v>
      </x:c>
      <x:c r="O414" s="78" t="n">
        <x:f>IF(AND(K414&gt;IF(F414&gt;=Assumptions!$C$21,Assumptions!$C$10,Assumptions!$C$9),D414&gt;Assumptions!$C$23),N414*M414,0)</x:f>
        <x:v>49.314796727688865</x:v>
      </x:c>
      <x:c r="P414" s="78" t="n">
        <x:f>IFERROR(O414/F414,0)</x:f>
        <x:v>54.19208431614161</x:v>
      </x:c>
      <x:c r="Q414" s="78" t="n">
        <x:v>1</x:v>
      </x:c>
      <x:c r="R414" s="78" t="str">
        <x:v>Resolve</x:v>
      </x:c>
      <x:c r="S414" s="78" t="n">
        <x:f>IF(R414="Resolve",IF(IF(E414="YES",Q414,1-Q414)=1,P414*(1-F414),-O414),P414*(G414-F414))</x:f>
        <x:v>4.877287588452743</x:v>
      </x:c>
      <x:c r="T414" s="78" t="n">
        <x:f>P414*J414</x:f>
        <x:v>0.16257625294842484</x:v>
      </x:c>
      <x:c r="U414" s="78" t="n">
        <x:f>S414-T414</x:f>
        <x:v>4.714711335504319</x:v>
      </x:c>
      <x:c r="V414" s="78" t="n">
        <x:f>N414+U414</x:f>
        <x:v>9867.674056873277</x:v>
      </x:c>
      <x:c r="W414" s="74" t="n">
        <x:f>IFERROR(V414/MAX($V$16:V414)-1,0)</x:f>
        <x:v>-0.023566441789285575</x:v>
      </x:c>
      <x:c r="X414" t="str">
        <x:f>IF(O414&gt;0,"TRADE","NO_TRADE")</x:f>
        <x:v>TRADE</x:v>
      </x:c>
    </x:row>
    <x:row r="415">
      <x:c r="A415" s="66" t="n">
        <x:v>46167.52309027778</x:v>
      </x:c>
      <x:c r="B415" s="66" t="str">
        <x:v>MKT_1006</x:v>
      </x:c>
      <x:c r="C415" s="66" t="n">
        <x:v>46167.524305555555</x:v>
      </x:c>
      <x:c r="D415" t="n">
        <x:v>105</x:v>
      </x:c>
      <x:c r="E415" t="str">
        <x:v>NO</x:v>
      </x:c>
      <x:c r="F415" s="74" t="n">
        <x:v>0.83</x:v>
      </x:c>
      <x:c r="G415" s="74" t="n">
        <x:v>0.83</x:v>
      </x:c>
      <x:c r="H415" s="74" t="n">
        <x:v>0.82</x:v>
      </x:c>
      <x:c r="I415" s="74" t="n">
        <x:f>IF(E415="YES",H415,1-H415)</x:f>
        <x:v>0.18000000000000005</x:v>
      </x:c>
      <x:c r="J415" s="76" t="n">
        <x:f>Assumptions!$C$12+Assumptions!$C$11*F415</x:f>
        <x:v>0.003</x:v>
      </x:c>
      <x:c r="K415" s="76" t="n">
        <x:f>I415-F415-J415</x:f>
        <x:v>-0.6529999999999999</x:v>
      </x:c>
      <x:c r="L415" s="74" t="n">
        <x:f>MAX(0,IFERROR(K415/(1-F415),0))</x:f>
        <x:v>0</x:v>
      </x:c>
      <x:c r="M415" s="74" t="n">
        <x:f>MIN(Assumptions!$C$8*L415,Assumptions!$C$5)</x:f>
        <x:v>0</x:v>
      </x:c>
      <x:c r="N415" s="78" t="n">
        <x:f>IF(ROW()=16,Assumptions!$C$4,V414)</x:f>
        <x:v>9867.674056873277</x:v>
      </x:c>
      <x:c r="O415" s="78" t="n">
        <x:f>IF(AND(K415&gt;IF(F415&gt;=Assumptions!$C$21,Assumptions!$C$10,Assumptions!$C$9),D415&gt;Assumptions!$C$23),N415*M415,0)</x:f>
        <x:v>0</x:v>
      </x:c>
      <x:c r="P415" s="78" t="n">
        <x:f>IFERROR(O415/F415,0)</x:f>
        <x:v>0</x:v>
      </x:c>
      <x:c r="Q415" s="78" t="n">
        <x:v>0</x:v>
      </x:c>
      <x:c r="R415" s="78" t="str">
        <x:v>Resolve</x:v>
      </x:c>
      <x:c r="S415" s="78" t="n">
        <x:f>IF(R415="Resolve",IF(IF(E415="YES",Q415,1-Q415)=1,P415*(1-F415),-O415),P415*(G415-F415))</x:f>
        <x:v>0</x:v>
      </x:c>
      <x:c r="T415" s="78" t="n">
        <x:f>P415*J415</x:f>
        <x:v>0</x:v>
      </x:c>
      <x:c r="U415" s="78" t="n">
        <x:f>S415-T415</x:f>
        <x:v>0</x:v>
      </x:c>
      <x:c r="V415" s="78" t="n">
        <x:f>N415+U415</x:f>
        <x:v>9867.674056873277</x:v>
      </x:c>
      <x:c r="W415" s="74" t="n">
        <x:f>IFERROR(V415/MAX($V$16:V415)-1,0)</x:f>
        <x:v>-0.023566441789285575</x:v>
      </x:c>
      <x:c r="X415" t="str">
        <x:f>IF(O415&gt;0,"TRADE","NO_TRADE")</x:f>
        <x:v>NO_TRADE</x:v>
      </x:c>
    </x:row>
    <x:row r="416">
      <x:c r="A416" s="66" t="n">
        <x:v>46167.523148148146</x:v>
      </x:c>
      <x:c r="B416" s="66" t="str">
        <x:v>MKT_1006</x:v>
      </x:c>
      <x:c r="C416" s="66" t="n">
        <x:v>46167.524305555555</x:v>
      </x:c>
      <x:c r="D416" t="n">
        <x:v>100</x:v>
      </x:c>
      <x:c r="E416" t="str">
        <x:v>YES</x:v>
      </x:c>
      <x:c r="F416" s="74" t="n">
        <x:v>0.52</x:v>
      </x:c>
      <x:c r="G416" s="74" t="n">
        <x:v>0.52</x:v>
      </x:c>
      <x:c r="H416" s="74" t="n">
        <x:v>0.535</x:v>
      </x:c>
      <x:c r="I416" s="74" t="n">
        <x:f>IF(E416="YES",H416,1-H416)</x:f>
        <x:v>0.535</x:v>
      </x:c>
      <x:c r="J416" s="76" t="n">
        <x:f>Assumptions!$C$12+Assumptions!$C$11*F416</x:f>
        <x:v>0.003</x:v>
      </x:c>
      <x:c r="K416" s="76" t="n">
        <x:f>I416-F416-J416</x:f>
        <x:v>0.012000000000000014</x:v>
      </x:c>
      <x:c r="L416" s="74" t="n">
        <x:f>MAX(0,IFERROR(K416/(1-F416),0))</x:f>
        <x:v>0.02500000000000003</x:v>
      </x:c>
      <x:c r="M416" s="74" t="n">
        <x:f>MIN(Assumptions!$C$8*L416,Assumptions!$C$5)</x:f>
        <x:v>0.005</x:v>
      </x:c>
      <x:c r="N416" s="78" t="n">
        <x:f>IF(ROW()=16,Assumptions!$C$4,V415)</x:f>
        <x:v>9867.674056873277</x:v>
      </x:c>
      <x:c r="O416" s="78" t="n">
        <x:f>IF(AND(K416&gt;IF(F416&gt;=Assumptions!$C$21,Assumptions!$C$10,Assumptions!$C$9),D416&gt;Assumptions!$C$23),N416*M416,0)</x:f>
        <x:v>49.338370284366384</x:v>
      </x:c>
      <x:c r="P416" s="78" t="n">
        <x:f>IFERROR(O416/F416,0)</x:f>
        <x:v>94.8814813160892</x:v>
      </x:c>
      <x:c r="Q416" s="78" t="n">
        <x:v>1</x:v>
      </x:c>
      <x:c r="R416" s="78" t="str">
        <x:v>Resolve</x:v>
      </x:c>
      <x:c r="S416" s="78" t="n">
        <x:f>IF(R416="Resolve",IF(IF(E416="YES",Q416,1-Q416)=1,P416*(1-F416),-O416),P416*(G416-F416))</x:f>
        <x:v>45.54311103172281</x:v>
      </x:c>
      <x:c r="T416" s="78" t="n">
        <x:f>P416*J416</x:f>
        <x:v>0.2846444439482676</x:v>
      </x:c>
      <x:c r="U416" s="78" t="n">
        <x:f>S416-T416</x:f>
        <x:v>45.25846658777454</x:v>
      </x:c>
      <x:c r="V416" s="78" t="n">
        <x:f>N416+U416</x:f>
        <x:v>9912.932523461051</x:v>
      </x:c>
      <x:c r="W416" s="74" t="n">
        <x:f>IFERROR(V416/MAX($V$16:V416)-1,0)</x:f>
        <x:v>-0.01908799171941522</x:v>
      </x:c>
      <x:c r="X416" t="str">
        <x:f>IF(O416&gt;0,"TRADE","NO_TRADE")</x:f>
        <x:v>TRADE</x:v>
      </x:c>
    </x:row>
    <x:row r="417">
      <x:c r="A417" s="66" t="n">
        <x:v>46167.523206018515</x:v>
      </x:c>
      <x:c r="B417" s="66" t="str">
        <x:v>MKT_1006</x:v>
      </x:c>
      <x:c r="C417" s="66" t="n">
        <x:v>46167.524305555555</x:v>
      </x:c>
      <x:c r="D417" t="n">
        <x:v>95</x:v>
      </x:c>
      <x:c r="E417" t="str">
        <x:v>YES</x:v>
      </x:c>
      <x:c r="F417" s="74" t="n">
        <x:v>0.61</x:v>
      </x:c>
      <x:c r="G417" s="74" t="n">
        <x:v>0.61</x:v>
      </x:c>
      <x:c r="H417" s="74" t="n">
        <x:v>0.63</x:v>
      </x:c>
      <x:c r="I417" s="74" t="n">
        <x:f>IF(E417="YES",H417,1-H417)</x:f>
        <x:v>0.63</x:v>
      </x:c>
      <x:c r="J417" s="76" t="n">
        <x:f>Assumptions!$C$12+Assumptions!$C$11*F417</x:f>
        <x:v>0.003</x:v>
      </x:c>
      <x:c r="K417" s="76" t="n">
        <x:f>I417-F417-J417</x:f>
        <x:v>0.01700000000000002</x:v>
      </x:c>
      <x:c r="L417" s="74" t="n">
        <x:f>MAX(0,IFERROR(K417/(1-F417),0))</x:f>
        <x:v>0.043589743589743636</x:v>
      </x:c>
      <x:c r="M417" s="74" t="n">
        <x:f>MIN(Assumptions!$C$8*L417,Assumptions!$C$5)</x:f>
        <x:v>0.005</x:v>
      </x:c>
      <x:c r="N417" s="78" t="n">
        <x:f>IF(ROW()=16,Assumptions!$C$4,V416)</x:f>
        <x:v>9912.932523461051</x:v>
      </x:c>
      <x:c r="O417" s="78" t="n">
        <x:f>IF(AND(K417&gt;IF(F417&gt;=Assumptions!$C$21,Assumptions!$C$10,Assumptions!$C$9),D417&gt;Assumptions!$C$23),N417*M417,0)</x:f>
        <x:v>49.56466261730526</x:v>
      </x:c>
      <x:c r="P417" s="78" t="n">
        <x:f>IFERROR(O417/F417,0)</x:f>
        <x:v>81.25354527427092</x:v>
      </x:c>
      <x:c r="Q417" s="78" t="n">
        <x:v>1</x:v>
      </x:c>
      <x:c r="R417" s="78" t="str">
        <x:v>Resolve</x:v>
      </x:c>
      <x:c r="S417" s="78" t="n">
        <x:f>IF(R417="Resolve",IF(IF(E417="YES",Q417,1-Q417)=1,P417*(1-F417),-O417),P417*(G417-F417))</x:f>
        <x:v>31.68888265696566</x:v>
      </x:c>
      <x:c r="T417" s="78" t="n">
        <x:f>P417*J417</x:f>
        <x:v>0.24376063582281277</x:v>
      </x:c>
      <x:c r="U417" s="78" t="n">
        <x:f>S417-T417</x:f>
        <x:v>31.445122021142847</x:v>
      </x:c>
      <x:c r="V417" s="78" t="n">
        <x:f>N417+U417</x:f>
        <x:v>9944.377645482195</x:v>
      </x:c>
      <x:c r="W417" s="74" t="n">
        <x:f>IFERROR(V417/MAX($V$16:V417)-1,0)</x:f>
        <x:v>-0.01597641018495133</x:v>
      </x:c>
      <x:c r="X417" t="str">
        <x:f>IF(O417&gt;0,"TRADE","NO_TRADE")</x:f>
        <x:v>TRADE</x:v>
      </x:c>
    </x:row>
    <x:row r="418">
      <x:c r="A418" s="66" t="n">
        <x:v>46167.52326388889</x:v>
      </x:c>
      <x:c r="B418" s="66" t="str">
        <x:v>MKT_1006</x:v>
      </x:c>
      <x:c r="C418" s="66" t="n">
        <x:v>46167.524305555555</x:v>
      </x:c>
      <x:c r="D418" t="n">
        <x:v>90</x:v>
      </x:c>
      <x:c r="E418" t="str">
        <x:v>NO</x:v>
      </x:c>
      <x:c r="F418" s="74" t="n">
        <x:v>0.74</x:v>
      </x:c>
      <x:c r="G418" s="74" t="n">
        <x:v>0.74</x:v>
      </x:c>
      <x:c r="H418" s="74" t="n">
        <x:v>0.735</x:v>
      </x:c>
      <x:c r="I418" s="74" t="n">
        <x:f>IF(E418="YES",H418,1-H418)</x:f>
        <x:v>0.265</x:v>
      </x:c>
      <x:c r="J418" s="76" t="n">
        <x:f>Assumptions!$C$12+Assumptions!$C$11*F418</x:f>
        <x:v>0.003</x:v>
      </x:c>
      <x:c r="K418" s="76" t="n">
        <x:f>I418-F418-J418</x:f>
        <x:v>-0.478</x:v>
      </x:c>
      <x:c r="L418" s="74" t="n">
        <x:f>MAX(0,IFERROR(K418/(1-F418),0))</x:f>
        <x:v>0</x:v>
      </x:c>
      <x:c r="M418" s="74" t="n">
        <x:f>MIN(Assumptions!$C$8*L418,Assumptions!$C$5)</x:f>
        <x:v>0</x:v>
      </x:c>
      <x:c r="N418" s="78" t="n">
        <x:f>IF(ROW()=16,Assumptions!$C$4,V417)</x:f>
        <x:v>9944.377645482195</x:v>
      </x:c>
      <x:c r="O418" s="78" t="n">
        <x:f>IF(AND(K418&gt;IF(F418&gt;=Assumptions!$C$21,Assumptions!$C$10,Assumptions!$C$9),D418&gt;Assumptions!$C$23),N418*M418,0)</x:f>
        <x:v>0</x:v>
      </x:c>
      <x:c r="P418" s="78" t="n">
        <x:f>IFERROR(O418/F418,0)</x:f>
        <x:v>0</x:v>
      </x:c>
      <x:c r="Q418" s="78" t="n">
        <x:v>0</x:v>
      </x:c>
      <x:c r="R418" s="78" t="str">
        <x:v>Resolve</x:v>
      </x:c>
      <x:c r="S418" s="78" t="n">
        <x:f>IF(R418="Resolve",IF(IF(E418="YES",Q418,1-Q418)=1,P418*(1-F418),-O418),P418*(G418-F418))</x:f>
        <x:v>0</x:v>
      </x:c>
      <x:c r="T418" s="78" t="n">
        <x:f>P418*J418</x:f>
        <x:v>0</x:v>
      </x:c>
      <x:c r="U418" s="78" t="n">
        <x:f>S418-T418</x:f>
        <x:v>0</x:v>
      </x:c>
      <x:c r="V418" s="78" t="n">
        <x:f>N418+U418</x:f>
        <x:v>9944.377645482195</x:v>
      </x:c>
      <x:c r="W418" s="74" t="n">
        <x:f>IFERROR(V418/MAX($V$16:V418)-1,0)</x:f>
        <x:v>-0.01597641018495133</x:v>
      </x:c>
      <x:c r="X418" t="str">
        <x:f>IF(O418&gt;0,"TRADE","NO_TRADE")</x:f>
        <x:v>NO_TRADE</x:v>
      </x:c>
    </x:row>
    <x:row r="419">
      <x:c r="A419" s="66" t="n">
        <x:v>46167.52332175926</x:v>
      </x:c>
      <x:c r="B419" s="66" t="str">
        <x:v>MKT_1006</x:v>
      </x:c>
      <x:c r="C419" s="66" t="n">
        <x:v>46167.524305555555</x:v>
      </x:c>
      <x:c r="D419" t="n">
        <x:v>85</x:v>
      </x:c>
      <x:c r="E419" t="str">
        <x:v>YES</x:v>
      </x:c>
      <x:c r="F419" s="74" t="n">
        <x:v>0.88</x:v>
      </x:c>
      <x:c r="G419" s="74" t="n">
        <x:v>0.88</x:v>
      </x:c>
      <x:c r="H419" s="74" t="n">
        <x:v>0.91</x:v>
      </x:c>
      <x:c r="I419" s="74" t="n">
        <x:f>IF(E419="YES",H419,1-H419)</x:f>
        <x:v>0.91</x:v>
      </x:c>
      <x:c r="J419" s="76" t="n">
        <x:f>Assumptions!$C$12+Assumptions!$C$11*F419</x:f>
        <x:v>0.003</x:v>
      </x:c>
      <x:c r="K419" s="76" t="n">
        <x:f>I419-F419-J419</x:f>
        <x:v>0.027000000000000027</x:v>
      </x:c>
      <x:c r="L419" s="74" t="n">
        <x:f>MAX(0,IFERROR(K419/(1-F419),0))</x:f>
        <x:v>0.22500000000000023</x:v>
      </x:c>
      <x:c r="M419" s="74" t="n">
        <x:f>MIN(Assumptions!$C$8*L419,Assumptions!$C$5)</x:f>
        <x:v>0.005</x:v>
      </x:c>
      <x:c r="N419" s="78" t="n">
        <x:f>IF(ROW()=16,Assumptions!$C$4,V418)</x:f>
        <x:v>9944.377645482195</x:v>
      </x:c>
      <x:c r="O419" s="78" t="n">
        <x:f>IF(AND(K419&gt;IF(F419&gt;=Assumptions!$C$21,Assumptions!$C$10,Assumptions!$C$9),D419&gt;Assumptions!$C$23),N419*M419,0)</x:f>
        <x:v>49.72188822741097</x:v>
      </x:c>
      <x:c r="P419" s="78" t="n">
        <x:f>IFERROR(O419/F419,0)</x:f>
        <x:v>56.502145712967014</x:v>
      </x:c>
      <x:c r="Q419" s="78" t="n">
        <x:v>1</x:v>
      </x:c>
      <x:c r="R419" s="78" t="str">
        <x:v>Resolve</x:v>
      </x:c>
      <x:c r="S419" s="78" t="n">
        <x:f>IF(R419="Resolve",IF(IF(E419="YES",Q419,1-Q419)=1,P419*(1-F419),-O419),P419*(G419-F419))</x:f>
        <x:v>6.780257485556041</x:v>
      </x:c>
      <x:c r="T419" s="78" t="n">
        <x:f>P419*J419</x:f>
        <x:v>0.16950643713890104</x:v>
      </x:c>
      <x:c r="U419" s="78" t="n">
        <x:f>S419-T419</x:f>
        <x:v>6.61075104841714</x:v>
      </x:c>
      <x:c r="V419" s="78" t="n">
        <x:f>N419+U419</x:f>
        <x:v>9950.988396530613</x:v>
      </x:c>
      <x:c r="W419" s="74" t="n">
        <x:f>IFERROR(V419/MAX($V$16:V419)-1,0)</x:f>
        <x:v>-0.015322258139449207</x:v>
      </x:c>
      <x:c r="X419" t="str">
        <x:f>IF(O419&gt;0,"TRADE","NO_TRADE")</x:f>
        <x:v>TRADE</x:v>
      </x:c>
    </x:row>
    <x:row r="420">
      <x:c r="A420" s="66" t="n">
        <x:v>46167.52337962963</x:v>
      </x:c>
      <x:c r="B420" s="66" t="str">
        <x:v>MKT_1006</x:v>
      </x:c>
      <x:c r="C420" s="66" t="n">
        <x:v>46167.524305555555</x:v>
      </x:c>
      <x:c r="D420" t="n">
        <x:v>80</x:v>
      </x:c>
      <x:c r="E420" t="str">
        <x:v>YES</x:v>
      </x:c>
      <x:c r="F420" s="74" t="n">
        <x:v>0.94</x:v>
      </x:c>
      <x:c r="G420" s="74" t="n">
        <x:v>0.94</x:v>
      </x:c>
      <x:c r="H420" s="74" t="n">
        <x:v>0.98</x:v>
      </x:c>
      <x:c r="I420" s="74" t="n">
        <x:f>IF(E420="YES",H420,1-H420)</x:f>
        <x:v>0.98</x:v>
      </x:c>
      <x:c r="J420" s="76" t="n">
        <x:f>Assumptions!$C$12+Assumptions!$C$11*F420</x:f>
        <x:v>0.003</x:v>
      </x:c>
      <x:c r="K420" s="76" t="n">
        <x:f>I420-F420-J420</x:f>
        <x:v>0.03700000000000003</x:v>
      </x:c>
      <x:c r="L420" s="74" t="n">
        <x:f>MAX(0,IFERROR(K420/(1-F420),0))</x:f>
        <x:v>0.6166666666666667</x:v>
      </x:c>
      <x:c r="M420" s="74" t="n">
        <x:f>MIN(Assumptions!$C$8*L420,Assumptions!$C$5)</x:f>
        <x:v>0.005</x:v>
      </x:c>
      <x:c r="N420" s="78" t="n">
        <x:f>IF(ROW()=16,Assumptions!$C$4,V419)</x:f>
        <x:v>9950.988396530613</x:v>
      </x:c>
      <x:c r="O420" s="78" t="n">
        <x:f>IF(AND(K420&gt;IF(F420&gt;=Assumptions!$C$21,Assumptions!$C$10,Assumptions!$C$9),D420&gt;Assumptions!$C$23),N420*M420,0)</x:f>
        <x:v>49.754941982653065</x:v>
      </x:c>
      <x:c r="P420" s="78" t="n">
        <x:f>IFERROR(O420/F420,0)</x:f>
        <x:v>52.930789343247945</x:v>
      </x:c>
      <x:c r="Q420" s="78" t="n">
        <x:v>1</x:v>
      </x:c>
      <x:c r="R420" s="78" t="str">
        <x:v>Resolve</x:v>
      </x:c>
      <x:c r="S420" s="78" t="n">
        <x:f>IF(R420="Resolve",IF(IF(E420="YES",Q420,1-Q420)=1,P420*(1-F420),-O420),P420*(G420-F420))</x:f>
        <x:v>3.1758473605948794</x:v>
      </x:c>
      <x:c r="T420" s="78" t="n">
        <x:f>P420*J420</x:f>
        <x:v>0.15879236802974384</x:v>
      </x:c>
      <x:c r="U420" s="78" t="n">
        <x:f>S420-T420</x:f>
        <x:v>3.0170549925651358</x:v>
      </x:c>
      <x:c r="V420" s="78" t="n">
        <x:f>N420+U420</x:f>
        <x:v>9954.005451523179</x:v>
      </x:c>
      <x:c r="W420" s="74" t="n">
        <x:f>IFERROR(V420/MAX($V$16:V420)-1,0)</x:f>
        <x:v>-0.015023712228353081</x:v>
      </x:c>
      <x:c r="X420" t="str">
        <x:f>IF(O420&gt;0,"TRADE","NO_TRADE")</x:f>
        <x:v>TRADE</x:v>
      </x:c>
    </x:row>
    <x:row r="421">
      <x:c r="A421" s="66" t="n">
        <x:v>46167.5234375</x:v>
      </x:c>
      <x:c r="B421" s="66" t="str">
        <x:v>MKT_1006</x:v>
      </x:c>
      <x:c r="C421" s="66" t="n">
        <x:v>46167.524305555555</x:v>
      </x:c>
      <x:c r="D421" t="n">
        <x:v>75</x:v>
      </x:c>
      <x:c r="E421" t="str">
        <x:v>NO</x:v>
      </x:c>
      <x:c r="F421" s="74" t="n">
        <x:v>0.95</x:v>
      </x:c>
      <x:c r="G421" s="74" t="n">
        <x:v>0.95</x:v>
      </x:c>
      <x:c r="H421" s="74" t="n">
        <x:v>0.968</x:v>
      </x:c>
      <x:c r="I421" s="74" t="n">
        <x:f>IF(E421="YES",H421,1-H421)</x:f>
        <x:v>0.03200000000000003</x:v>
      </x:c>
      <x:c r="J421" s="76" t="n">
        <x:f>Assumptions!$C$12+Assumptions!$C$11*F421</x:f>
        <x:v>0.003</x:v>
      </x:c>
      <x:c r="K421" s="76" t="n">
        <x:f>I421-F421-J421</x:f>
        <x:v>-0.9209999999999999</x:v>
      </x:c>
      <x:c r="L421" s="74" t="n">
        <x:f>MAX(0,IFERROR(K421/(1-F421),0))</x:f>
        <x:v>0</x:v>
      </x:c>
      <x:c r="M421" s="74" t="n">
        <x:f>MIN(Assumptions!$C$8*L421,Assumptions!$C$5)</x:f>
        <x:v>0</x:v>
      </x:c>
      <x:c r="N421" s="78" t="n">
        <x:f>IF(ROW()=16,Assumptions!$C$4,V420)</x:f>
        <x:v>9954.005451523179</x:v>
      </x:c>
      <x:c r="O421" s="78" t="n">
        <x:f>IF(AND(K421&gt;IF(F421&gt;=Assumptions!$C$21,Assumptions!$C$10,Assumptions!$C$9),D421&gt;Assumptions!$C$23),N421*M421,0)</x:f>
        <x:v>0</x:v>
      </x:c>
      <x:c r="P421" s="78" t="n">
        <x:f>IFERROR(O421/F421,0)</x:f>
        <x:v>0</x:v>
      </x:c>
      <x:c r="Q421" s="78" t="n">
        <x:v>1</x:v>
      </x:c>
      <x:c r="R421" s="78" t="str">
        <x:v>Resolve</x:v>
      </x:c>
      <x:c r="S421" s="78" t="n">
        <x:f>IF(R421="Resolve",IF(IF(E421="YES",Q421,1-Q421)=1,P421*(1-F421),-O421),P421*(G421-F421))</x:f>
        <x:v>0</x:v>
      </x:c>
      <x:c r="T421" s="78" t="n">
        <x:f>P421*J421</x:f>
        <x:v>0</x:v>
      </x:c>
      <x:c r="U421" s="78" t="n">
        <x:f>S421-T421</x:f>
        <x:v>0</x:v>
      </x:c>
      <x:c r="V421" s="78" t="n">
        <x:f>N421+U421</x:f>
        <x:v>9954.005451523179</x:v>
      </x:c>
      <x:c r="W421" s="74" t="n">
        <x:f>IFERROR(V421/MAX($V$16:V421)-1,0)</x:f>
        <x:v>-0.015023712228353081</x:v>
      </x:c>
      <x:c r="X421" t="str">
        <x:f>IF(O421&gt;0,"TRADE","NO_TRADE")</x:f>
        <x:v>NO_TRADE</x:v>
      </x:c>
    </x:row>
    <x:row r="422">
      <x:c r="A422" s="66" t="n">
        <x:v>46167.52349537037</x:v>
      </x:c>
      <x:c r="B422" s="66" t="str">
        <x:v>MKT_1006</x:v>
      </x:c>
      <x:c r="C422" s="66" t="n">
        <x:v>46167.524305555555</x:v>
      </x:c>
      <x:c r="D422" t="n">
        <x:v>70</x:v>
      </x:c>
      <x:c r="E422" t="str">
        <x:v>YES</x:v>
      </x:c>
      <x:c r="F422" s="74" t="n">
        <x:v>0.57</x:v>
      </x:c>
      <x:c r="G422" s="74" t="n">
        <x:v>0.57</x:v>
      </x:c>
      <x:c r="H422" s="74" t="n">
        <x:v>0.582</x:v>
      </x:c>
      <x:c r="I422" s="74" t="n">
        <x:f>IF(E422="YES",H422,1-H422)</x:f>
        <x:v>0.582</x:v>
      </x:c>
      <x:c r="J422" s="76" t="n">
        <x:f>Assumptions!$C$12+Assumptions!$C$11*F422</x:f>
        <x:v>0.003</x:v>
      </x:c>
      <x:c r="K422" s="76" t="n">
        <x:f>I422-F422-J422</x:f>
        <x:v>0.009000000000000011</x:v>
      </x:c>
      <x:c r="L422" s="74" t="n">
        <x:f>MAX(0,IFERROR(K422/(1-F422),0))</x:f>
        <x:v>0.02093023255813956</x:v>
      </x:c>
      <x:c r="M422" s="74" t="n">
        <x:f>MIN(Assumptions!$C$8*L422,Assumptions!$C$5)</x:f>
        <x:v>0.005</x:v>
      </x:c>
      <x:c r="N422" s="78" t="n">
        <x:f>IF(ROW()=16,Assumptions!$C$4,V421)</x:f>
        <x:v>9954.005451523179</x:v>
      </x:c>
      <x:c r="O422" s="78" t="n">
        <x:f>IF(AND(K422&gt;IF(F422&gt;=Assumptions!$C$21,Assumptions!$C$10,Assumptions!$C$9),D422&gt;Assumptions!$C$23),N422*M422,0)</x:f>
        <x:v>49.770027257615894</x:v>
      </x:c>
      <x:c r="P422" s="78" t="n">
        <x:f>IFERROR(O422/F422,0)</x:f>
        <x:v>87.31583729406297</x:v>
      </x:c>
      <x:c r="Q422" s="78" t="n">
        <x:v>0</x:v>
      </x:c>
      <x:c r="R422" s="78" t="str">
        <x:v>Resolve</x:v>
      </x:c>
      <x:c r="S422" s="78" t="n">
        <x:f>IF(R422="Resolve",IF(IF(E422="YES",Q422,1-Q422)=1,P422*(1-F422),-O422),P422*(G422-F422))</x:f>
        <x:v>-49.770027257615894</x:v>
      </x:c>
      <x:c r="T422" s="78" t="n">
        <x:f>P422*J422</x:f>
        <x:v>0.2619475118821889</x:v>
      </x:c>
      <x:c r="U422" s="78" t="n">
        <x:f>S422-T422</x:f>
        <x:v>-50.031974769498085</x:v>
      </x:c>
      <x:c r="V422" s="78" t="n">
        <x:f>N422+U422</x:f>
        <x:v>9903.973476753681</x:v>
      </x:c>
      <x:c r="W422" s="74" t="n">
        <x:f>IFERROR(V422/MAX($V$16:V422)-1,0)</x:f>
        <x:v>-0.019974514095836837</x:v>
      </x:c>
      <x:c r="X422" t="str">
        <x:f>IF(O422&gt;0,"TRADE","NO_TRADE")</x:f>
        <x:v>TRADE</x:v>
      </x:c>
    </x:row>
    <x:row r="423">
      <x:c r="A423" s="66" t="n">
        <x:v>46167.52355324074</x:v>
      </x:c>
      <x:c r="B423" s="66" t="str">
        <x:v>MKT_1006</x:v>
      </x:c>
      <x:c r="C423" s="66" t="n">
        <x:v>46167.524305555555</x:v>
      </x:c>
      <x:c r="D423" t="n">
        <x:v>65</x:v>
      </x:c>
      <x:c r="E423" t="str">
        <x:v>YES</x:v>
      </x:c>
      <x:c r="F423" s="74" t="n">
        <x:v>0.68</x:v>
      </x:c>
      <x:c r="G423" s="74" t="n">
        <x:v>0.68</x:v>
      </x:c>
      <x:c r="H423" s="74" t="n">
        <x:v>0.7050000000000001</x:v>
      </x:c>
      <x:c r="I423" s="74" t="n">
        <x:f>IF(E423="YES",H423,1-H423)</x:f>
        <x:v>0.7050000000000001</x:v>
      </x:c>
      <x:c r="J423" s="76" t="n">
        <x:f>Assumptions!$C$12+Assumptions!$C$11*F423</x:f>
        <x:v>0.003</x:v>
      </x:c>
      <x:c r="K423" s="76" t="n">
        <x:f>I423-F423-J423</x:f>
        <x:v>0.022000000000000023</x:v>
      </x:c>
      <x:c r="L423" s="74" t="n">
        <x:f>MAX(0,IFERROR(K423/(1-F423),0))</x:f>
        <x:v>0.06875000000000009</x:v>
      </x:c>
      <x:c r="M423" s="74" t="n">
        <x:f>MIN(Assumptions!$C$8*L423,Assumptions!$C$5)</x:f>
        <x:v>0.005</x:v>
      </x:c>
      <x:c r="N423" s="78" t="n">
        <x:f>IF(ROW()=16,Assumptions!$C$4,V422)</x:f>
        <x:v>9903.973476753681</x:v>
      </x:c>
      <x:c r="O423" s="78" t="n">
        <x:f>IF(AND(K423&gt;IF(F423&gt;=Assumptions!$C$21,Assumptions!$C$10,Assumptions!$C$9),D423&gt;Assumptions!$C$23),N423*M423,0)</x:f>
        <x:v>49.51986738376841</x:v>
      </x:c>
      <x:c r="P423" s="78" t="n">
        <x:f>IFERROR(O423/F423,0)</x:f>
        <x:v>72.8233343878947</x:v>
      </x:c>
      <x:c r="Q423" s="78" t="n">
        <x:v>1</x:v>
      </x:c>
      <x:c r="R423" s="78" t="str">
        <x:v>Resolve</x:v>
      </x:c>
      <x:c r="S423" s="78" t="n">
        <x:f>IF(R423="Resolve",IF(IF(E423="YES",Q423,1-Q423)=1,P423*(1-F423),-O423),P423*(G423-F423))</x:f>
        <x:v>23.3034670041263</x:v>
      </x:c>
      <x:c r="T423" s="78" t="n">
        <x:f>P423*J423</x:f>
        <x:v>0.21847000316368412</x:v>
      </x:c>
      <x:c r="U423" s="78" t="n">
        <x:f>S423-T423</x:f>
        <x:v>23.084997000962616</x:v>
      </x:c>
      <x:c r="V423" s="78" t="n">
        <x:f>N423+U423</x:f>
        <x:v>9927.058473754643</x:v>
      </x:c>
      <x:c r="W423" s="74" t="n">
        <x:f>IFERROR(V423/MAX($V$16:V423)-1,0)</x:f>
        <x:v>-0.017690189985310245</x:v>
      </x:c>
      <x:c r="X423" t="str">
        <x:f>IF(O423&gt;0,"TRADE","NO_TRADE")</x:f>
        <x:v>TRADE</x:v>
      </x:c>
    </x:row>
    <x:row r="424">
      <x:c r="A424" s="66" t="n">
        <x:v>46167.52361111111</x:v>
      </x:c>
      <x:c r="B424" s="66" t="str">
        <x:v>MKT_1006</x:v>
      </x:c>
      <x:c r="C424" s="66" t="n">
        <x:v>46167.524305555555</x:v>
      </x:c>
      <x:c r="D424" t="n">
        <x:v>60</x:v>
      </x:c>
      <x:c r="E424" t="str">
        <x:v>NO</x:v>
      </x:c>
      <x:c r="F424" s="74" t="n">
        <x:v>0.91</x:v>
      </x:c>
      <x:c r="G424" s="74" t="n">
        <x:v>0.91</x:v>
      </x:c>
      <x:c r="H424" s="74" t="n">
        <x:v>0.9450000000000001</x:v>
      </x:c>
      <x:c r="I424" s="74" t="n">
        <x:f>IF(E424="YES",H424,1-H424)</x:f>
        <x:v>0.05499999999999994</x:v>
      </x:c>
      <x:c r="J424" s="76" t="n">
        <x:f>Assumptions!$C$12+Assumptions!$C$11*F424</x:f>
        <x:v>0.003</x:v>
      </x:c>
      <x:c r="K424" s="76" t="n">
        <x:f>I424-F424-J424</x:f>
        <x:v>-0.8580000000000001</x:v>
      </x:c>
      <x:c r="L424" s="74" t="n">
        <x:f>MAX(0,IFERROR(K424/(1-F424),0))</x:f>
        <x:v>0</x:v>
      </x:c>
      <x:c r="M424" s="74" t="n">
        <x:f>MIN(Assumptions!$C$8*L424,Assumptions!$C$5)</x:f>
        <x:v>0</x:v>
      </x:c>
      <x:c r="N424" s="78" t="n">
        <x:f>IF(ROW()=16,Assumptions!$C$4,V423)</x:f>
        <x:v>9927.058473754643</x:v>
      </x:c>
      <x:c r="O424" s="78" t="n">
        <x:f>IF(AND(K424&gt;IF(F424&gt;=Assumptions!$C$21,Assumptions!$C$10,Assumptions!$C$9),D424&gt;Assumptions!$C$23),N424*M424,0)</x:f>
        <x:v>0</x:v>
      </x:c>
      <x:c r="P424" s="78" t="n">
        <x:f>IFERROR(O424/F424,0)</x:f>
        <x:v>0</x:v>
      </x:c>
      <x:c r="Q424" s="78" t="n">
        <x:v>1</x:v>
      </x:c>
      <x:c r="R424" s="78" t="str">
        <x:v>Resolve</x:v>
      </x:c>
      <x:c r="S424" s="78" t="n">
        <x:f>IF(R424="Resolve",IF(IF(E424="YES",Q424,1-Q424)=1,P424*(1-F424),-O424),P424*(G424-F424))</x:f>
        <x:v>0</x:v>
      </x:c>
      <x:c r="T424" s="78" t="n">
        <x:f>P424*J424</x:f>
        <x:v>0</x:v>
      </x:c>
      <x:c r="U424" s="78" t="n">
        <x:f>S424-T424</x:f>
        <x:v>0</x:v>
      </x:c>
      <x:c r="V424" s="78" t="n">
        <x:f>N424+U424</x:f>
        <x:v>9927.058473754643</x:v>
      </x:c>
      <x:c r="W424" s="74" t="n">
        <x:f>IFERROR(V424/MAX($V$16:V424)-1,0)</x:f>
        <x:v>-0.017690189985310245</x:v>
      </x:c>
      <x:c r="X424" t="str">
        <x:f>IF(O424&gt;0,"TRADE","NO_TRADE")</x:f>
        <x:v>NO_TRADE</x:v>
      </x:c>
    </x:row>
    <x:row r="425">
      <x:c r="A425" s="66" t="n">
        <x:v>46167.523668981485</x:v>
      </x:c>
      <x:c r="B425" s="66" t="str">
        <x:v>MKT_1006</x:v>
      </x:c>
      <x:c r="C425" s="66" t="n">
        <x:v>46167.524305555555</x:v>
      </x:c>
      <x:c r="D425" t="n">
        <x:v>55</x:v>
      </x:c>
      <x:c r="E425" t="str">
        <x:v>YES</x:v>
      </x:c>
      <x:c r="F425" s="74" t="n">
        <x:v>0.83</x:v>
      </x:c>
      <x:c r="G425" s="74" t="n">
        <x:v>0.83</x:v>
      </x:c>
      <x:c r="H425" s="74" t="n">
        <x:v>0.82</x:v>
      </x:c>
      <x:c r="I425" s="74" t="n">
        <x:f>IF(E425="YES",H425,1-H425)</x:f>
        <x:v>0.82</x:v>
      </x:c>
      <x:c r="J425" s="76" t="n">
        <x:f>Assumptions!$C$12+Assumptions!$C$11*F425</x:f>
        <x:v>0.003</x:v>
      </x:c>
      <x:c r="K425" s="76" t="n">
        <x:f>I425-F425-J425</x:f>
        <x:v>-0.013000000000000008</x:v>
      </x:c>
      <x:c r="L425" s="74" t="n">
        <x:f>MAX(0,IFERROR(K425/(1-F425),0))</x:f>
        <x:v>0</x:v>
      </x:c>
      <x:c r="M425" s="74" t="n">
        <x:f>MIN(Assumptions!$C$8*L425,Assumptions!$C$5)</x:f>
        <x:v>0</x:v>
      </x:c>
      <x:c r="N425" s="78" t="n">
        <x:f>IF(ROW()=16,Assumptions!$C$4,V424)</x:f>
        <x:v>9927.058473754643</x:v>
      </x:c>
      <x:c r="O425" s="78" t="n">
        <x:f>IF(AND(K425&gt;IF(F425&gt;=Assumptions!$C$21,Assumptions!$C$10,Assumptions!$C$9),D425&gt;Assumptions!$C$23),N425*M425,0)</x:f>
        <x:v>0</x:v>
      </x:c>
      <x:c r="P425" s="78" t="n">
        <x:f>IFERROR(O425/F425,0)</x:f>
        <x:v>0</x:v>
      </x:c>
      <x:c r="Q425" s="78" t="n">
        <x:v>0</x:v>
      </x:c>
      <x:c r="R425" s="78" t="str">
        <x:v>Resolve</x:v>
      </x:c>
      <x:c r="S425" s="78" t="n">
        <x:f>IF(R425="Resolve",IF(IF(E425="YES",Q425,1-Q425)=1,P425*(1-F425),-O425),P425*(G425-F425))</x:f>
        <x:v>0</x:v>
      </x:c>
      <x:c r="T425" s="78" t="n">
        <x:f>P425*J425</x:f>
        <x:v>0</x:v>
      </x:c>
      <x:c r="U425" s="78" t="n">
        <x:f>S425-T425</x:f>
        <x:v>0</x:v>
      </x:c>
      <x:c r="V425" s="78" t="n">
        <x:f>N425+U425</x:f>
        <x:v>9927.058473754643</x:v>
      </x:c>
      <x:c r="W425" s="74" t="n">
        <x:f>IFERROR(V425/MAX($V$16:V425)-1,0)</x:f>
        <x:v>-0.017690189985310245</x:v>
      </x:c>
      <x:c r="X425" t="str">
        <x:f>IF(O425&gt;0,"TRADE","NO_TRADE")</x:f>
        <x:v>NO_TRADE</x:v>
      </x:c>
    </x:row>
    <x:row r="426">
      <x:c r="A426" s="66" t="n">
        <x:v>46167.523726851854</x:v>
      </x:c>
      <x:c r="B426" s="66" t="str">
        <x:v>MKT_1006</x:v>
      </x:c>
      <x:c r="C426" s="66" t="n">
        <x:v>46167.524305555555</x:v>
      </x:c>
      <x:c r="D426" t="n">
        <x:v>50</x:v>
      </x:c>
      <x:c r="E426" t="str">
        <x:v>YES</x:v>
      </x:c>
      <x:c r="F426" s="74" t="n">
        <x:v>0.52</x:v>
      </x:c>
      <x:c r="G426" s="74" t="n">
        <x:v>0.52</x:v>
      </x:c>
      <x:c r="H426" s="74" t="n">
        <x:v>0.535</x:v>
      </x:c>
      <x:c r="I426" s="74" t="n">
        <x:f>IF(E426="YES",H426,1-H426)</x:f>
        <x:v>0.535</x:v>
      </x:c>
      <x:c r="J426" s="76" t="n">
        <x:f>Assumptions!$C$12+Assumptions!$C$11*F426</x:f>
        <x:v>0.003</x:v>
      </x:c>
      <x:c r="K426" s="76" t="n">
        <x:f>I426-F426-J426</x:f>
        <x:v>0.012000000000000014</x:v>
      </x:c>
      <x:c r="L426" s="74" t="n">
        <x:f>MAX(0,IFERROR(K426/(1-F426),0))</x:f>
        <x:v>0.02500000000000003</x:v>
      </x:c>
      <x:c r="M426" s="74" t="n">
        <x:f>MIN(Assumptions!$C$8*L426,Assumptions!$C$5)</x:f>
        <x:v>0.005</x:v>
      </x:c>
      <x:c r="N426" s="78" t="n">
        <x:f>IF(ROW()=16,Assumptions!$C$4,V425)</x:f>
        <x:v>9927.058473754643</x:v>
      </x:c>
      <x:c r="O426" s="78" t="n">
        <x:f>IF(AND(K426&gt;IF(F426&gt;=Assumptions!$C$21,Assumptions!$C$10,Assumptions!$C$9),D426&gt;Assumptions!$C$23),N426*M426,0)</x:f>
        <x:v>49.635292368773214</x:v>
      </x:c>
      <x:c r="P426" s="78" t="n">
        <x:f>IFERROR(O426/F426,0)</x:f>
        <x:v>95.45248532456387</x:v>
      </x:c>
      <x:c r="Q426" s="78" t="n">
        <x:v>1</x:v>
      </x:c>
      <x:c r="R426" s="78" t="str">
        <x:v>Resolve</x:v>
      </x:c>
      <x:c r="S426" s="78" t="n">
        <x:f>IF(R426="Resolve",IF(IF(E426="YES",Q426,1-Q426)=1,P426*(1-F426),-O426),P426*(G426-F426))</x:f>
        <x:v>45.81719295579065</x:v>
      </x:c>
      <x:c r="T426" s="78" t="n">
        <x:f>P426*J426</x:f>
        <x:v>0.2863574559736916</x:v>
      </x:c>
      <x:c r="U426" s="78" t="n">
        <x:f>S426-T426</x:f>
        <x:v>45.53083549981696</x:v>
      </x:c>
      <x:c r="V426" s="78" t="n">
        <x:f>N426+U426</x:f>
        <x:v>9972.589309254461</x:v>
      </x:c>
      <x:c r="W426" s="74" t="n">
        <x:f>IFERROR(V426/MAX($V$16:V426)-1,0)</x:f>
        <x:v>-0.013184788260531266</x:v>
      </x:c>
      <x:c r="X426" t="str">
        <x:f>IF(O426&gt;0,"TRADE","NO_TRADE")</x:f>
        <x:v>TRADE</x:v>
      </x:c>
    </x:row>
    <x:row r="427">
      <x:c r="A427" s="66" t="n">
        <x:v>46167.52378472222</x:v>
      </x:c>
      <x:c r="B427" s="66" t="str">
        <x:v>MKT_1006</x:v>
      </x:c>
      <x:c r="C427" s="66" t="n">
        <x:v>46167.524305555555</x:v>
      </x:c>
      <x:c r="D427" t="n">
        <x:v>45</x:v>
      </x:c>
      <x:c r="E427" t="str">
        <x:v>NO</x:v>
      </x:c>
      <x:c r="F427" s="74" t="n">
        <x:v>0.61</x:v>
      </x:c>
      <x:c r="G427" s="74" t="n">
        <x:v>0.61</x:v>
      </x:c>
      <x:c r="H427" s="74" t="n">
        <x:v>0.63</x:v>
      </x:c>
      <x:c r="I427" s="74" t="n">
        <x:f>IF(E427="YES",H427,1-H427)</x:f>
        <x:v>0.37</x:v>
      </x:c>
      <x:c r="J427" s="76" t="n">
        <x:f>Assumptions!$C$12+Assumptions!$C$11*F427</x:f>
        <x:v>0.003</x:v>
      </x:c>
      <x:c r="K427" s="76" t="n">
        <x:f>I427-F427-J427</x:f>
        <x:v>-0.243</x:v>
      </x:c>
      <x:c r="L427" s="74" t="n">
        <x:f>MAX(0,IFERROR(K427/(1-F427),0))</x:f>
        <x:v>0</x:v>
      </x:c>
      <x:c r="M427" s="74" t="n">
        <x:f>MIN(Assumptions!$C$8*L427,Assumptions!$C$5)</x:f>
        <x:v>0</x:v>
      </x:c>
      <x:c r="N427" s="78" t="n">
        <x:f>IF(ROW()=16,Assumptions!$C$4,V426)</x:f>
        <x:v>9972.589309254461</x:v>
      </x:c>
      <x:c r="O427" s="78" t="n">
        <x:f>IF(AND(K427&gt;IF(F427&gt;=Assumptions!$C$21,Assumptions!$C$10,Assumptions!$C$9),D427&gt;Assumptions!$C$23),N427*M427,0)</x:f>
        <x:v>0</x:v>
      </x:c>
      <x:c r="P427" s="78" t="n">
        <x:f>IFERROR(O427/F427,0)</x:f>
        <x:v>0</x:v>
      </x:c>
      <x:c r="Q427" s="78" t="n">
        <x:v>1</x:v>
      </x:c>
      <x:c r="R427" s="78" t="str">
        <x:v>Resolve</x:v>
      </x:c>
      <x:c r="S427" s="78" t="n">
        <x:f>IF(R427="Resolve",IF(IF(E427="YES",Q427,1-Q427)=1,P427*(1-F427),-O427),P427*(G427-F427))</x:f>
        <x:v>0</x:v>
      </x:c>
      <x:c r="T427" s="78" t="n">
        <x:f>P427*J427</x:f>
        <x:v>0</x:v>
      </x:c>
      <x:c r="U427" s="78" t="n">
        <x:f>S427-T427</x:f>
        <x:v>0</x:v>
      </x:c>
      <x:c r="V427" s="78" t="n">
        <x:f>N427+U427</x:f>
        <x:v>9972.589309254461</x:v>
      </x:c>
      <x:c r="W427" s="74" t="n">
        <x:f>IFERROR(V427/MAX($V$16:V427)-1,0)</x:f>
        <x:v>-0.013184788260531266</x:v>
      </x:c>
      <x:c r="X427" t="str">
        <x:f>IF(O427&gt;0,"TRADE","NO_TRADE")</x:f>
        <x:v>NO_TRADE</x:v>
      </x:c>
    </x:row>
    <x:row r="428">
      <x:c r="A428" s="66" t="n">
        <x:v>46167.52384259259</x:v>
      </x:c>
      <x:c r="B428" s="66" t="str">
        <x:v>MKT_1006</x:v>
      </x:c>
      <x:c r="C428" s="66" t="n">
        <x:v>46167.524305555555</x:v>
      </x:c>
      <x:c r="D428" t="n">
        <x:v>40</x:v>
      </x:c>
      <x:c r="E428" t="str">
        <x:v>YES</x:v>
      </x:c>
      <x:c r="F428" s="74" t="n">
        <x:v>0.74</x:v>
      </x:c>
      <x:c r="G428" s="74" t="n">
        <x:v>0.74</x:v>
      </x:c>
      <x:c r="H428" s="74" t="n">
        <x:v>0.735</x:v>
      </x:c>
      <x:c r="I428" s="74" t="n">
        <x:f>IF(E428="YES",H428,1-H428)</x:f>
        <x:v>0.735</x:v>
      </x:c>
      <x:c r="J428" s="76" t="n">
        <x:f>Assumptions!$C$12+Assumptions!$C$11*F428</x:f>
        <x:v>0.003</x:v>
      </x:c>
      <x:c r="K428" s="76" t="n">
        <x:f>I428-F428-J428</x:f>
        <x:v>-0.008000000000000004</x:v>
      </x:c>
      <x:c r="L428" s="74" t="n">
        <x:f>MAX(0,IFERROR(K428/(1-F428),0))</x:f>
        <x:v>0</x:v>
      </x:c>
      <x:c r="M428" s="74" t="n">
        <x:f>MIN(Assumptions!$C$8*L428,Assumptions!$C$5)</x:f>
        <x:v>0</x:v>
      </x:c>
      <x:c r="N428" s="78" t="n">
        <x:f>IF(ROW()=16,Assumptions!$C$4,V427)</x:f>
        <x:v>9972.589309254461</x:v>
      </x:c>
      <x:c r="O428" s="78" t="n">
        <x:f>IF(AND(K428&gt;IF(F428&gt;=Assumptions!$C$21,Assumptions!$C$10,Assumptions!$C$9),D428&gt;Assumptions!$C$23),N428*M428,0)</x:f>
        <x:v>0</x:v>
      </x:c>
      <x:c r="P428" s="78" t="n">
        <x:f>IFERROR(O428/F428,0)</x:f>
        <x:v>0</x:v>
      </x:c>
      <x:c r="Q428" s="78" t="n">
        <x:v>1</x:v>
      </x:c>
      <x:c r="R428" s="78" t="str">
        <x:v>Resolve</x:v>
      </x:c>
      <x:c r="S428" s="78" t="n">
        <x:f>IF(R428="Resolve",IF(IF(E428="YES",Q428,1-Q428)=1,P428*(1-F428),-O428),P428*(G428-F428))</x:f>
        <x:v>0</x:v>
      </x:c>
      <x:c r="T428" s="78" t="n">
        <x:f>P428*J428</x:f>
        <x:v>0</x:v>
      </x:c>
      <x:c r="U428" s="78" t="n">
        <x:f>S428-T428</x:f>
        <x:v>0</x:v>
      </x:c>
      <x:c r="V428" s="78" t="n">
        <x:f>N428+U428</x:f>
        <x:v>9972.589309254461</x:v>
      </x:c>
      <x:c r="W428" s="74" t="n">
        <x:f>IFERROR(V428/MAX($V$16:V428)-1,0)</x:f>
        <x:v>-0.013184788260531266</x:v>
      </x:c>
      <x:c r="X428" t="str">
        <x:f>IF(O428&gt;0,"TRADE","NO_TRADE")</x:f>
        <x:v>NO_TRADE</x:v>
      </x:c>
    </x:row>
    <x:row r="429">
      <x:c r="A429" s="66" t="n">
        <x:v>46167.52390046296</x:v>
      </x:c>
      <x:c r="B429" s="66" t="str">
        <x:v>MKT_1006</x:v>
      </x:c>
      <x:c r="C429" s="66" t="n">
        <x:v>46167.524305555555</x:v>
      </x:c>
      <x:c r="D429" t="n">
        <x:v>35</x:v>
      </x:c>
      <x:c r="E429" t="str">
        <x:v>YES</x:v>
      </x:c>
      <x:c r="F429" s="74" t="n">
        <x:v>0.88</x:v>
      </x:c>
      <x:c r="G429" s="74" t="n">
        <x:v>0.88</x:v>
      </x:c>
      <x:c r="H429" s="74" t="n">
        <x:v>0.91</x:v>
      </x:c>
      <x:c r="I429" s="74" t="n">
        <x:f>IF(E429="YES",H429,1-H429)</x:f>
        <x:v>0.91</x:v>
      </x:c>
      <x:c r="J429" s="76" t="n">
        <x:f>Assumptions!$C$12+Assumptions!$C$11*F429</x:f>
        <x:v>0.003</x:v>
      </x:c>
      <x:c r="K429" s="76" t="n">
        <x:f>I429-F429-J429</x:f>
        <x:v>0.027000000000000027</x:v>
      </x:c>
      <x:c r="L429" s="74" t="n">
        <x:f>MAX(0,IFERROR(K429/(1-F429),0))</x:f>
        <x:v>0.22500000000000023</x:v>
      </x:c>
      <x:c r="M429" s="74" t="n">
        <x:f>MIN(Assumptions!$C$8*L429,Assumptions!$C$5)</x:f>
        <x:v>0.005</x:v>
      </x:c>
      <x:c r="N429" s="78" t="n">
        <x:f>IF(ROW()=16,Assumptions!$C$4,V428)</x:f>
        <x:v>9972.589309254461</x:v>
      </x:c>
      <x:c r="O429" s="78" t="n">
        <x:f>IF(AND(K429&gt;IF(F429&gt;=Assumptions!$C$21,Assumptions!$C$10,Assumptions!$C$9),D429&gt;Assumptions!$C$23),N429*M429,0)</x:f>
        <x:v>49.862946546272305</x:v>
      </x:c>
      <x:c r="P429" s="78" t="n">
        <x:f>IFERROR(O429/F429,0)</x:f>
        <x:v>56.662439257127616</x:v>
      </x:c>
      <x:c r="Q429" s="78" t="n">
        <x:v>0</x:v>
      </x:c>
      <x:c r="R429" s="78" t="str">
        <x:v>Resolve</x:v>
      </x:c>
      <x:c r="S429" s="78" t="n">
        <x:f>IF(R429="Resolve",IF(IF(E429="YES",Q429,1-Q429)=1,P429*(1-F429),-O429),P429*(G429-F429))</x:f>
        <x:v>-49.862946546272305</x:v>
      </x:c>
      <x:c r="T429" s="78" t="n">
        <x:f>P429*J429</x:f>
        <x:v>0.16998731777138285</x:v>
      </x:c>
      <x:c r="U429" s="78" t="n">
        <x:f>S429-T429</x:f>
        <x:v>-50.032933864043684</x:v>
      </x:c>
      <x:c r="V429" s="78" t="n">
        <x:f>N429+U429</x:f>
        <x:v>9922.556375390417</x:v>
      </x:c>
      <x:c r="W429" s="74" t="n">
        <x:f>IFERROR(V429/MAX($V$16:V429)-1,0)</x:f>
        <x:v>-0.018135685033065174</x:v>
      </x:c>
      <x:c r="X429" t="str">
        <x:f>IF(O429&gt;0,"TRADE","NO_TRADE")</x:f>
        <x:v>TRADE</x:v>
      </x:c>
    </x:row>
    <x:row r="430">
      <x:c r="A430" s="66" t="n">
        <x:v>46167.52395833333</x:v>
      </x:c>
      <x:c r="B430" s="66" t="str">
        <x:v>MKT_1006</x:v>
      </x:c>
      <x:c r="C430" s="66" t="n">
        <x:v>46167.524305555555</x:v>
      </x:c>
      <x:c r="D430" t="n">
        <x:v>30</x:v>
      </x:c>
      <x:c r="E430" t="str">
        <x:v>NO</x:v>
      </x:c>
      <x:c r="F430" s="74" t="n">
        <x:v>0.94</x:v>
      </x:c>
      <x:c r="G430" s="74" t="n">
        <x:v>0.94</x:v>
      </x:c>
      <x:c r="H430" s="74" t="n">
        <x:v>0.98</x:v>
      </x:c>
      <x:c r="I430" s="74" t="n">
        <x:f>IF(E430="YES",H430,1-H430)</x:f>
        <x:v>0.020000000000000018</x:v>
      </x:c>
      <x:c r="J430" s="76" t="n">
        <x:f>Assumptions!$C$12+Assumptions!$C$11*F430</x:f>
        <x:v>0.003</x:v>
      </x:c>
      <x:c r="K430" s="76" t="n">
        <x:f>I430-F430-J430</x:f>
        <x:v>-0.9229999999999999</x:v>
      </x:c>
      <x:c r="L430" s="74" t="n">
        <x:f>MAX(0,IFERROR(K430/(1-F430),0))</x:f>
        <x:v>0</x:v>
      </x:c>
      <x:c r="M430" s="74" t="n">
        <x:f>MIN(Assumptions!$C$8*L430,Assumptions!$C$5)</x:f>
        <x:v>0</x:v>
      </x:c>
      <x:c r="N430" s="78" t="n">
        <x:f>IF(ROW()=16,Assumptions!$C$4,V429)</x:f>
        <x:v>9922.556375390417</x:v>
      </x:c>
      <x:c r="O430" s="78" t="n">
        <x:f>IF(AND(K430&gt;IF(F430&gt;=Assumptions!$C$21,Assumptions!$C$10,Assumptions!$C$9),D430&gt;Assumptions!$C$23),N430*M430,0)</x:f>
        <x:v>0</x:v>
      </x:c>
      <x:c r="P430" s="78" t="n">
        <x:f>IFERROR(O430/F430,0)</x:f>
        <x:v>0</x:v>
      </x:c>
      <x:c r="Q430" s="78" t="n">
        <x:v>1</x:v>
      </x:c>
      <x:c r="R430" s="78" t="str">
        <x:v>Resolve</x:v>
      </x:c>
      <x:c r="S430" s="78" t="n">
        <x:f>IF(R430="Resolve",IF(IF(E430="YES",Q430,1-Q430)=1,P430*(1-F430),-O430),P430*(G430-F430))</x:f>
        <x:v>0</x:v>
      </x:c>
      <x:c r="T430" s="78" t="n">
        <x:f>P430*J430</x:f>
        <x:v>0</x:v>
      </x:c>
      <x:c r="U430" s="78" t="n">
        <x:f>S430-T430</x:f>
        <x:v>0</x:v>
      </x:c>
      <x:c r="V430" s="78" t="n">
        <x:f>N430+U430</x:f>
        <x:v>9922.556375390417</x:v>
      </x:c>
      <x:c r="W430" s="74" t="n">
        <x:f>IFERROR(V430/MAX($V$16:V430)-1,0)</x:f>
        <x:v>-0.018135685033065174</x:v>
      </x:c>
      <x:c r="X430" t="str">
        <x:f>IF(O430&gt;0,"TRADE","NO_TRADE")</x:f>
        <x:v>NO_TRADE</x:v>
      </x:c>
    </x:row>
    <x:row r="431">
      <x:c r="A431" s="66" t="n">
        <x:v>46167.5240162037</x:v>
      </x:c>
      <x:c r="B431" s="66" t="str">
        <x:v>MKT_1006</x:v>
      </x:c>
      <x:c r="C431" s="66" t="n">
        <x:v>46167.524305555555</x:v>
      </x:c>
      <x:c r="D431" t="n">
        <x:v>25</x:v>
      </x:c>
      <x:c r="E431" t="str">
        <x:v>YES</x:v>
      </x:c>
      <x:c r="F431" s="74" t="n">
        <x:v>0.95</x:v>
      </x:c>
      <x:c r="G431" s="74" t="n">
        <x:v>0.95</x:v>
      </x:c>
      <x:c r="H431" s="74" t="n">
        <x:v>0.968</x:v>
      </x:c>
      <x:c r="I431" s="74" t="n">
        <x:f>IF(E431="YES",H431,1-H431)</x:f>
        <x:v>0.968</x:v>
      </x:c>
      <x:c r="J431" s="76" t="n">
        <x:f>Assumptions!$C$12+Assumptions!$C$11*F431</x:f>
        <x:v>0.003</x:v>
      </x:c>
      <x:c r="K431" s="76" t="n">
        <x:f>I431-F431-J431</x:f>
        <x:v>0.015000000000000017</x:v>
      </x:c>
      <x:c r="L431" s="74" t="n">
        <x:f>MAX(0,IFERROR(K431/(1-F431),0))</x:f>
        <x:v>0.30000000000000004</x:v>
      </x:c>
      <x:c r="M431" s="74" t="n">
        <x:f>MIN(Assumptions!$C$8*L431,Assumptions!$C$5)</x:f>
        <x:v>0.005</x:v>
      </x:c>
      <x:c r="N431" s="78" t="n">
        <x:f>IF(ROW()=16,Assumptions!$C$4,V430)</x:f>
        <x:v>9922.556375390417</x:v>
      </x:c>
      <x:c r="O431" s="78" t="n">
        <x:f>IF(AND(K431&gt;IF(F431&gt;=Assumptions!$C$21,Assumptions!$C$10,Assumptions!$C$9),D431&gt;Assumptions!$C$23),N431*M431,0)</x:f>
        <x:v>49.612781876952084</x:v>
      </x:c>
      <x:c r="P431" s="78" t="n">
        <x:f>IFERROR(O431/F431,0)</x:f>
        <x:v>52.22398092310746</x:v>
      </x:c>
      <x:c r="Q431" s="78" t="n">
        <x:v>1</x:v>
      </x:c>
      <x:c r="R431" s="78" t="str">
        <x:v>Resolve</x:v>
      </x:c>
      <x:c r="S431" s="78" t="n">
        <x:f>IF(R431="Resolve",IF(IF(E431="YES",Q431,1-Q431)=1,P431*(1-F431),-O431),P431*(G431-F431))</x:f>
        <x:v>2.6111990461553756</x:v>
      </x:c>
      <x:c r="T431" s="78" t="n">
        <x:f>P431*J431</x:f>
        <x:v>0.1566719427693224</x:v>
      </x:c>
      <x:c r="U431" s="78" t="n">
        <x:f>S431-T431</x:f>
        <x:v>2.454527103386053</x:v>
      </x:c>
      <x:c r="V431" s="78" t="n">
        <x:f>N431+U431</x:f>
        <x:v>9925.010902493803</x:v>
      </x:c>
      <x:c r="W431" s="74" t="n">
        <x:f>IFERROR(V431/MAX($V$16:V431)-1,0)</x:f>
        <x:v>-0.017892802807783825</x:v>
      </x:c>
      <x:c r="X431" t="str">
        <x:f>IF(O431&gt;0,"TRADE","NO_TRADE")</x:f>
        <x:v>TRADE</x:v>
      </x:c>
    </x:row>
    <x:row r="432">
      <x:c r="A432" s="66" t="n">
        <x:v>46167.52407407408</x:v>
      </x:c>
      <x:c r="B432" s="66" t="str">
        <x:v>MKT_1006</x:v>
      </x:c>
      <x:c r="C432" s="66" t="n">
        <x:v>46167.524305555555</x:v>
      </x:c>
      <x:c r="D432" t="n">
        <x:v>20</x:v>
      </x:c>
      <x:c r="E432" t="str">
        <x:v>YES</x:v>
      </x:c>
      <x:c r="F432" s="74" t="n">
        <x:v>0.57</x:v>
      </x:c>
      <x:c r="G432" s="74" t="n">
        <x:v>0.57</x:v>
      </x:c>
      <x:c r="H432" s="74" t="n">
        <x:v>0.582</x:v>
      </x:c>
      <x:c r="I432" s="74" t="n">
        <x:f>IF(E432="YES",H432,1-H432)</x:f>
        <x:v>0.582</x:v>
      </x:c>
      <x:c r="J432" s="76" t="n">
        <x:f>Assumptions!$C$12+Assumptions!$C$11*F432</x:f>
        <x:v>0.003</x:v>
      </x:c>
      <x:c r="K432" s="76" t="n">
        <x:f>I432-F432-J432</x:f>
        <x:v>0.009000000000000011</x:v>
      </x:c>
      <x:c r="L432" s="74" t="n">
        <x:f>MAX(0,IFERROR(K432/(1-F432),0))</x:f>
        <x:v>0.02093023255813956</x:v>
      </x:c>
      <x:c r="M432" s="74" t="n">
        <x:f>MIN(Assumptions!$C$8*L432,Assumptions!$C$5)</x:f>
        <x:v>0.005</x:v>
      </x:c>
      <x:c r="N432" s="78" t="n">
        <x:f>IF(ROW()=16,Assumptions!$C$4,V431)</x:f>
        <x:v>9925.010902493803</x:v>
      </x:c>
      <x:c r="O432" s="78" t="n">
        <x:f>IF(AND(K432&gt;IF(F432&gt;=Assumptions!$C$21,Assumptions!$C$10,Assumptions!$C$9),D432&gt;Assumptions!$C$23),N432*M432,0)</x:f>
        <x:v>49.62505451246901</x:v>
      </x:c>
      <x:c r="P432" s="78" t="n">
        <x:f>IFERROR(O432/F432,0)</x:f>
        <x:v>87.06149914468249</x:v>
      </x:c>
      <x:c r="Q432" s="78" t="n">
        <x:v>0</x:v>
      </x:c>
      <x:c r="R432" s="78" t="str">
        <x:v>Resolve</x:v>
      </x:c>
      <x:c r="S432" s="78" t="n">
        <x:f>IF(R432="Resolve",IF(IF(E432="YES",Q432,1-Q432)=1,P432*(1-F432),-O432),P432*(G432-F432))</x:f>
        <x:v>-49.62505451246901</x:v>
      </x:c>
      <x:c r="T432" s="78" t="n">
        <x:f>P432*J432</x:f>
        <x:v>0.2611844974340475</x:v>
      </x:c>
      <x:c r="U432" s="78" t="n">
        <x:f>S432-T432</x:f>
        <x:v>-49.88623900990306</x:v>
      </x:c>
      <x:c r="V432" s="78" t="n">
        <x:f>N432+U432</x:f>
        <x:v>9875.124663483899</x:v>
      </x:c>
      <x:c r="W432" s="74" t="n">
        <x:f>IFERROR(V432/MAX($V$16:V432)-1,0)</x:f>
        <x:v>-0.02282918371998699</x:v>
      </x:c>
      <x:c r="X432" t="str">
        <x:f>IF(O432&gt;0,"TRADE","NO_TRADE")</x:f>
        <x:v>TRADE</x:v>
      </x:c>
    </x:row>
    <x:row r="433">
      <x:c r="A433" s="66" t="n">
        <x:v>46167.52413194445</x:v>
      </x:c>
      <x:c r="B433" s="66" t="str">
        <x:v>MKT_1006</x:v>
      </x:c>
      <x:c r="C433" s="66" t="n">
        <x:v>46167.524305555555</x:v>
      </x:c>
      <x:c r="D433" t="n">
        <x:v>15</x:v>
      </x:c>
      <x:c r="E433" t="str">
        <x:v>NO</x:v>
      </x:c>
      <x:c r="F433" s="74" t="n">
        <x:v>0.68</x:v>
      </x:c>
      <x:c r="G433" s="74" t="n">
        <x:v>0.68</x:v>
      </x:c>
      <x:c r="H433" s="74" t="n">
        <x:v>0.7050000000000001</x:v>
      </x:c>
      <x:c r="I433" s="74" t="n">
        <x:f>IF(E433="YES",H433,1-H433)</x:f>
        <x:v>0.29499999999999993</x:v>
      </x:c>
      <x:c r="J433" s="76" t="n">
        <x:f>Assumptions!$C$12+Assumptions!$C$11*F433</x:f>
        <x:v>0.003</x:v>
      </x:c>
      <x:c r="K433" s="76" t="n">
        <x:f>I433-F433-J433</x:f>
        <x:v>-0.3880000000000001</x:v>
      </x:c>
      <x:c r="L433" s="74" t="n">
        <x:f>MAX(0,IFERROR(K433/(1-F433),0))</x:f>
        <x:v>0</x:v>
      </x:c>
      <x:c r="M433" s="74" t="n">
        <x:f>MIN(Assumptions!$C$8*L433,Assumptions!$C$5)</x:f>
        <x:v>0</x:v>
      </x:c>
      <x:c r="N433" s="78" t="n">
        <x:f>IF(ROW()=16,Assumptions!$C$4,V432)</x:f>
        <x:v>9875.124663483899</x:v>
      </x:c>
      <x:c r="O433" s="78" t="n">
        <x:f>IF(AND(K433&gt;IF(F433&gt;=Assumptions!$C$21,Assumptions!$C$10,Assumptions!$C$9),D433&gt;Assumptions!$C$23),N433*M433,0)</x:f>
        <x:v>0</x:v>
      </x:c>
      <x:c r="P433" s="78" t="n">
        <x:f>IFERROR(O433/F433,0)</x:f>
        <x:v>0</x:v>
      </x:c>
      <x:c r="Q433" s="78" t="n">
        <x:v>1</x:v>
      </x:c>
      <x:c r="R433" s="78" t="str">
        <x:v>Resolve</x:v>
      </x:c>
      <x:c r="S433" s="78" t="n">
        <x:f>IF(R433="Resolve",IF(IF(E433="YES",Q433,1-Q433)=1,P433*(1-F433),-O433),P433*(G433-F433))</x:f>
        <x:v>0</x:v>
      </x:c>
      <x:c r="T433" s="78" t="n">
        <x:f>P433*J433</x:f>
        <x:v>0</x:v>
      </x:c>
      <x:c r="U433" s="78" t="n">
        <x:f>S433-T433</x:f>
        <x:v>0</x:v>
      </x:c>
      <x:c r="V433" s="78" t="n">
        <x:f>N433+U433</x:f>
        <x:v>9875.124663483899</x:v>
      </x:c>
      <x:c r="W433" s="74" t="n">
        <x:f>IFERROR(V433/MAX($V$16:V433)-1,0)</x:f>
        <x:v>-0.02282918371998699</x:v>
      </x:c>
      <x:c r="X433" t="str">
        <x:f>IF(O433&gt;0,"TRADE","NO_TRADE")</x:f>
        <x:v>NO_TRADE</x:v>
      </x:c>
    </x:row>
    <x:row r="434">
      <x:c r="A434" s="66" t="n">
        <x:v>46167.524189814816</x:v>
      </x:c>
      <x:c r="B434" s="66" t="str">
        <x:v>MKT_1006</x:v>
      </x:c>
      <x:c r="C434" s="66" t="n">
        <x:v>46167.524305555555</x:v>
      </x:c>
      <x:c r="D434" t="n">
        <x:v>10</x:v>
      </x:c>
      <x:c r="E434" t="str">
        <x:v>YES</x:v>
      </x:c>
      <x:c r="F434" s="74" t="n">
        <x:v>0.91</x:v>
      </x:c>
      <x:c r="G434" s="74" t="n">
        <x:v>0.91</x:v>
      </x:c>
      <x:c r="H434" s="74" t="n">
        <x:v>0.9450000000000001</x:v>
      </x:c>
      <x:c r="I434" s="74" t="n">
        <x:f>IF(E434="YES",H434,1-H434)</x:f>
        <x:v>0.9450000000000001</x:v>
      </x:c>
      <x:c r="J434" s="76" t="n">
        <x:f>Assumptions!$C$12+Assumptions!$C$11*F434</x:f>
        <x:v>0.003</x:v>
      </x:c>
      <x:c r="K434" s="76" t="n">
        <x:f>I434-F434-J434</x:f>
        <x:v>0.03200000000000003</x:v>
      </x:c>
      <x:c r="L434" s="74" t="n">
        <x:f>MAX(0,IFERROR(K434/(1-F434),0))</x:f>
        <x:v>0.355555555555556</x:v>
      </x:c>
      <x:c r="M434" s="74" t="n">
        <x:f>MIN(Assumptions!$C$8*L434,Assumptions!$C$5)</x:f>
        <x:v>0.005</x:v>
      </x:c>
      <x:c r="N434" s="78" t="n">
        <x:f>IF(ROW()=16,Assumptions!$C$4,V433)</x:f>
        <x:v>9875.124663483899</x:v>
      </x:c>
      <x:c r="O434" s="78" t="n">
        <x:f>IF(AND(K434&gt;IF(F434&gt;=Assumptions!$C$21,Assumptions!$C$10,Assumptions!$C$9),D434&gt;Assumptions!$C$23),N434*M434,0)</x:f>
        <x:v>49.375623317419496</x:v>
      </x:c>
      <x:c r="P434" s="78" t="n">
        <x:f>IFERROR(O434/F434,0)</x:f>
        <x:v>54.25892672243901</x:v>
      </x:c>
      <x:c r="Q434" s="78" t="n">
        <x:v>1</x:v>
      </x:c>
      <x:c r="R434" s="78" t="str">
        <x:v>Resolve</x:v>
      </x:c>
      <x:c r="S434" s="78" t="n">
        <x:f>IF(R434="Resolve",IF(IF(E434="YES",Q434,1-Q434)=1,P434*(1-F434),-O434),P434*(G434-F434))</x:f>
        <x:v>4.883303405019509</x:v>
      </x:c>
      <x:c r="T434" s="78" t="n">
        <x:f>P434*J434</x:f>
        <x:v>0.16277678016731703</x:v>
      </x:c>
      <x:c r="U434" s="78" t="n">
        <x:f>S434-T434</x:f>
        <x:v>4.720526624852192</x:v>
      </x:c>
      <x:c r="V434" s="78" t="n">
        <x:f>N434+U434</x:f>
        <x:v>9879.845190108752</x:v>
      </x:c>
      <x:c r="W434" s="74" t="n">
        <x:f>IFERROR(V434/MAX($V$16:V434)-1,0)</x:f>
        <x:v>-0.02236207459352335</x:v>
      </x:c>
      <x:c r="X434" t="str">
        <x:f>IF(O434&gt;0,"TRADE","NO_TRADE")</x:f>
        <x:v>TRADE</x:v>
      </x:c>
    </x:row>
    <x:row r="435">
      <x:c r="A435" s="66" t="n">
        <x:v>46167.524247685185</x:v>
      </x:c>
      <x:c r="B435" s="66" t="str">
        <x:v>MKT_1006</x:v>
      </x:c>
      <x:c r="C435" s="66" t="n">
        <x:v>46167.524305555555</x:v>
      </x:c>
      <x:c r="D435" t="n">
        <x:v>5</x:v>
      </x:c>
      <x:c r="E435" t="str">
        <x:v>YES</x:v>
      </x:c>
      <x:c r="F435" s="74" t="n">
        <x:v>0.83</x:v>
      </x:c>
      <x:c r="G435" s="74" t="n">
        <x:v>0.83</x:v>
      </x:c>
      <x:c r="H435" s="74" t="n">
        <x:v>0.82</x:v>
      </x:c>
      <x:c r="I435" s="74" t="n">
        <x:f>IF(E435="YES",H435,1-H435)</x:f>
        <x:v>0.82</x:v>
      </x:c>
      <x:c r="J435" s="76" t="n">
        <x:f>Assumptions!$C$12+Assumptions!$C$11*F435</x:f>
        <x:v>0.003</x:v>
      </x:c>
      <x:c r="K435" s="76" t="n">
        <x:f>I435-F435-J435</x:f>
        <x:v>-0.013000000000000008</x:v>
      </x:c>
      <x:c r="L435" s="74" t="n">
        <x:f>MAX(0,IFERROR(K435/(1-F435),0))</x:f>
        <x:v>0</x:v>
      </x:c>
      <x:c r="M435" s="74" t="n">
        <x:f>MIN(Assumptions!$C$8*L435,Assumptions!$C$5)</x:f>
        <x:v>0</x:v>
      </x:c>
      <x:c r="N435" s="78" t="n">
        <x:f>IF(ROW()=16,Assumptions!$C$4,V434)</x:f>
        <x:v>9879.845190108752</x:v>
      </x:c>
      <x:c r="O435" s="78" t="n">
        <x:f>IF(AND(K435&gt;IF(F435&gt;=Assumptions!$C$21,Assumptions!$C$10,Assumptions!$C$9),D435&gt;Assumptions!$C$23),N435*M435,0)</x:f>
        <x:v>0</x:v>
      </x:c>
      <x:c r="P435" s="78" t="n">
        <x:f>IFERROR(O435/F435,0)</x:f>
        <x:v>0</x:v>
      </x:c>
      <x:c r="Q435" s="78" t="n">
        <x:v>1</x:v>
      </x:c>
      <x:c r="R435" s="78" t="str">
        <x:v>Resolve</x:v>
      </x:c>
      <x:c r="S435" s="78" t="n">
        <x:f>IF(R435="Resolve",IF(IF(E435="YES",Q435,1-Q435)=1,P435*(1-F435),-O435),P435*(G435-F435))</x:f>
        <x:v>0</x:v>
      </x:c>
      <x:c r="T435" s="78" t="n">
        <x:f>P435*J435</x:f>
        <x:v>0</x:v>
      </x:c>
      <x:c r="U435" s="78" t="n">
        <x:f>S435-T435</x:f>
        <x:v>0</x:v>
      </x:c>
      <x:c r="V435" s="78" t="n">
        <x:f>N435+U435</x:f>
        <x:v>9879.845190108752</x:v>
      </x:c>
      <x:c r="W435" s="74" t="n">
        <x:f>IFERROR(V435/MAX($V$16:V435)-1,0)</x:f>
        <x:v>-0.02236207459352335</x:v>
      </x:c>
      <x:c r="X435" t="str">
        <x:f>IF(O435&gt;0,"TRADE","NO_TRADE")</x:f>
        <x:v>NO_TRADE</x:v>
      </x:c>
    </x:row>
    <x:row r="436">
      <x:c r="A436" s="66" t="n">
        <x:v>46167.524305555555</x:v>
      </x:c>
      <x:c r="B436" s="66" t="str">
        <x:v>MKT_1007</x:v>
      </x:c>
      <x:c r="C436" s="66" t="n">
        <x:v>46167.52777777778</x:v>
      </x:c>
      <x:c r="D436" t="n">
        <x:v>300</x:v>
      </x:c>
      <x:c r="E436" t="str">
        <x:v>NO</x:v>
      </x:c>
      <x:c r="F436" s="74" t="n">
        <x:v>0.52</x:v>
      </x:c>
      <x:c r="G436" s="74" t="n">
        <x:v>0.52</x:v>
      </x:c>
      <x:c r="H436" s="74" t="n">
        <x:v>0.535</x:v>
      </x:c>
      <x:c r="I436" s="74" t="n">
        <x:f>IF(E436="YES",H436,1-H436)</x:f>
        <x:v>0.46499999999999997</x:v>
      </x:c>
      <x:c r="J436" s="76" t="n">
        <x:f>Assumptions!$C$12+Assumptions!$C$11*F436</x:f>
        <x:v>0.003</x:v>
      </x:c>
      <x:c r="K436" s="76" t="n">
        <x:f>I436-F436-J436</x:f>
        <x:v>-0.05800000000000005</x:v>
      </x:c>
      <x:c r="L436" s="74" t="n">
        <x:f>MAX(0,IFERROR(K436/(1-F436),0))</x:f>
        <x:v>0</x:v>
      </x:c>
      <x:c r="M436" s="74" t="n">
        <x:f>MIN(Assumptions!$C$8*L436,Assumptions!$C$5)</x:f>
        <x:v>0</x:v>
      </x:c>
      <x:c r="N436" s="78" t="n">
        <x:f>IF(ROW()=16,Assumptions!$C$4,V435)</x:f>
        <x:v>9879.845190108752</x:v>
      </x:c>
      <x:c r="O436" s="78" t="n">
        <x:f>IF(AND(K436&gt;IF(F436&gt;=Assumptions!$C$21,Assumptions!$C$10,Assumptions!$C$9),D436&gt;Assumptions!$C$23),N436*M436,0)</x:f>
        <x:v>0</x:v>
      </x:c>
      <x:c r="P436" s="78" t="n">
        <x:f>IFERROR(O436/F436,0)</x:f>
        <x:v>0</x:v>
      </x:c>
      <x:c r="Q436" s="78" t="n">
        <x:v>0</x:v>
      </x:c>
      <x:c r="R436" s="78" t="str">
        <x:v>Resolve</x:v>
      </x:c>
      <x:c r="S436" s="78" t="n">
        <x:f>IF(R436="Resolve",IF(IF(E436="YES",Q436,1-Q436)=1,P436*(1-F436),-O436),P436*(G436-F436))</x:f>
        <x:v>0</x:v>
      </x:c>
      <x:c r="T436" s="78" t="n">
        <x:f>P436*J436</x:f>
        <x:v>0</x:v>
      </x:c>
      <x:c r="U436" s="78" t="n">
        <x:f>S436-T436</x:f>
        <x:v>0</x:v>
      </x:c>
      <x:c r="V436" s="78" t="n">
        <x:f>N436+U436</x:f>
        <x:v>9879.845190108752</x:v>
      </x:c>
      <x:c r="W436" s="74" t="n">
        <x:f>IFERROR(V436/MAX($V$16:V436)-1,0)</x:f>
        <x:v>-0.02236207459352335</x:v>
      </x:c>
      <x:c r="X436" t="str">
        <x:f>IF(O436&gt;0,"TRADE","NO_TRADE")</x:f>
        <x:v>NO_TRADE</x:v>
      </x:c>
    </x:row>
    <x:row r="437">
      <x:c r="A437" s="66" t="n">
        <x:v>46167.524363425924</x:v>
      </x:c>
      <x:c r="B437" s="66" t="str">
        <x:v>MKT_1007</x:v>
      </x:c>
      <x:c r="C437" s="66" t="n">
        <x:v>46167.52777777778</x:v>
      </x:c>
      <x:c r="D437" t="n">
        <x:v>295</x:v>
      </x:c>
      <x:c r="E437" t="str">
        <x:v>YES</x:v>
      </x:c>
      <x:c r="F437" s="74" t="n">
        <x:v>0.61</x:v>
      </x:c>
      <x:c r="G437" s="74" t="n">
        <x:v>0.61</x:v>
      </x:c>
      <x:c r="H437" s="74" t="n">
        <x:v>0.63</x:v>
      </x:c>
      <x:c r="I437" s="74" t="n">
        <x:f>IF(E437="YES",H437,1-H437)</x:f>
        <x:v>0.63</x:v>
      </x:c>
      <x:c r="J437" s="76" t="n">
        <x:f>Assumptions!$C$12+Assumptions!$C$11*F437</x:f>
        <x:v>0.003</x:v>
      </x:c>
      <x:c r="K437" s="76" t="n">
        <x:f>I437-F437-J437</x:f>
        <x:v>0.01700000000000002</x:v>
      </x:c>
      <x:c r="L437" s="74" t="n">
        <x:f>MAX(0,IFERROR(K437/(1-F437),0))</x:f>
        <x:v>0.043589743589743636</x:v>
      </x:c>
      <x:c r="M437" s="74" t="n">
        <x:f>MIN(Assumptions!$C$8*L437,Assumptions!$C$5)</x:f>
        <x:v>0.005</x:v>
      </x:c>
      <x:c r="N437" s="78" t="n">
        <x:f>IF(ROW()=16,Assumptions!$C$4,V436)</x:f>
        <x:v>9879.845190108752</x:v>
      </x:c>
      <x:c r="O437" s="78" t="n">
        <x:f>IF(AND(K437&gt;IF(F437&gt;=Assumptions!$C$21,Assumptions!$C$10,Assumptions!$C$9),D437&gt;Assumptions!$C$23),N437*M437,0)</x:f>
        <x:v>49.39922595054376</x:v>
      </x:c>
      <x:c r="P437" s="78" t="n">
        <x:f>IFERROR(O437/F437,0)</x:f>
        <x:v>80.98233762384223</x:v>
      </x:c>
      <x:c r="Q437" s="78" t="n">
        <x:v>1</x:v>
      </x:c>
      <x:c r="R437" s="78" t="str">
        <x:v>Resolve</x:v>
      </x:c>
      <x:c r="S437" s="78" t="n">
        <x:f>IF(R437="Resolve",IF(IF(E437="YES",Q437,1-Q437)=1,P437*(1-F437),-O437),P437*(G437-F437))</x:f>
        <x:v>31.58311167329847</x:v>
      </x:c>
      <x:c r="T437" s="78" t="n">
        <x:f>P437*J437</x:f>
        <x:v>0.24294701287152667</x:v>
      </x:c>
      <x:c r="U437" s="78" t="n">
        <x:f>S437-T437</x:f>
        <x:v>31.340164660426943</x:v>
      </x:c>
      <x:c r="V437" s="78" t="n">
        <x:f>N437+U437</x:f>
        <x:v>9911.185354769179</x:v>
      </x:c>
      <x:c r="W437" s="74" t="n">
        <x:f>IFERROR(V437/MAX($V$16:V437)-1,0)</x:f>
        <x:v>-0.01926087887932415</x:v>
      </x:c>
      <x:c r="X437" t="str">
        <x:f>IF(O437&gt;0,"TRADE","NO_TRADE")</x:f>
        <x:v>TRADE</x:v>
      </x:c>
    </x:row>
    <x:row r="438">
      <x:c r="A438" s="66" t="n">
        <x:v>46167.52442129629</x:v>
      </x:c>
      <x:c r="B438" s="66" t="str">
        <x:v>MKT_1007</x:v>
      </x:c>
      <x:c r="C438" s="66" t="n">
        <x:v>46167.52777777778</x:v>
      </x:c>
      <x:c r="D438" t="n">
        <x:v>290</x:v>
      </x:c>
      <x:c r="E438" t="str">
        <x:v>YES</x:v>
      </x:c>
      <x:c r="F438" s="74" t="n">
        <x:v>0.74</x:v>
      </x:c>
      <x:c r="G438" s="74" t="n">
        <x:v>0.74</x:v>
      </x:c>
      <x:c r="H438" s="74" t="n">
        <x:v>0.735</x:v>
      </x:c>
      <x:c r="I438" s="74" t="n">
        <x:f>IF(E438="YES",H438,1-H438)</x:f>
        <x:v>0.735</x:v>
      </x:c>
      <x:c r="J438" s="76" t="n">
        <x:f>Assumptions!$C$12+Assumptions!$C$11*F438</x:f>
        <x:v>0.003</x:v>
      </x:c>
      <x:c r="K438" s="76" t="n">
        <x:f>I438-F438-J438</x:f>
        <x:v>-0.008000000000000004</x:v>
      </x:c>
      <x:c r="L438" s="74" t="n">
        <x:f>MAX(0,IFERROR(K438/(1-F438),0))</x:f>
        <x:v>0</x:v>
      </x:c>
      <x:c r="M438" s="74" t="n">
        <x:f>MIN(Assumptions!$C$8*L438,Assumptions!$C$5)</x:f>
        <x:v>0</x:v>
      </x:c>
      <x:c r="N438" s="78" t="n">
        <x:f>IF(ROW()=16,Assumptions!$C$4,V437)</x:f>
        <x:v>9911.185354769179</x:v>
      </x:c>
      <x:c r="O438" s="78" t="n">
        <x:f>IF(AND(K438&gt;IF(F438&gt;=Assumptions!$C$21,Assumptions!$C$10,Assumptions!$C$9),D438&gt;Assumptions!$C$23),N438*M438,0)</x:f>
        <x:v>0</x:v>
      </x:c>
      <x:c r="P438" s="78" t="n">
        <x:f>IFERROR(O438/F438,0)</x:f>
        <x:v>0</x:v>
      </x:c>
      <x:c r="Q438" s="78" t="n">
        <x:v>1</x:v>
      </x:c>
      <x:c r="R438" s="78" t="str">
        <x:v>Resolve</x:v>
      </x:c>
      <x:c r="S438" s="78" t="n">
        <x:f>IF(R438="Resolve",IF(IF(E438="YES",Q438,1-Q438)=1,P438*(1-F438),-O438),P438*(G438-F438))</x:f>
        <x:v>0</x:v>
      </x:c>
      <x:c r="T438" s="78" t="n">
        <x:f>P438*J438</x:f>
        <x:v>0</x:v>
      </x:c>
      <x:c r="U438" s="78" t="n">
        <x:f>S438-T438</x:f>
        <x:v>0</x:v>
      </x:c>
      <x:c r="V438" s="78" t="n">
        <x:f>N438+U438</x:f>
        <x:v>9911.185354769179</x:v>
      </x:c>
      <x:c r="W438" s="74" t="n">
        <x:f>IFERROR(V438/MAX($V$16:V438)-1,0)</x:f>
        <x:v>-0.01926087887932415</x:v>
      </x:c>
      <x:c r="X438" t="str">
        <x:f>IF(O438&gt;0,"TRADE","NO_TRADE")</x:f>
        <x:v>NO_TRADE</x:v>
      </x:c>
    </x:row>
    <x:row r="439">
      <x:c r="A439" s="66" t="n">
        <x:v>46167.52447916667</x:v>
      </x:c>
      <x:c r="B439" s="66" t="str">
        <x:v>MKT_1007</x:v>
      </x:c>
      <x:c r="C439" s="66" t="n">
        <x:v>46167.52777777778</x:v>
      </x:c>
      <x:c r="D439" t="n">
        <x:v>285</x:v>
      </x:c>
      <x:c r="E439" t="str">
        <x:v>NO</x:v>
      </x:c>
      <x:c r="F439" s="74" t="n">
        <x:v>0.88</x:v>
      </x:c>
      <x:c r="G439" s="74" t="n">
        <x:v>0.88</x:v>
      </x:c>
      <x:c r="H439" s="74" t="n">
        <x:v>0.91</x:v>
      </x:c>
      <x:c r="I439" s="74" t="n">
        <x:f>IF(E439="YES",H439,1-H439)</x:f>
        <x:v>0.08999999999999997</x:v>
      </x:c>
      <x:c r="J439" s="76" t="n">
        <x:f>Assumptions!$C$12+Assumptions!$C$11*F439</x:f>
        <x:v>0.003</x:v>
      </x:c>
      <x:c r="K439" s="76" t="n">
        <x:f>I439-F439-J439</x:f>
        <x:v>-0.793</x:v>
      </x:c>
      <x:c r="L439" s="74" t="n">
        <x:f>MAX(0,IFERROR(K439/(1-F439),0))</x:f>
        <x:v>0</x:v>
      </x:c>
      <x:c r="M439" s="74" t="n">
        <x:f>MIN(Assumptions!$C$8*L439,Assumptions!$C$5)</x:f>
        <x:v>0</x:v>
      </x:c>
      <x:c r="N439" s="78" t="n">
        <x:f>IF(ROW()=16,Assumptions!$C$4,V438)</x:f>
        <x:v>9911.185354769179</x:v>
      </x:c>
      <x:c r="O439" s="78" t="n">
        <x:f>IF(AND(K439&gt;IF(F439&gt;=Assumptions!$C$21,Assumptions!$C$10,Assumptions!$C$9),D439&gt;Assumptions!$C$23),N439*M439,0)</x:f>
        <x:v>0</x:v>
      </x:c>
      <x:c r="P439" s="78" t="n">
        <x:f>IFERROR(O439/F439,0)</x:f>
        <x:v>0</x:v>
      </x:c>
      <x:c r="Q439" s="78" t="n">
        <x:v>0</x:v>
      </x:c>
      <x:c r="R439" s="78" t="str">
        <x:v>Resolve</x:v>
      </x:c>
      <x:c r="S439" s="78" t="n">
        <x:f>IF(R439="Resolve",IF(IF(E439="YES",Q439,1-Q439)=1,P439*(1-F439),-O439),P439*(G439-F439))</x:f>
        <x:v>0</x:v>
      </x:c>
      <x:c r="T439" s="78" t="n">
        <x:f>P439*J439</x:f>
        <x:v>0</x:v>
      </x:c>
      <x:c r="U439" s="78" t="n">
        <x:f>S439-T439</x:f>
        <x:v>0</x:v>
      </x:c>
      <x:c r="V439" s="78" t="n">
        <x:f>N439+U439</x:f>
        <x:v>9911.185354769179</x:v>
      </x:c>
      <x:c r="W439" s="74" t="n">
        <x:f>IFERROR(V439/MAX($V$16:V439)-1,0)</x:f>
        <x:v>-0.01926087887932415</x:v>
      </x:c>
      <x:c r="X439" t="str">
        <x:f>IF(O439&gt;0,"TRADE","NO_TRADE")</x:f>
        <x:v>NO_TRADE</x:v>
      </x:c>
    </x:row>
    <x:row r="440">
      <x:c r="A440" s="66" t="n">
        <x:v>46167.52453703704</x:v>
      </x:c>
      <x:c r="B440" s="66" t="str">
        <x:v>MKT_1007</x:v>
      </x:c>
      <x:c r="C440" s="66" t="n">
        <x:v>46167.52777777778</x:v>
      </x:c>
      <x:c r="D440" t="n">
        <x:v>280</x:v>
      </x:c>
      <x:c r="E440" t="str">
        <x:v>YES</x:v>
      </x:c>
      <x:c r="F440" s="74" t="n">
        <x:v>0.94</x:v>
      </x:c>
      <x:c r="G440" s="74" t="n">
        <x:v>0.94</x:v>
      </x:c>
      <x:c r="H440" s="74" t="n">
        <x:v>0.98</x:v>
      </x:c>
      <x:c r="I440" s="74" t="n">
        <x:f>IF(E440="YES",H440,1-H440)</x:f>
        <x:v>0.98</x:v>
      </x:c>
      <x:c r="J440" s="76" t="n">
        <x:f>Assumptions!$C$12+Assumptions!$C$11*F440</x:f>
        <x:v>0.003</x:v>
      </x:c>
      <x:c r="K440" s="76" t="n">
        <x:f>I440-F440-J440</x:f>
        <x:v>0.03700000000000003</x:v>
      </x:c>
      <x:c r="L440" s="74" t="n">
        <x:f>MAX(0,IFERROR(K440/(1-F440),0))</x:f>
        <x:v>0.6166666666666667</x:v>
      </x:c>
      <x:c r="M440" s="74" t="n">
        <x:f>MIN(Assumptions!$C$8*L440,Assumptions!$C$5)</x:f>
        <x:v>0.005</x:v>
      </x:c>
      <x:c r="N440" s="78" t="n">
        <x:f>IF(ROW()=16,Assumptions!$C$4,V439)</x:f>
        <x:v>9911.185354769179</x:v>
      </x:c>
      <x:c r="O440" s="78" t="n">
        <x:f>IF(AND(K440&gt;IF(F440&gt;=Assumptions!$C$21,Assumptions!$C$10,Assumptions!$C$9),D440&gt;Assumptions!$C$23),N440*M440,0)</x:f>
        <x:v>49.5559267738459</x:v>
      </x:c>
      <x:c r="P440" s="78" t="n">
        <x:f>IFERROR(O440/F440,0)</x:f>
        <x:v>52.71907103600628</x:v>
      </x:c>
      <x:c r="Q440" s="78" t="n">
        <x:v>1</x:v>
      </x:c>
      <x:c r="R440" s="78" t="str">
        <x:v>Resolve</x:v>
      </x:c>
      <x:c r="S440" s="78" t="n">
        <x:f>IF(R440="Resolve",IF(IF(E440="YES",Q440,1-Q440)=1,P440*(1-F440),-O440),P440*(G440-F440))</x:f>
        <x:v>3.1631442621603796</x:v>
      </x:c>
      <x:c r="T440" s="78" t="n">
        <x:f>P440*J440</x:f>
        <x:v>0.15815721310801883</x:v>
      </x:c>
      <x:c r="U440" s="78" t="n">
        <x:f>S440-T440</x:f>
        <x:v>3.0049870490523607</x:v>
      </x:c>
      <x:c r="V440" s="78" t="n">
        <x:f>N440+U440</x:f>
        <x:v>9914.190341818232</x:v>
      </x:c>
      <x:c r="W440" s="74" t="n">
        <x:f>IFERROR(V440/MAX($V$16:V440)-1,0)</x:f>
        <x:v>-0.01896352712451621</x:v>
      </x:c>
      <x:c r="X440" t="str">
        <x:f>IF(O440&gt;0,"TRADE","NO_TRADE")</x:f>
        <x:v>TRADE</x:v>
      </x:c>
    </x:row>
    <x:row r="441">
      <x:c r="A441" s="66" t="n">
        <x:v>46167.52459490741</x:v>
      </x:c>
      <x:c r="B441" s="66" t="str">
        <x:v>MKT_1007</x:v>
      </x:c>
      <x:c r="C441" s="66" t="n">
        <x:v>46167.52777777778</x:v>
      </x:c>
      <x:c r="D441" t="n">
        <x:v>275</x:v>
      </x:c>
      <x:c r="E441" t="str">
        <x:v>YES</x:v>
      </x:c>
      <x:c r="F441" s="74" t="n">
        <x:v>0.95</x:v>
      </x:c>
      <x:c r="G441" s="74" t="n">
        <x:v>0.95</x:v>
      </x:c>
      <x:c r="H441" s="74" t="n">
        <x:v>0.968</x:v>
      </x:c>
      <x:c r="I441" s="74" t="n">
        <x:f>IF(E441="YES",H441,1-H441)</x:f>
        <x:v>0.968</x:v>
      </x:c>
      <x:c r="J441" s="76" t="n">
        <x:f>Assumptions!$C$12+Assumptions!$C$11*F441</x:f>
        <x:v>0.003</x:v>
      </x:c>
      <x:c r="K441" s="76" t="n">
        <x:f>I441-F441-J441</x:f>
        <x:v>0.015000000000000017</x:v>
      </x:c>
      <x:c r="L441" s="74" t="n">
        <x:f>MAX(0,IFERROR(K441/(1-F441),0))</x:f>
        <x:v>0.30000000000000004</x:v>
      </x:c>
      <x:c r="M441" s="74" t="n">
        <x:f>MIN(Assumptions!$C$8*L441,Assumptions!$C$5)</x:f>
        <x:v>0.005</x:v>
      </x:c>
      <x:c r="N441" s="78" t="n">
        <x:f>IF(ROW()=16,Assumptions!$C$4,V440)</x:f>
        <x:v>9914.190341818232</x:v>
      </x:c>
      <x:c r="O441" s="78" t="n">
        <x:f>IF(AND(K441&gt;IF(F441&gt;=Assumptions!$C$21,Assumptions!$C$10,Assumptions!$C$9),D441&gt;Assumptions!$C$23),N441*M441,0)</x:f>
        <x:v>49.57095170909116</x:v>
      </x:c>
      <x:c r="P441" s="78" t="n">
        <x:f>IFERROR(O441/F441,0)</x:f>
        <x:v>52.179949167464386</x:v>
      </x:c>
      <x:c r="Q441" s="78" t="n">
        <x:v>1</x:v>
      </x:c>
      <x:c r="R441" s="78" t="str">
        <x:v>Resolve</x:v>
      </x:c>
      <x:c r="S441" s="78" t="n">
        <x:f>IF(R441="Resolve",IF(IF(E441="YES",Q441,1-Q441)=1,P441*(1-F441),-O441),P441*(G441-F441))</x:f>
        <x:v>2.6089974583732216</x:v>
      </x:c>
      <x:c r="T441" s="78" t="n">
        <x:f>P441*J441</x:f>
        <x:v>0.15653984750239316</x:v>
      </x:c>
      <x:c r="U441" s="78" t="n">
        <x:f>S441-T441</x:f>
        <x:v>2.4524576108708285</x:v>
      </x:c>
      <x:c r="V441" s="78" t="n">
        <x:f>N441+U441</x:f>
        <x:v>9916.642799429103</x:v>
      </x:c>
      <x:c r="W441" s="74" t="n">
        <x:f>IFERROR(V441/MAX($V$16:V441)-1,0)</x:f>
        <x:v>-0.018720849681225893</x:v>
      </x:c>
      <x:c r="X441" t="str">
        <x:f>IF(O441&gt;0,"TRADE","NO_TRADE")</x:f>
        <x:v>TRADE</x:v>
      </x:c>
    </x:row>
    <x:row r="442">
      <x:c r="A442" s="66" t="n">
        <x:v>46167.52465277778</x:v>
      </x:c>
      <x:c r="B442" s="66" t="str">
        <x:v>MKT_1007</x:v>
      </x:c>
      <x:c r="C442" s="66" t="n">
        <x:v>46167.52777777778</x:v>
      </x:c>
      <x:c r="D442" t="n">
        <x:v>270</x:v>
      </x:c>
      <x:c r="E442" t="str">
        <x:v>NO</x:v>
      </x:c>
      <x:c r="F442" s="74" t="n">
        <x:v>0.57</x:v>
      </x:c>
      <x:c r="G442" s="74" t="n">
        <x:v>0.57</x:v>
      </x:c>
      <x:c r="H442" s="74" t="n">
        <x:v>0.582</x:v>
      </x:c>
      <x:c r="I442" s="74" t="n">
        <x:f>IF(E442="YES",H442,1-H442)</x:f>
        <x:v>0.41800000000000004</x:v>
      </x:c>
      <x:c r="J442" s="76" t="n">
        <x:f>Assumptions!$C$12+Assumptions!$C$11*F442</x:f>
        <x:v>0.003</x:v>
      </x:c>
      <x:c r="K442" s="76" t="n">
        <x:f>I442-F442-J442</x:f>
        <x:v>-0.15499999999999992</x:v>
      </x:c>
      <x:c r="L442" s="74" t="n">
        <x:f>MAX(0,IFERROR(K442/(1-F442),0))</x:f>
        <x:v>0</x:v>
      </x:c>
      <x:c r="M442" s="74" t="n">
        <x:f>MIN(Assumptions!$C$8*L442,Assumptions!$C$5)</x:f>
        <x:v>0</x:v>
      </x:c>
      <x:c r="N442" s="78" t="n">
        <x:f>IF(ROW()=16,Assumptions!$C$4,V441)</x:f>
        <x:v>9916.642799429103</x:v>
      </x:c>
      <x:c r="O442" s="78" t="n">
        <x:f>IF(AND(K442&gt;IF(F442&gt;=Assumptions!$C$21,Assumptions!$C$10,Assumptions!$C$9),D442&gt;Assumptions!$C$23),N442*M442,0)</x:f>
        <x:v>0</x:v>
      </x:c>
      <x:c r="P442" s="78" t="n">
        <x:f>IFERROR(O442/F442,0)</x:f>
        <x:v>0</x:v>
      </x:c>
      <x:c r="Q442" s="78" t="n">
        <x:v>1</x:v>
      </x:c>
      <x:c r="R442" s="78" t="str">
        <x:v>Resolve</x:v>
      </x:c>
      <x:c r="S442" s="78" t="n">
        <x:f>IF(R442="Resolve",IF(IF(E442="YES",Q442,1-Q442)=1,P442*(1-F442),-O442),P442*(G442-F442))</x:f>
        <x:v>0</x:v>
      </x:c>
      <x:c r="T442" s="78" t="n">
        <x:f>P442*J442</x:f>
        <x:v>0</x:v>
      </x:c>
      <x:c r="U442" s="78" t="n">
        <x:f>S442-T442</x:f>
        <x:v>0</x:v>
      </x:c>
      <x:c r="V442" s="78" t="n">
        <x:f>N442+U442</x:f>
        <x:v>9916.642799429103</x:v>
      </x:c>
      <x:c r="W442" s="74" t="n">
        <x:f>IFERROR(V442/MAX($V$16:V442)-1,0)</x:f>
        <x:v>-0.018720849681225893</x:v>
      </x:c>
      <x:c r="X442" t="str">
        <x:f>IF(O442&gt;0,"TRADE","NO_TRADE")</x:f>
        <x:v>NO_TRADE</x:v>
      </x:c>
    </x:row>
    <x:row r="443">
      <x:c r="A443" s="66" t="n">
        <x:v>46167.52471064815</x:v>
      </x:c>
      <x:c r="B443" s="66" t="str">
        <x:v>MKT_1007</x:v>
      </x:c>
      <x:c r="C443" s="66" t="n">
        <x:v>46167.52777777778</x:v>
      </x:c>
      <x:c r="D443" t="n">
        <x:v>265</x:v>
      </x:c>
      <x:c r="E443" t="str">
        <x:v>YES</x:v>
      </x:c>
      <x:c r="F443" s="74" t="n">
        <x:v>0.68</x:v>
      </x:c>
      <x:c r="G443" s="74" t="n">
        <x:v>0.68</x:v>
      </x:c>
      <x:c r="H443" s="74" t="n">
        <x:v>0.7050000000000001</x:v>
      </x:c>
      <x:c r="I443" s="74" t="n">
        <x:f>IF(E443="YES",H443,1-H443)</x:f>
        <x:v>0.7050000000000001</x:v>
      </x:c>
      <x:c r="J443" s="76" t="n">
        <x:f>Assumptions!$C$12+Assumptions!$C$11*F443</x:f>
        <x:v>0.003</x:v>
      </x:c>
      <x:c r="K443" s="76" t="n">
        <x:f>I443-F443-J443</x:f>
        <x:v>0.022000000000000023</x:v>
      </x:c>
      <x:c r="L443" s="74" t="n">
        <x:f>MAX(0,IFERROR(K443/(1-F443),0))</x:f>
        <x:v>0.06875000000000009</x:v>
      </x:c>
      <x:c r="M443" s="74" t="n">
        <x:f>MIN(Assumptions!$C$8*L443,Assumptions!$C$5)</x:f>
        <x:v>0.005</x:v>
      </x:c>
      <x:c r="N443" s="78" t="n">
        <x:f>IF(ROW()=16,Assumptions!$C$4,V442)</x:f>
        <x:v>9916.642799429103</x:v>
      </x:c>
      <x:c r="O443" s="78" t="n">
        <x:f>IF(AND(K443&gt;IF(F443&gt;=Assumptions!$C$21,Assumptions!$C$10,Assumptions!$C$9),D443&gt;Assumptions!$C$23),N443*M443,0)</x:f>
        <x:v>49.58321399714551</x:v>
      </x:c>
      <x:c r="P443" s="78" t="n">
        <x:f>IFERROR(O443/F443,0)</x:f>
        <x:v>72.91649117227281</x:v>
      </x:c>
      <x:c r="Q443" s="78" t="n">
        <x:v>0</x:v>
      </x:c>
      <x:c r="R443" s="78" t="str">
        <x:v>Resolve</x:v>
      </x:c>
      <x:c r="S443" s="78" t="n">
        <x:f>IF(R443="Resolve",IF(IF(E443="YES",Q443,1-Q443)=1,P443*(1-F443),-O443),P443*(G443-F443))</x:f>
        <x:v>-49.58321399714551</x:v>
      </x:c>
      <x:c r="T443" s="78" t="n">
        <x:f>P443*J443</x:f>
        <x:v>0.21874947351681845</x:v>
      </x:c>
      <x:c r="U443" s="78" t="n">
        <x:f>S443-T443</x:f>
        <x:v>-49.80196347066233</x:v>
      </x:c>
      <x:c r="V443" s="78" t="n">
        <x:f>N443+U443</x:f>
        <x:v>9866.840835958441</x:v>
      </x:c>
      <x:c r="W443" s="74" t="n">
        <x:f>IFERROR(V443/MAX($V$16:V443)-1,0)</x:f>
        <x:v>-0.023648891296429664</x:v>
      </x:c>
      <x:c r="X443" t="str">
        <x:f>IF(O443&gt;0,"TRADE","NO_TRADE")</x:f>
        <x:v>TRADE</x:v>
      </x:c>
    </x:row>
    <x:row r="444">
      <x:c r="A444" s="66" t="n">
        <x:v>46167.52476851852</x:v>
      </x:c>
      <x:c r="B444" s="66" t="str">
        <x:v>MKT_1007</x:v>
      </x:c>
      <x:c r="C444" s="66" t="n">
        <x:v>46167.52777777778</x:v>
      </x:c>
      <x:c r="D444" t="n">
        <x:v>260</x:v>
      </x:c>
      <x:c r="E444" t="str">
        <x:v>YES</x:v>
      </x:c>
      <x:c r="F444" s="74" t="n">
        <x:v>0.91</x:v>
      </x:c>
      <x:c r="G444" s="74" t="n">
        <x:v>0.91</x:v>
      </x:c>
      <x:c r="H444" s="74" t="n">
        <x:v>0.9450000000000001</x:v>
      </x:c>
      <x:c r="I444" s="74" t="n">
        <x:f>IF(E444="YES",H444,1-H444)</x:f>
        <x:v>0.9450000000000001</x:v>
      </x:c>
      <x:c r="J444" s="76" t="n">
        <x:f>Assumptions!$C$12+Assumptions!$C$11*F444</x:f>
        <x:v>0.003</x:v>
      </x:c>
      <x:c r="K444" s="76" t="n">
        <x:f>I444-F444-J444</x:f>
        <x:v>0.03200000000000003</x:v>
      </x:c>
      <x:c r="L444" s="74" t="n">
        <x:f>MAX(0,IFERROR(K444/(1-F444),0))</x:f>
        <x:v>0.355555555555556</x:v>
      </x:c>
      <x:c r="M444" s="74" t="n">
        <x:f>MIN(Assumptions!$C$8*L444,Assumptions!$C$5)</x:f>
        <x:v>0.005</x:v>
      </x:c>
      <x:c r="N444" s="78" t="n">
        <x:f>IF(ROW()=16,Assumptions!$C$4,V443)</x:f>
        <x:v>9866.840835958441</x:v>
      </x:c>
      <x:c r="O444" s="78" t="n">
        <x:f>IF(AND(K444&gt;IF(F444&gt;=Assumptions!$C$21,Assumptions!$C$10,Assumptions!$C$9),D444&gt;Assumptions!$C$23),N444*M444,0)</x:f>
        <x:v>49.33420417979221</x:v>
      </x:c>
      <x:c r="P444" s="78" t="n">
        <x:f>IFERROR(O444/F444,0)</x:f>
        <x:v>54.21341118658484</x:v>
      </x:c>
      <x:c r="Q444" s="78" t="n">
        <x:v>1</x:v>
      </x:c>
      <x:c r="R444" s="78" t="str">
        <x:v>Resolve</x:v>
      </x:c>
      <x:c r="S444" s="78" t="n">
        <x:f>IF(R444="Resolve",IF(IF(E444="YES",Q444,1-Q444)=1,P444*(1-F444),-O444),P444*(G444-F444))</x:f>
        <x:v>4.879207006792634</x:v>
      </x:c>
      <x:c r="T444" s="78" t="n">
        <x:f>P444*J444</x:f>
        <x:v>0.16264023355975454</x:v>
      </x:c>
      <x:c r="U444" s="78" t="n">
        <x:f>S444-T444</x:f>
        <x:v>4.71656677323288</x:v>
      </x:c>
      <x:c r="V444" s="78" t="n">
        <x:f>N444+U444</x:f>
        <x:v>9871.557402731674</x:v>
      </x:c>
      <x:c r="W444" s="74" t="n">
        <x:f>IFERROR(V444/MAX($V$16:V444)-1,0)</x:f>
        <x:v>-0.023182174008203216</x:v>
      </x:c>
      <x:c r="X444" t="str">
        <x:f>IF(O444&gt;0,"TRADE","NO_TRADE")</x:f>
        <x:v>TRADE</x:v>
      </x:c>
    </x:row>
    <x:row r="445">
      <x:c r="A445" s="66" t="n">
        <x:v>46167.524826388886</x:v>
      </x:c>
      <x:c r="B445" s="66" t="str">
        <x:v>MKT_1007</x:v>
      </x:c>
      <x:c r="C445" s="66" t="n">
        <x:v>46167.52777777778</x:v>
      </x:c>
      <x:c r="D445" t="n">
        <x:v>255</x:v>
      </x:c>
      <x:c r="E445" t="str">
        <x:v>NO</x:v>
      </x:c>
      <x:c r="F445" s="74" t="n">
        <x:v>0.83</x:v>
      </x:c>
      <x:c r="G445" s="74" t="n">
        <x:v>0.83</x:v>
      </x:c>
      <x:c r="H445" s="74" t="n">
        <x:v>0.82</x:v>
      </x:c>
      <x:c r="I445" s="74" t="n">
        <x:f>IF(E445="YES",H445,1-H445)</x:f>
        <x:v>0.18000000000000005</x:v>
      </x:c>
      <x:c r="J445" s="76" t="n">
        <x:f>Assumptions!$C$12+Assumptions!$C$11*F445</x:f>
        <x:v>0.003</x:v>
      </x:c>
      <x:c r="K445" s="76" t="n">
        <x:f>I445-F445-J445</x:f>
        <x:v>-0.6529999999999999</x:v>
      </x:c>
      <x:c r="L445" s="74" t="n">
        <x:f>MAX(0,IFERROR(K445/(1-F445),0))</x:f>
        <x:v>0</x:v>
      </x:c>
      <x:c r="M445" s="74" t="n">
        <x:f>MIN(Assumptions!$C$8*L445,Assumptions!$C$5)</x:f>
        <x:v>0</x:v>
      </x:c>
      <x:c r="N445" s="78" t="n">
        <x:f>IF(ROW()=16,Assumptions!$C$4,V444)</x:f>
        <x:v>9871.557402731674</x:v>
      </x:c>
      <x:c r="O445" s="78" t="n">
        <x:f>IF(AND(K445&gt;IF(F445&gt;=Assumptions!$C$21,Assumptions!$C$10,Assumptions!$C$9),D445&gt;Assumptions!$C$23),N445*M445,0)</x:f>
        <x:v>0</x:v>
      </x:c>
      <x:c r="P445" s="78" t="n">
        <x:f>IFERROR(O445/F445,0)</x:f>
        <x:v>0</x:v>
      </x:c>
      <x:c r="Q445" s="78" t="n">
        <x:v>1</x:v>
      </x:c>
      <x:c r="R445" s="78" t="str">
        <x:v>Resolve</x:v>
      </x:c>
      <x:c r="S445" s="78" t="n">
        <x:f>IF(R445="Resolve",IF(IF(E445="YES",Q445,1-Q445)=1,P445*(1-F445),-O445),P445*(G445-F445))</x:f>
        <x:v>0</x:v>
      </x:c>
      <x:c r="T445" s="78" t="n">
        <x:f>P445*J445</x:f>
        <x:v>0</x:v>
      </x:c>
      <x:c r="U445" s="78" t="n">
        <x:f>S445-T445</x:f>
        <x:v>0</x:v>
      </x:c>
      <x:c r="V445" s="78" t="n">
        <x:f>N445+U445</x:f>
        <x:v>9871.557402731674</x:v>
      </x:c>
      <x:c r="W445" s="74" t="n">
        <x:f>IFERROR(V445/MAX($V$16:V445)-1,0)</x:f>
        <x:v>-0.023182174008203216</x:v>
      </x:c>
      <x:c r="X445" t="str">
        <x:f>IF(O445&gt;0,"TRADE","NO_TRADE")</x:f>
        <x:v>NO_TRADE</x:v>
      </x:c>
    </x:row>
    <x:row r="446">
      <x:c r="A446" s="66" t="n">
        <x:v>46167.52488425926</x:v>
      </x:c>
      <x:c r="B446" s="66" t="str">
        <x:v>MKT_1007</x:v>
      </x:c>
      <x:c r="C446" s="66" t="n">
        <x:v>46167.52777777778</x:v>
      </x:c>
      <x:c r="D446" t="n">
        <x:v>250</x:v>
      </x:c>
      <x:c r="E446" t="str">
        <x:v>YES</x:v>
      </x:c>
      <x:c r="F446" s="74" t="n">
        <x:v>0.52</x:v>
      </x:c>
      <x:c r="G446" s="74" t="n">
        <x:v>0.52</x:v>
      </x:c>
      <x:c r="H446" s="74" t="n">
        <x:v>0.535</x:v>
      </x:c>
      <x:c r="I446" s="74" t="n">
        <x:f>IF(E446="YES",H446,1-H446)</x:f>
        <x:v>0.535</x:v>
      </x:c>
      <x:c r="J446" s="76" t="n">
        <x:f>Assumptions!$C$12+Assumptions!$C$11*F446</x:f>
        <x:v>0.003</x:v>
      </x:c>
      <x:c r="K446" s="76" t="n">
        <x:f>I446-F446-J446</x:f>
        <x:v>0.012000000000000014</x:v>
      </x:c>
      <x:c r="L446" s="74" t="n">
        <x:f>MAX(0,IFERROR(K446/(1-F446),0))</x:f>
        <x:v>0.02500000000000003</x:v>
      </x:c>
      <x:c r="M446" s="74" t="n">
        <x:f>MIN(Assumptions!$C$8*L446,Assumptions!$C$5)</x:f>
        <x:v>0.005</x:v>
      </x:c>
      <x:c r="N446" s="78" t="n">
        <x:f>IF(ROW()=16,Assumptions!$C$4,V445)</x:f>
        <x:v>9871.557402731674</x:v>
      </x:c>
      <x:c r="O446" s="78" t="n">
        <x:f>IF(AND(K446&gt;IF(F446&gt;=Assumptions!$C$21,Assumptions!$C$10,Assumptions!$C$9),D446&gt;Assumptions!$C$23),N446*M446,0)</x:f>
        <x:v>49.357787013658374</x:v>
      </x:c>
      <x:c r="P446" s="78" t="n">
        <x:f>IFERROR(O446/F446,0)</x:f>
        <x:v>94.91882118011226</x:v>
      </x:c>
      <x:c r="Q446" s="78" t="n">
        <x:v>0</x:v>
      </x:c>
      <x:c r="R446" s="78" t="str">
        <x:v>Resolve</x:v>
      </x:c>
      <x:c r="S446" s="78" t="n">
        <x:f>IF(R446="Resolve",IF(IF(E446="YES",Q446,1-Q446)=1,P446*(1-F446),-O446),P446*(G446-F446))</x:f>
        <x:v>-49.357787013658374</x:v>
      </x:c>
      <x:c r="T446" s="78" t="n">
        <x:f>P446*J446</x:f>
        <x:v>0.2847564635403368</x:v>
      </x:c>
      <x:c r="U446" s="78" t="n">
        <x:f>S446-T446</x:f>
        <x:v>-49.642543477198714</x:v>
      </x:c>
      <x:c r="V446" s="78" t="n">
        <x:f>N446+U446</x:f>
        <x:v>9821.914859254475</x:v>
      </x:c>
      <x:c r="W446" s="74" t="n">
        <x:f>IFERROR(V446/MAX($V$16:V446)-1,0)</x:f>
        <x:v>-0.02809444057545052</x:v>
      </x:c>
      <x:c r="X446" t="str">
        <x:f>IF(O446&gt;0,"TRADE","NO_TRADE")</x:f>
        <x:v>TRADE</x:v>
      </x:c>
    </x:row>
    <x:row r="447">
      <x:c r="A447" s="66" t="n">
        <x:v>46167.52494212963</x:v>
      </x:c>
      <x:c r="B447" s="66" t="str">
        <x:v>MKT_1007</x:v>
      </x:c>
      <x:c r="C447" s="66" t="n">
        <x:v>46167.52777777778</x:v>
      </x:c>
      <x:c r="D447" t="n">
        <x:v>245</x:v>
      </x:c>
      <x:c r="E447" t="str">
        <x:v>YES</x:v>
      </x:c>
      <x:c r="F447" s="74" t="n">
        <x:v>0.61</x:v>
      </x:c>
      <x:c r="G447" s="74" t="n">
        <x:v>0.61</x:v>
      </x:c>
      <x:c r="H447" s="74" t="n">
        <x:v>0.63</x:v>
      </x:c>
      <x:c r="I447" s="74" t="n">
        <x:f>IF(E447="YES",H447,1-H447)</x:f>
        <x:v>0.63</x:v>
      </x:c>
      <x:c r="J447" s="76" t="n">
        <x:f>Assumptions!$C$12+Assumptions!$C$11*F447</x:f>
        <x:v>0.003</x:v>
      </x:c>
      <x:c r="K447" s="76" t="n">
        <x:f>I447-F447-J447</x:f>
        <x:v>0.01700000000000002</x:v>
      </x:c>
      <x:c r="L447" s="74" t="n">
        <x:f>MAX(0,IFERROR(K447/(1-F447),0))</x:f>
        <x:v>0.043589743589743636</x:v>
      </x:c>
      <x:c r="M447" s="74" t="n">
        <x:f>MIN(Assumptions!$C$8*L447,Assumptions!$C$5)</x:f>
        <x:v>0.005</x:v>
      </x:c>
      <x:c r="N447" s="78" t="n">
        <x:f>IF(ROW()=16,Assumptions!$C$4,V446)</x:f>
        <x:v>9821.914859254475</x:v>
      </x:c>
      <x:c r="O447" s="78" t="n">
        <x:f>IF(AND(K447&gt;IF(F447&gt;=Assumptions!$C$21,Assumptions!$C$10,Assumptions!$C$9),D447&gt;Assumptions!$C$23),N447*M447,0)</x:f>
        <x:v>49.10957429627238</x:v>
      </x:c>
      <x:c r="P447" s="78" t="n">
        <x:f>IFERROR(O447/F447,0)</x:f>
        <x:v>80.50749884634816</x:v>
      </x:c>
      <x:c r="Q447" s="78" t="n">
        <x:v>1</x:v>
      </x:c>
      <x:c r="R447" s="78" t="str">
        <x:v>Resolve</x:v>
      </x:c>
      <x:c r="S447" s="78" t="n">
        <x:f>IF(R447="Resolve",IF(IF(E447="YES",Q447,1-Q447)=1,P447*(1-F447),-O447),P447*(G447-F447))</x:f>
        <x:v>31.397924550075782</x:v>
      </x:c>
      <x:c r="T447" s="78" t="n">
        <x:f>P447*J447</x:f>
        <x:v>0.24152249653904448</x:v>
      </x:c>
      <x:c r="U447" s="78" t="n">
        <x:f>S447-T447</x:f>
        <x:v>31.156402053536738</x:v>
      </x:c>
      <x:c r="V447" s="78" t="n">
        <x:f>N447+U447</x:f>
        <x:v>9853.071261308012</x:v>
      </x:c>
      <x:c r="W447" s="74" t="n">
        <x:f>IFERROR(V447/MAX($V$16:V447)-1,0)</x:f>
        <x:v>-0.025011428677931602</x:v>
      </x:c>
      <x:c r="X447" t="str">
        <x:f>IF(O447&gt;0,"TRADE","NO_TRADE")</x:f>
        <x:v>TRADE</x:v>
      </x:c>
    </x:row>
    <x:row r="448">
      <x:c r="A448" s="66" t="n">
        <x:v>46167.525</x:v>
      </x:c>
      <x:c r="B448" s="66" t="str">
        <x:v>MKT_1007</x:v>
      </x:c>
      <x:c r="C448" s="66" t="n">
        <x:v>46167.52777777778</x:v>
      </x:c>
      <x:c r="D448" t="n">
        <x:v>240</x:v>
      </x:c>
      <x:c r="E448" t="str">
        <x:v>NO</x:v>
      </x:c>
      <x:c r="F448" s="74" t="n">
        <x:v>0.74</x:v>
      </x:c>
      <x:c r="G448" s="74" t="n">
        <x:v>0.74</x:v>
      </x:c>
      <x:c r="H448" s="74" t="n">
        <x:v>0.735</x:v>
      </x:c>
      <x:c r="I448" s="74" t="n">
        <x:f>IF(E448="YES",H448,1-H448)</x:f>
        <x:v>0.265</x:v>
      </x:c>
      <x:c r="J448" s="76" t="n">
        <x:f>Assumptions!$C$12+Assumptions!$C$11*F448</x:f>
        <x:v>0.003</x:v>
      </x:c>
      <x:c r="K448" s="76" t="n">
        <x:f>I448-F448-J448</x:f>
        <x:v>-0.478</x:v>
      </x:c>
      <x:c r="L448" s="74" t="n">
        <x:f>MAX(0,IFERROR(K448/(1-F448),0))</x:f>
        <x:v>0</x:v>
      </x:c>
      <x:c r="M448" s="74" t="n">
        <x:f>MIN(Assumptions!$C$8*L448,Assumptions!$C$5)</x:f>
        <x:v>0</x:v>
      </x:c>
      <x:c r="N448" s="78" t="n">
        <x:f>IF(ROW()=16,Assumptions!$C$4,V447)</x:f>
        <x:v>9853.071261308012</x:v>
      </x:c>
      <x:c r="O448" s="78" t="n">
        <x:f>IF(AND(K448&gt;IF(F448&gt;=Assumptions!$C$21,Assumptions!$C$10,Assumptions!$C$9),D448&gt;Assumptions!$C$23),N448*M448,0)</x:f>
        <x:v>0</x:v>
      </x:c>
      <x:c r="P448" s="78" t="n">
        <x:f>IFERROR(O448/F448,0)</x:f>
        <x:v>0</x:v>
      </x:c>
      <x:c r="Q448" s="78" t="n">
        <x:v>1</x:v>
      </x:c>
      <x:c r="R448" s="78" t="str">
        <x:v>Resolve</x:v>
      </x:c>
      <x:c r="S448" s="78" t="n">
        <x:f>IF(R448="Resolve",IF(IF(E448="YES",Q448,1-Q448)=1,P448*(1-F448),-O448),P448*(G448-F448))</x:f>
        <x:v>0</x:v>
      </x:c>
      <x:c r="T448" s="78" t="n">
        <x:f>P448*J448</x:f>
        <x:v>0</x:v>
      </x:c>
      <x:c r="U448" s="78" t="n">
        <x:f>S448-T448</x:f>
        <x:v>0</x:v>
      </x:c>
      <x:c r="V448" s="78" t="n">
        <x:f>N448+U448</x:f>
        <x:v>9853.071261308012</x:v>
      </x:c>
      <x:c r="W448" s="74" t="n">
        <x:f>IFERROR(V448/MAX($V$16:V448)-1,0)</x:f>
        <x:v>-0.025011428677931602</x:v>
      </x:c>
      <x:c r="X448" t="str">
        <x:f>IF(O448&gt;0,"TRADE","NO_TRADE")</x:f>
        <x:v>NO_TRADE</x:v>
      </x:c>
    </x:row>
    <x:row r="449">
      <x:c r="A449" s="66" t="n">
        <x:v>46167.52505787037</x:v>
      </x:c>
      <x:c r="B449" s="66" t="str">
        <x:v>MKT_1007</x:v>
      </x:c>
      <x:c r="C449" s="66" t="n">
        <x:v>46167.52777777778</x:v>
      </x:c>
      <x:c r="D449" t="n">
        <x:v>235</x:v>
      </x:c>
      <x:c r="E449" t="str">
        <x:v>YES</x:v>
      </x:c>
      <x:c r="F449" s="74" t="n">
        <x:v>0.88</x:v>
      </x:c>
      <x:c r="G449" s="74" t="n">
        <x:v>0.88</x:v>
      </x:c>
      <x:c r="H449" s="74" t="n">
        <x:v>0.91</x:v>
      </x:c>
      <x:c r="I449" s="74" t="n">
        <x:f>IF(E449="YES",H449,1-H449)</x:f>
        <x:v>0.91</x:v>
      </x:c>
      <x:c r="J449" s="76" t="n">
        <x:f>Assumptions!$C$12+Assumptions!$C$11*F449</x:f>
        <x:v>0.003</x:v>
      </x:c>
      <x:c r="K449" s="76" t="n">
        <x:f>I449-F449-J449</x:f>
        <x:v>0.027000000000000027</x:v>
      </x:c>
      <x:c r="L449" s="74" t="n">
        <x:f>MAX(0,IFERROR(K449/(1-F449),0))</x:f>
        <x:v>0.22500000000000023</x:v>
      </x:c>
      <x:c r="M449" s="74" t="n">
        <x:f>MIN(Assumptions!$C$8*L449,Assumptions!$C$5)</x:f>
        <x:v>0.005</x:v>
      </x:c>
      <x:c r="N449" s="78" t="n">
        <x:f>IF(ROW()=16,Assumptions!$C$4,V448)</x:f>
        <x:v>9853.071261308012</x:v>
      </x:c>
      <x:c r="O449" s="78" t="n">
        <x:f>IF(AND(K449&gt;IF(F449&gt;=Assumptions!$C$21,Assumptions!$C$10,Assumptions!$C$9),D449&gt;Assumptions!$C$23),N449*M449,0)</x:f>
        <x:v>49.26535630654006</x:v>
      </x:c>
      <x:c r="P449" s="78" t="n">
        <x:f>IFERROR(O449/F449,0)</x:f>
        <x:v>55.98335943925007</x:v>
      </x:c>
      <x:c r="Q449" s="78" t="n">
        <x:v>1</x:v>
      </x:c>
      <x:c r="R449" s="78" t="str">
        <x:v>Resolve</x:v>
      </x:c>
      <x:c r="S449" s="78" t="n">
        <x:f>IF(R449="Resolve",IF(IF(E449="YES",Q449,1-Q449)=1,P449*(1-F449),-O449),P449*(G449-F449))</x:f>
        <x:v>6.718003132710009</x:v>
      </x:c>
      <x:c r="T449" s="78" t="n">
        <x:f>P449*J449</x:f>
        <x:v>0.16795007831775022</x:v>
      </x:c>
      <x:c r="U449" s="78" t="n">
        <x:f>S449-T449</x:f>
        <x:v>6.550053054392259</x:v>
      </x:c>
      <x:c r="V449" s="78" t="n">
        <x:f>N449+U449</x:f>
        <x:v>9859.621314362405</x:v>
      </x:c>
      <x:c r="W449" s="74" t="n">
        <x:f>IFERROR(V449/MAX($V$16:V449)-1,0)</x:f>
        <x:v>-0.024363282866314062</x:v>
      </x:c>
      <x:c r="X449" t="str">
        <x:f>IF(O449&gt;0,"TRADE","NO_TRADE")</x:f>
        <x:v>TRADE</x:v>
      </x:c>
    </x:row>
    <x:row r="450">
      <x:c r="A450" s="66" t="n">
        <x:v>46167.52511574074</x:v>
      </x:c>
      <x:c r="B450" s="66" t="str">
        <x:v>MKT_1007</x:v>
      </x:c>
      <x:c r="C450" s="66" t="n">
        <x:v>46167.52777777778</x:v>
      </x:c>
      <x:c r="D450" t="n">
        <x:v>230</x:v>
      </x:c>
      <x:c r="E450" t="str">
        <x:v>YES</x:v>
      </x:c>
      <x:c r="F450" s="74" t="n">
        <x:v>0.94</x:v>
      </x:c>
      <x:c r="G450" s="74" t="n">
        <x:v>0.94</x:v>
      </x:c>
      <x:c r="H450" s="74" t="n">
        <x:v>0.98</x:v>
      </x:c>
      <x:c r="I450" s="74" t="n">
        <x:f>IF(E450="YES",H450,1-H450)</x:f>
        <x:v>0.98</x:v>
      </x:c>
      <x:c r="J450" s="76" t="n">
        <x:f>Assumptions!$C$12+Assumptions!$C$11*F450</x:f>
        <x:v>0.003</x:v>
      </x:c>
      <x:c r="K450" s="76" t="n">
        <x:f>I450-F450-J450</x:f>
        <x:v>0.03700000000000003</x:v>
      </x:c>
      <x:c r="L450" s="74" t="n">
        <x:f>MAX(0,IFERROR(K450/(1-F450),0))</x:f>
        <x:v>0.6166666666666667</x:v>
      </x:c>
      <x:c r="M450" s="74" t="n">
        <x:f>MIN(Assumptions!$C$8*L450,Assumptions!$C$5)</x:f>
        <x:v>0.005</x:v>
      </x:c>
      <x:c r="N450" s="78" t="n">
        <x:f>IF(ROW()=16,Assumptions!$C$4,V449)</x:f>
        <x:v>9859.621314362405</x:v>
      </x:c>
      <x:c r="O450" s="78" t="n">
        <x:f>IF(AND(K450&gt;IF(F450&gt;=Assumptions!$C$21,Assumptions!$C$10,Assumptions!$C$9),D450&gt;Assumptions!$C$23),N450*M450,0)</x:f>
        <x:v>49.29810657181202</x:v>
      </x:c>
      <x:c r="P450" s="78" t="n">
        <x:f>IFERROR(O450/F450,0)</x:f>
        <x:v>52.44479422533194</x:v>
      </x:c>
      <x:c r="Q450" s="78" t="n">
        <x:v>0</x:v>
      </x:c>
      <x:c r="R450" s="78" t="str">
        <x:v>Resolve</x:v>
      </x:c>
      <x:c r="S450" s="78" t="n">
        <x:f>IF(R450="Resolve",IF(IF(E450="YES",Q450,1-Q450)=1,P450*(1-F450),-O450),P450*(G450-F450))</x:f>
        <x:v>-49.29810657181202</x:v>
      </x:c>
      <x:c r="T450" s="78" t="n">
        <x:f>P450*J450</x:f>
        <x:v>0.1573343826759958</x:v>
      </x:c>
      <x:c r="U450" s="78" t="n">
        <x:f>S450-T450</x:f>
        <x:v>-49.45544095448802</x:v>
      </x:c>
      <x:c r="V450" s="78" t="n">
        <x:f>N450+U450</x:f>
        <x:v>9810.165873407917</x:v>
      </x:c>
      <x:c r="W450" s="74" t="n">
        <x:f>IFERROR(V450/MAX($V$16:V450)-1,0)</x:f>
        <x:v>-0.029257035123000485</x:v>
      </x:c>
      <x:c r="X450" t="str">
        <x:f>IF(O450&gt;0,"TRADE","NO_TRADE")</x:f>
        <x:v>TRADE</x:v>
      </x:c>
    </x:row>
    <x:row r="451">
      <x:c r="A451" s="66" t="n">
        <x:v>46167.52517361111</x:v>
      </x:c>
      <x:c r="B451" s="66" t="str">
        <x:v>MKT_1007</x:v>
      </x:c>
      <x:c r="C451" s="66" t="n">
        <x:v>46167.52777777778</x:v>
      </x:c>
      <x:c r="D451" t="n">
        <x:v>225</x:v>
      </x:c>
      <x:c r="E451" t="str">
        <x:v>NO</x:v>
      </x:c>
      <x:c r="F451" s="74" t="n">
        <x:v>0.95</x:v>
      </x:c>
      <x:c r="G451" s="74" t="n">
        <x:v>0.95</x:v>
      </x:c>
      <x:c r="H451" s="74" t="n">
        <x:v>0.968</x:v>
      </x:c>
      <x:c r="I451" s="74" t="n">
        <x:f>IF(E451="YES",H451,1-H451)</x:f>
        <x:v>0.03200000000000003</x:v>
      </x:c>
      <x:c r="J451" s="76" t="n">
        <x:f>Assumptions!$C$12+Assumptions!$C$11*F451</x:f>
        <x:v>0.003</x:v>
      </x:c>
      <x:c r="K451" s="76" t="n">
        <x:f>I451-F451-J451</x:f>
        <x:v>-0.9209999999999999</x:v>
      </x:c>
      <x:c r="L451" s="74" t="n">
        <x:f>MAX(0,IFERROR(K451/(1-F451),0))</x:f>
        <x:v>0</x:v>
      </x:c>
      <x:c r="M451" s="74" t="n">
        <x:f>MIN(Assumptions!$C$8*L451,Assumptions!$C$5)</x:f>
        <x:v>0</x:v>
      </x:c>
      <x:c r="N451" s="78" t="n">
        <x:f>IF(ROW()=16,Assumptions!$C$4,V450)</x:f>
        <x:v>9810.165873407917</x:v>
      </x:c>
      <x:c r="O451" s="78" t="n">
        <x:f>IF(AND(K451&gt;IF(F451&gt;=Assumptions!$C$21,Assumptions!$C$10,Assumptions!$C$9),D451&gt;Assumptions!$C$23),N451*M451,0)</x:f>
        <x:v>0</x:v>
      </x:c>
      <x:c r="P451" s="78" t="n">
        <x:f>IFERROR(O451/F451,0)</x:f>
        <x:v>0</x:v>
      </x:c>
      <x:c r="Q451" s="78" t="n">
        <x:v>1</x:v>
      </x:c>
      <x:c r="R451" s="78" t="str">
        <x:v>Resolve</x:v>
      </x:c>
      <x:c r="S451" s="78" t="n">
        <x:f>IF(R451="Resolve",IF(IF(E451="YES",Q451,1-Q451)=1,P451*(1-F451),-O451),P451*(G451-F451))</x:f>
        <x:v>0</x:v>
      </x:c>
      <x:c r="T451" s="78" t="n">
        <x:f>P451*J451</x:f>
        <x:v>0</x:v>
      </x:c>
      <x:c r="U451" s="78" t="n">
        <x:f>S451-T451</x:f>
        <x:v>0</x:v>
      </x:c>
      <x:c r="V451" s="78" t="n">
        <x:f>N451+U451</x:f>
        <x:v>9810.165873407917</x:v>
      </x:c>
      <x:c r="W451" s="74" t="n">
        <x:f>IFERROR(V451/MAX($V$16:V451)-1,0)</x:f>
        <x:v>-0.029257035123000485</x:v>
      </x:c>
      <x:c r="X451" t="str">
        <x:f>IF(O451&gt;0,"TRADE","NO_TRADE")</x:f>
        <x:v>NO_TRADE</x:v>
      </x:c>
    </x:row>
    <x:row r="452">
      <x:c r="A452" s="66" t="n">
        <x:v>46167.52523148148</x:v>
      </x:c>
      <x:c r="B452" s="66" t="str">
        <x:v>MKT_1007</x:v>
      </x:c>
      <x:c r="C452" s="66" t="n">
        <x:v>46167.52777777778</x:v>
      </x:c>
      <x:c r="D452" t="n">
        <x:v>220</x:v>
      </x:c>
      <x:c r="E452" t="str">
        <x:v>YES</x:v>
      </x:c>
      <x:c r="F452" s="74" t="n">
        <x:v>0.57</x:v>
      </x:c>
      <x:c r="G452" s="74" t="n">
        <x:v>0.57</x:v>
      </x:c>
      <x:c r="H452" s="74" t="n">
        <x:v>0.582</x:v>
      </x:c>
      <x:c r="I452" s="74" t="n">
        <x:f>IF(E452="YES",H452,1-H452)</x:f>
        <x:v>0.582</x:v>
      </x:c>
      <x:c r="J452" s="76" t="n">
        <x:f>Assumptions!$C$12+Assumptions!$C$11*F452</x:f>
        <x:v>0.003</x:v>
      </x:c>
      <x:c r="K452" s="76" t="n">
        <x:f>I452-F452-J452</x:f>
        <x:v>0.009000000000000011</x:v>
      </x:c>
      <x:c r="L452" s="74" t="n">
        <x:f>MAX(0,IFERROR(K452/(1-F452),0))</x:f>
        <x:v>0.02093023255813956</x:v>
      </x:c>
      <x:c r="M452" s="74" t="n">
        <x:f>MIN(Assumptions!$C$8*L452,Assumptions!$C$5)</x:f>
        <x:v>0.005</x:v>
      </x:c>
      <x:c r="N452" s="78" t="n">
        <x:f>IF(ROW()=16,Assumptions!$C$4,V451)</x:f>
        <x:v>9810.165873407917</x:v>
      </x:c>
      <x:c r="O452" s="78" t="n">
        <x:f>IF(AND(K452&gt;IF(F452&gt;=Assumptions!$C$21,Assumptions!$C$10,Assumptions!$C$9),D452&gt;Assumptions!$C$23),N452*M452,0)</x:f>
        <x:v>49.05082936703959</x:v>
      </x:c>
      <x:c r="P452" s="78" t="n">
        <x:f>IFERROR(O452/F452,0)</x:f>
        <x:v>86.05408660884139</x:v>
      </x:c>
      <x:c r="Q452" s="78" t="n">
        <x:v>1</x:v>
      </x:c>
      <x:c r="R452" s="78" t="str">
        <x:v>Resolve</x:v>
      </x:c>
      <x:c r="S452" s="78" t="n">
        <x:f>IF(R452="Resolve",IF(IF(E452="YES",Q452,1-Q452)=1,P452*(1-F452),-O452),P452*(G452-F452))</x:f>
        <x:v>37.0032572418018</x:v>
      </x:c>
      <x:c r="T452" s="78" t="n">
        <x:f>P452*J452</x:f>
        <x:v>0.2581622598265242</x:v>
      </x:c>
      <x:c r="U452" s="78" t="n">
        <x:f>S452-T452</x:f>
        <x:v>36.74509498197527</x:v>
      </x:c>
      <x:c r="V452" s="78" t="n">
        <x:f>N452+U452</x:f>
        <x:v>9846.910968389893</x:v>
      </x:c>
      <x:c r="W452" s="74" t="n">
        <x:f>IFERROR(V452/MAX($V$16:V452)-1,0)</x:f>
        <x:v>-0.025621006649294453</x:v>
      </x:c>
      <x:c r="X452" t="str">
        <x:f>IF(O452&gt;0,"TRADE","NO_TRADE")</x:f>
        <x:v>TRADE</x:v>
      </x:c>
    </x:row>
    <x:row r="453">
      <x:c r="A453" s="66" t="n">
        <x:v>46167.525289351855</x:v>
      </x:c>
      <x:c r="B453" s="66" t="str">
        <x:v>MKT_1007</x:v>
      </x:c>
      <x:c r="C453" s="66" t="n">
        <x:v>46167.52777777778</x:v>
      </x:c>
      <x:c r="D453" t="n">
        <x:v>215</x:v>
      </x:c>
      <x:c r="E453" t="str">
        <x:v>YES</x:v>
      </x:c>
      <x:c r="F453" s="74" t="n">
        <x:v>0.68</x:v>
      </x:c>
      <x:c r="G453" s="74" t="n">
        <x:v>0.68</x:v>
      </x:c>
      <x:c r="H453" s="74" t="n">
        <x:v>0.7050000000000001</x:v>
      </x:c>
      <x:c r="I453" s="74" t="n">
        <x:f>IF(E453="YES",H453,1-H453)</x:f>
        <x:v>0.7050000000000001</x:v>
      </x:c>
      <x:c r="J453" s="76" t="n">
        <x:f>Assumptions!$C$12+Assumptions!$C$11*F453</x:f>
        <x:v>0.003</x:v>
      </x:c>
      <x:c r="K453" s="76" t="n">
        <x:f>I453-F453-J453</x:f>
        <x:v>0.022000000000000023</x:v>
      </x:c>
      <x:c r="L453" s="74" t="n">
        <x:f>MAX(0,IFERROR(K453/(1-F453),0))</x:f>
        <x:v>0.06875000000000009</x:v>
      </x:c>
      <x:c r="M453" s="74" t="n">
        <x:f>MIN(Assumptions!$C$8*L453,Assumptions!$C$5)</x:f>
        <x:v>0.005</x:v>
      </x:c>
      <x:c r="N453" s="78" t="n">
        <x:f>IF(ROW()=16,Assumptions!$C$4,V452)</x:f>
        <x:v>9846.910968389893</x:v>
      </x:c>
      <x:c r="O453" s="78" t="n">
        <x:f>IF(AND(K453&gt;IF(F453&gt;=Assumptions!$C$21,Assumptions!$C$10,Assumptions!$C$9),D453&gt;Assumptions!$C$23),N453*M453,0)</x:f>
        <x:v>49.23455484194947</x:v>
      </x:c>
      <x:c r="P453" s="78" t="n">
        <x:f>IFERROR(O453/F453,0)</x:f>
        <x:v>72.40375712051392</x:v>
      </x:c>
      <x:c r="Q453" s="78" t="n">
        <x:v>0</x:v>
      </x:c>
      <x:c r="R453" s="78" t="str">
        <x:v>Resolve</x:v>
      </x:c>
      <x:c r="S453" s="78" t="n">
        <x:f>IF(R453="Resolve",IF(IF(E453="YES",Q453,1-Q453)=1,P453*(1-F453),-O453),P453*(G453-F453))</x:f>
        <x:v>-49.23455484194947</x:v>
      </x:c>
      <x:c r="T453" s="78" t="n">
        <x:f>P453*J453</x:f>
        <x:v>0.21721127136154175</x:v>
      </x:c>
      <x:c r="U453" s="78" t="n">
        <x:f>S453-T453</x:f>
        <x:v>-49.45176611331101</x:v>
      </x:c>
      <x:c r="V453" s="78" t="n">
        <x:f>N453+U453</x:f>
        <x:v>9797.459202276583</x:v>
      </x:c>
      <x:c r="W453" s="74" t="n">
        <x:f>IFERROR(V453/MAX($V$16:V453)-1,0)</x:f>
        <x:v>-0.030514395270313077</x:v>
      </x:c>
      <x:c r="X453" t="str">
        <x:f>IF(O453&gt;0,"TRADE","NO_TRADE")</x:f>
        <x:v>TRADE</x:v>
      </x:c>
    </x:row>
    <x:row r="454">
      <x:c r="A454" s="66" t="n">
        <x:v>46167.525347222225</x:v>
      </x:c>
      <x:c r="B454" s="66" t="str">
        <x:v>MKT_1007</x:v>
      </x:c>
      <x:c r="C454" s="66" t="n">
        <x:v>46167.52777777778</x:v>
      </x:c>
      <x:c r="D454" t="n">
        <x:v>210</x:v>
      </x:c>
      <x:c r="E454" t="str">
        <x:v>NO</x:v>
      </x:c>
      <x:c r="F454" s="74" t="n">
        <x:v>0.91</x:v>
      </x:c>
      <x:c r="G454" s="74" t="n">
        <x:v>0.91</x:v>
      </x:c>
      <x:c r="H454" s="74" t="n">
        <x:v>0.9450000000000001</x:v>
      </x:c>
      <x:c r="I454" s="74" t="n">
        <x:f>IF(E454="YES",H454,1-H454)</x:f>
        <x:v>0.05499999999999994</x:v>
      </x:c>
      <x:c r="J454" s="76" t="n">
        <x:f>Assumptions!$C$12+Assumptions!$C$11*F454</x:f>
        <x:v>0.003</x:v>
      </x:c>
      <x:c r="K454" s="76" t="n">
        <x:f>I454-F454-J454</x:f>
        <x:v>-0.8580000000000001</x:v>
      </x:c>
      <x:c r="L454" s="74" t="n">
        <x:f>MAX(0,IFERROR(K454/(1-F454),0))</x:f>
        <x:v>0</x:v>
      </x:c>
      <x:c r="M454" s="74" t="n">
        <x:f>MIN(Assumptions!$C$8*L454,Assumptions!$C$5)</x:f>
        <x:v>0</x:v>
      </x:c>
      <x:c r="N454" s="78" t="n">
        <x:f>IF(ROW()=16,Assumptions!$C$4,V453)</x:f>
        <x:v>9797.459202276583</x:v>
      </x:c>
      <x:c r="O454" s="78" t="n">
        <x:f>IF(AND(K454&gt;IF(F454&gt;=Assumptions!$C$21,Assumptions!$C$10,Assumptions!$C$9),D454&gt;Assumptions!$C$23),N454*M454,0)</x:f>
        <x:v>0</x:v>
      </x:c>
      <x:c r="P454" s="78" t="n">
        <x:f>IFERROR(O454/F454,0)</x:f>
        <x:v>0</x:v>
      </x:c>
      <x:c r="Q454" s="78" t="n">
        <x:v>1</x:v>
      </x:c>
      <x:c r="R454" s="78" t="str">
        <x:v>Resolve</x:v>
      </x:c>
      <x:c r="S454" s="78" t="n">
        <x:f>IF(R454="Resolve",IF(IF(E454="YES",Q454,1-Q454)=1,P454*(1-F454),-O454),P454*(G454-F454))</x:f>
        <x:v>0</x:v>
      </x:c>
      <x:c r="T454" s="78" t="n">
        <x:f>P454*J454</x:f>
        <x:v>0</x:v>
      </x:c>
      <x:c r="U454" s="78" t="n">
        <x:f>S454-T454</x:f>
        <x:v>0</x:v>
      </x:c>
      <x:c r="V454" s="78" t="n">
        <x:f>N454+U454</x:f>
        <x:v>9797.459202276583</x:v>
      </x:c>
      <x:c r="W454" s="74" t="n">
        <x:f>IFERROR(V454/MAX($V$16:V454)-1,0)</x:f>
        <x:v>-0.030514395270313077</x:v>
      </x:c>
      <x:c r="X454" t="str">
        <x:f>IF(O454&gt;0,"TRADE","NO_TRADE")</x:f>
        <x:v>NO_TRADE</x:v>
      </x:c>
    </x:row>
    <x:row r="455">
      <x:c r="A455" s="66" t="n">
        <x:v>46167.525405092594</x:v>
      </x:c>
      <x:c r="B455" s="66" t="str">
        <x:v>MKT_1007</x:v>
      </x:c>
      <x:c r="C455" s="66" t="n">
        <x:v>46167.52777777778</x:v>
      </x:c>
      <x:c r="D455" t="n">
        <x:v>205</x:v>
      </x:c>
      <x:c r="E455" t="str">
        <x:v>YES</x:v>
      </x:c>
      <x:c r="F455" s="74" t="n">
        <x:v>0.83</x:v>
      </x:c>
      <x:c r="G455" s="74" t="n">
        <x:v>0.83</x:v>
      </x:c>
      <x:c r="H455" s="74" t="n">
        <x:v>0.82</x:v>
      </x:c>
      <x:c r="I455" s="74" t="n">
        <x:f>IF(E455="YES",H455,1-H455)</x:f>
        <x:v>0.82</x:v>
      </x:c>
      <x:c r="J455" s="76" t="n">
        <x:f>Assumptions!$C$12+Assumptions!$C$11*F455</x:f>
        <x:v>0.003</x:v>
      </x:c>
      <x:c r="K455" s="76" t="n">
        <x:f>I455-F455-J455</x:f>
        <x:v>-0.013000000000000008</x:v>
      </x:c>
      <x:c r="L455" s="74" t="n">
        <x:f>MAX(0,IFERROR(K455/(1-F455),0))</x:f>
        <x:v>0</x:v>
      </x:c>
      <x:c r="M455" s="74" t="n">
        <x:f>MIN(Assumptions!$C$8*L455,Assumptions!$C$5)</x:f>
        <x:v>0</x:v>
      </x:c>
      <x:c r="N455" s="78" t="n">
        <x:f>IF(ROW()=16,Assumptions!$C$4,V454)</x:f>
        <x:v>9797.459202276583</x:v>
      </x:c>
      <x:c r="O455" s="78" t="n">
        <x:f>IF(AND(K455&gt;IF(F455&gt;=Assumptions!$C$21,Assumptions!$C$10,Assumptions!$C$9),D455&gt;Assumptions!$C$23),N455*M455,0)</x:f>
        <x:v>0</x:v>
      </x:c>
      <x:c r="P455" s="78" t="n">
        <x:f>IFERROR(O455/F455,0)</x:f>
        <x:v>0</x:v>
      </x:c>
      <x:c r="Q455" s="78" t="n">
        <x:v>1</x:v>
      </x:c>
      <x:c r="R455" s="78" t="str">
        <x:v>Resolve</x:v>
      </x:c>
      <x:c r="S455" s="78" t="n">
        <x:f>IF(R455="Resolve",IF(IF(E455="YES",Q455,1-Q455)=1,P455*(1-F455),-O455),P455*(G455-F455))</x:f>
        <x:v>0</x:v>
      </x:c>
      <x:c r="T455" s="78" t="n">
        <x:f>P455*J455</x:f>
        <x:v>0</x:v>
      </x:c>
      <x:c r="U455" s="78" t="n">
        <x:f>S455-T455</x:f>
        <x:v>0</x:v>
      </x:c>
      <x:c r="V455" s="78" t="n">
        <x:f>N455+U455</x:f>
        <x:v>9797.459202276583</x:v>
      </x:c>
      <x:c r="W455" s="74" t="n">
        <x:f>IFERROR(V455/MAX($V$16:V455)-1,0)</x:f>
        <x:v>-0.030514395270313077</x:v>
      </x:c>
      <x:c r="X455" t="str">
        <x:f>IF(O455&gt;0,"TRADE","NO_TRADE")</x:f>
        <x:v>NO_TRADE</x:v>
      </x:c>
    </x:row>
    <x:row r="456">
      <x:c r="A456" s="66" t="n">
        <x:v>46167.52546296296</x:v>
      </x:c>
      <x:c r="B456" s="66" t="str">
        <x:v>MKT_1007</x:v>
      </x:c>
      <x:c r="C456" s="66" t="n">
        <x:v>46167.52777777778</x:v>
      </x:c>
      <x:c r="D456" t="n">
        <x:v>200</x:v>
      </x:c>
      <x:c r="E456" t="str">
        <x:v>YES</x:v>
      </x:c>
      <x:c r="F456" s="74" t="n">
        <x:v>0.52</x:v>
      </x:c>
      <x:c r="G456" s="74" t="n">
        <x:v>0.52</x:v>
      </x:c>
      <x:c r="H456" s="74" t="n">
        <x:v>0.535</x:v>
      </x:c>
      <x:c r="I456" s="74" t="n">
        <x:f>IF(E456="YES",H456,1-H456)</x:f>
        <x:v>0.535</x:v>
      </x:c>
      <x:c r="J456" s="76" t="n">
        <x:f>Assumptions!$C$12+Assumptions!$C$11*F456</x:f>
        <x:v>0.003</x:v>
      </x:c>
      <x:c r="K456" s="76" t="n">
        <x:f>I456-F456-J456</x:f>
        <x:v>0.012000000000000014</x:v>
      </x:c>
      <x:c r="L456" s="74" t="n">
        <x:f>MAX(0,IFERROR(K456/(1-F456),0))</x:f>
        <x:v>0.02500000000000003</x:v>
      </x:c>
      <x:c r="M456" s="74" t="n">
        <x:f>MIN(Assumptions!$C$8*L456,Assumptions!$C$5)</x:f>
        <x:v>0.005</x:v>
      </x:c>
      <x:c r="N456" s="78" t="n">
        <x:f>IF(ROW()=16,Assumptions!$C$4,V455)</x:f>
        <x:v>9797.459202276583</x:v>
      </x:c>
      <x:c r="O456" s="78" t="n">
        <x:f>IF(AND(K456&gt;IF(F456&gt;=Assumptions!$C$21,Assumptions!$C$10,Assumptions!$C$9),D456&gt;Assumptions!$C$23),N456*M456,0)</x:f>
        <x:v>48.98729601138292</x:v>
      </x:c>
      <x:c r="P456" s="78" t="n">
        <x:f>IFERROR(O456/F456,0)</x:f>
        <x:v>94.20633848342868</x:v>
      </x:c>
      <x:c r="Q456" s="78" t="n">
        <x:v>1</x:v>
      </x:c>
      <x:c r="R456" s="78" t="str">
        <x:v>Resolve</x:v>
      </x:c>
      <x:c r="S456" s="78" t="n">
        <x:f>IF(R456="Resolve",IF(IF(E456="YES",Q456,1-Q456)=1,P456*(1-F456),-O456),P456*(G456-F456))</x:f>
        <x:v>45.219042472045764</x:v>
      </x:c>
      <x:c r="T456" s="78" t="n">
        <x:f>P456*J456</x:f>
        <x:v>0.28261901545028606</x:v>
      </x:c>
      <x:c r="U456" s="78" t="n">
        <x:f>S456-T456</x:f>
        <x:v>44.93642345659548</x:v>
      </x:c>
      <x:c r="V456" s="78" t="n">
        <x:f>N456+U456</x:f>
        <x:v>9842.395625733177</x:v>
      </x:c>
      <x:c r="W456" s="74" t="n">
        <x:f>IFERROR(V456/MAX($V$16:V456)-1,0)</x:f>
        <x:v>-0.026067812256312606</x:v>
      </x:c>
      <x:c r="X456" t="str">
        <x:f>IF(O456&gt;0,"TRADE","NO_TRADE")</x:f>
        <x:v>TRADE</x:v>
      </x:c>
    </x:row>
    <x:row r="457">
      <x:c r="A457" s="66" t="n">
        <x:v>46167.52552083333</x:v>
      </x:c>
      <x:c r="B457" s="66" t="str">
        <x:v>MKT_1007</x:v>
      </x:c>
      <x:c r="C457" s="66" t="n">
        <x:v>46167.52777777778</x:v>
      </x:c>
      <x:c r="D457" t="n">
        <x:v>195</x:v>
      </x:c>
      <x:c r="E457" t="str">
        <x:v>NO</x:v>
      </x:c>
      <x:c r="F457" s="74" t="n">
        <x:v>0.61</x:v>
      </x:c>
      <x:c r="G457" s="74" t="n">
        <x:v>0.61</x:v>
      </x:c>
      <x:c r="H457" s="74" t="n">
        <x:v>0.63</x:v>
      </x:c>
      <x:c r="I457" s="74" t="n">
        <x:f>IF(E457="YES",H457,1-H457)</x:f>
        <x:v>0.37</x:v>
      </x:c>
      <x:c r="J457" s="76" t="n">
        <x:f>Assumptions!$C$12+Assumptions!$C$11*F457</x:f>
        <x:v>0.003</x:v>
      </x:c>
      <x:c r="K457" s="76" t="n">
        <x:f>I457-F457-J457</x:f>
        <x:v>-0.243</x:v>
      </x:c>
      <x:c r="L457" s="74" t="n">
        <x:f>MAX(0,IFERROR(K457/(1-F457),0))</x:f>
        <x:v>0</x:v>
      </x:c>
      <x:c r="M457" s="74" t="n">
        <x:f>MIN(Assumptions!$C$8*L457,Assumptions!$C$5)</x:f>
        <x:v>0</x:v>
      </x:c>
      <x:c r="N457" s="78" t="n">
        <x:f>IF(ROW()=16,Assumptions!$C$4,V456)</x:f>
        <x:v>9842.395625733177</x:v>
      </x:c>
      <x:c r="O457" s="78" t="n">
        <x:f>IF(AND(K457&gt;IF(F457&gt;=Assumptions!$C$21,Assumptions!$C$10,Assumptions!$C$9),D457&gt;Assumptions!$C$23),N457*M457,0)</x:f>
        <x:v>0</x:v>
      </x:c>
      <x:c r="P457" s="78" t="n">
        <x:f>IFERROR(O457/F457,0)</x:f>
        <x:v>0</x:v>
      </x:c>
      <x:c r="Q457" s="78" t="n">
        <x:v>0</x:v>
      </x:c>
      <x:c r="R457" s="78" t="str">
        <x:v>Resolve</x:v>
      </x:c>
      <x:c r="S457" s="78" t="n">
        <x:f>IF(R457="Resolve",IF(IF(E457="YES",Q457,1-Q457)=1,P457*(1-F457),-O457),P457*(G457-F457))</x:f>
        <x:v>0</x:v>
      </x:c>
      <x:c r="T457" s="78" t="n">
        <x:f>P457*J457</x:f>
        <x:v>0</x:v>
      </x:c>
      <x:c r="U457" s="78" t="n">
        <x:f>S457-T457</x:f>
        <x:v>0</x:v>
      </x:c>
      <x:c r="V457" s="78" t="n">
        <x:f>N457+U457</x:f>
        <x:v>9842.395625733177</x:v>
      </x:c>
      <x:c r="W457" s="74" t="n">
        <x:f>IFERROR(V457/MAX($V$16:V457)-1,0)</x:f>
        <x:v>-0.026067812256312606</x:v>
      </x:c>
      <x:c r="X457" t="str">
        <x:f>IF(O457&gt;0,"TRADE","NO_TRADE")</x:f>
        <x:v>NO_TRADE</x:v>
      </x:c>
    </x:row>
    <x:row r="458">
      <x:c r="A458" s="66" t="n">
        <x:v>46167.5255787037</x:v>
      </x:c>
      <x:c r="B458" s="66" t="str">
        <x:v>MKT_1007</x:v>
      </x:c>
      <x:c r="C458" s="66" t="n">
        <x:v>46167.52777777778</x:v>
      </x:c>
      <x:c r="D458" t="n">
        <x:v>190</x:v>
      </x:c>
      <x:c r="E458" t="str">
        <x:v>YES</x:v>
      </x:c>
      <x:c r="F458" s="74" t="n">
        <x:v>0.74</x:v>
      </x:c>
      <x:c r="G458" s="74" t="n">
        <x:v>0.74</x:v>
      </x:c>
      <x:c r="H458" s="74" t="n">
        <x:v>0.735</x:v>
      </x:c>
      <x:c r="I458" s="74" t="n">
        <x:f>IF(E458="YES",H458,1-H458)</x:f>
        <x:v>0.735</x:v>
      </x:c>
      <x:c r="J458" s="76" t="n">
        <x:f>Assumptions!$C$12+Assumptions!$C$11*F458</x:f>
        <x:v>0.003</x:v>
      </x:c>
      <x:c r="K458" s="76" t="n">
        <x:f>I458-F458-J458</x:f>
        <x:v>-0.008000000000000004</x:v>
      </x:c>
      <x:c r="L458" s="74" t="n">
        <x:f>MAX(0,IFERROR(K458/(1-F458),0))</x:f>
        <x:v>0</x:v>
      </x:c>
      <x:c r="M458" s="74" t="n">
        <x:f>MIN(Assumptions!$C$8*L458,Assumptions!$C$5)</x:f>
        <x:v>0</x:v>
      </x:c>
      <x:c r="N458" s="78" t="n">
        <x:f>IF(ROW()=16,Assumptions!$C$4,V457)</x:f>
        <x:v>9842.395625733177</x:v>
      </x:c>
      <x:c r="O458" s="78" t="n">
        <x:f>IF(AND(K458&gt;IF(F458&gt;=Assumptions!$C$21,Assumptions!$C$10,Assumptions!$C$9),D458&gt;Assumptions!$C$23),N458*M458,0)</x:f>
        <x:v>0</x:v>
      </x:c>
      <x:c r="P458" s="78" t="n">
        <x:f>IFERROR(O458/F458,0)</x:f>
        <x:v>0</x:v>
      </x:c>
      <x:c r="Q458" s="78" t="n">
        <x:v>1</x:v>
      </x:c>
      <x:c r="R458" s="78" t="str">
        <x:v>Resolve</x:v>
      </x:c>
      <x:c r="S458" s="78" t="n">
        <x:f>IF(R458="Resolve",IF(IF(E458="YES",Q458,1-Q458)=1,P458*(1-F458),-O458),P458*(G458-F458))</x:f>
        <x:v>0</x:v>
      </x:c>
      <x:c r="T458" s="78" t="n">
        <x:f>P458*J458</x:f>
        <x:v>0</x:v>
      </x:c>
      <x:c r="U458" s="78" t="n">
        <x:f>S458-T458</x:f>
        <x:v>0</x:v>
      </x:c>
      <x:c r="V458" s="78" t="n">
        <x:f>N458+U458</x:f>
        <x:v>9842.395625733177</x:v>
      </x:c>
      <x:c r="W458" s="74" t="n">
        <x:f>IFERROR(V458/MAX($V$16:V458)-1,0)</x:f>
        <x:v>-0.026067812256312606</x:v>
      </x:c>
      <x:c r="X458" t="str">
        <x:f>IF(O458&gt;0,"TRADE","NO_TRADE")</x:f>
        <x:v>NO_TRADE</x:v>
      </x:c>
    </x:row>
    <x:row r="459">
      <x:c r="A459" s="66" t="n">
        <x:v>46167.52563657407</x:v>
      </x:c>
      <x:c r="B459" s="66" t="str">
        <x:v>MKT_1007</x:v>
      </x:c>
      <x:c r="C459" s="66" t="n">
        <x:v>46167.52777777778</x:v>
      </x:c>
      <x:c r="D459" t="n">
        <x:v>185</x:v>
      </x:c>
      <x:c r="E459" t="str">
        <x:v>YES</x:v>
      </x:c>
      <x:c r="F459" s="74" t="n">
        <x:v>0.88</x:v>
      </x:c>
      <x:c r="G459" s="74" t="n">
        <x:v>0.88</x:v>
      </x:c>
      <x:c r="H459" s="74" t="n">
        <x:v>0.91</x:v>
      </x:c>
      <x:c r="I459" s="74" t="n">
        <x:f>IF(E459="YES",H459,1-H459)</x:f>
        <x:v>0.91</x:v>
      </x:c>
      <x:c r="J459" s="76" t="n">
        <x:f>Assumptions!$C$12+Assumptions!$C$11*F459</x:f>
        <x:v>0.003</x:v>
      </x:c>
      <x:c r="K459" s="76" t="n">
        <x:f>I459-F459-J459</x:f>
        <x:v>0.027000000000000027</x:v>
      </x:c>
      <x:c r="L459" s="74" t="n">
        <x:f>MAX(0,IFERROR(K459/(1-F459),0))</x:f>
        <x:v>0.22500000000000023</x:v>
      </x:c>
      <x:c r="M459" s="74" t="n">
        <x:f>MIN(Assumptions!$C$8*L459,Assumptions!$C$5)</x:f>
        <x:v>0.005</x:v>
      </x:c>
      <x:c r="N459" s="78" t="n">
        <x:f>IF(ROW()=16,Assumptions!$C$4,V458)</x:f>
        <x:v>9842.395625733177</x:v>
      </x:c>
      <x:c r="O459" s="78" t="n">
        <x:f>IF(AND(K459&gt;IF(F459&gt;=Assumptions!$C$21,Assumptions!$C$10,Assumptions!$C$9),D459&gt;Assumptions!$C$23),N459*M459,0)</x:f>
        <x:v>49.21197812866589</x:v>
      </x:c>
      <x:c r="P459" s="78" t="n">
        <x:f>IFERROR(O459/F459,0)</x:f>
        <x:v>55.92270241893851</x:v>
      </x:c>
      <x:c r="Q459" s="78" t="n">
        <x:v>1</x:v>
      </x:c>
      <x:c r="R459" s="78" t="str">
        <x:v>Resolve</x:v>
      </x:c>
      <x:c r="S459" s="78" t="n">
        <x:f>IF(R459="Resolve",IF(IF(E459="YES",Q459,1-Q459)=1,P459*(1-F459),-O459),P459*(G459-F459))</x:f>
        <x:v>6.710724290272621</x:v>
      </x:c>
      <x:c r="T459" s="78" t="n">
        <x:f>P459*J459</x:f>
        <x:v>0.16776810725681554</x:v>
      </x:c>
      <x:c r="U459" s="78" t="n">
        <x:f>S459-T459</x:f>
        <x:v>6.542956183015805</x:v>
      </x:c>
      <x:c r="V459" s="78" t="n">
        <x:f>N459+U459</x:f>
        <x:v>9848.938581916193</x:v>
      </x:c>
      <x:c r="W459" s="74" t="n">
        <x:f>IFERROR(V459/MAX($V$16:V459)-1,0)</x:f>
        <x:v>-0.025420368699687557</x:v>
      </x:c>
      <x:c r="X459" t="str">
        <x:f>IF(O459&gt;0,"TRADE","NO_TRADE")</x:f>
        <x:v>TRADE</x:v>
      </x:c>
    </x:row>
    <x:row r="460">
      <x:c r="A460" s="66" t="n">
        <x:v>46167.52569444444</x:v>
      </x:c>
      <x:c r="B460" s="66" t="str">
        <x:v>MKT_1007</x:v>
      </x:c>
      <x:c r="C460" s="66" t="n">
        <x:v>46167.52777777778</x:v>
      </x:c>
      <x:c r="D460" t="n">
        <x:v>180</x:v>
      </x:c>
      <x:c r="E460" t="str">
        <x:v>NO</x:v>
      </x:c>
      <x:c r="F460" s="74" t="n">
        <x:v>0.94</x:v>
      </x:c>
      <x:c r="G460" s="74" t="n">
        <x:v>0.94</x:v>
      </x:c>
      <x:c r="H460" s="74" t="n">
        <x:v>0.98</x:v>
      </x:c>
      <x:c r="I460" s="74" t="n">
        <x:f>IF(E460="YES",H460,1-H460)</x:f>
        <x:v>0.020000000000000018</x:v>
      </x:c>
      <x:c r="J460" s="76" t="n">
        <x:f>Assumptions!$C$12+Assumptions!$C$11*F460</x:f>
        <x:v>0.003</x:v>
      </x:c>
      <x:c r="K460" s="76" t="n">
        <x:f>I460-F460-J460</x:f>
        <x:v>-0.9229999999999999</x:v>
      </x:c>
      <x:c r="L460" s="74" t="n">
        <x:f>MAX(0,IFERROR(K460/(1-F460),0))</x:f>
        <x:v>0</x:v>
      </x:c>
      <x:c r="M460" s="74" t="n">
        <x:f>MIN(Assumptions!$C$8*L460,Assumptions!$C$5)</x:f>
        <x:v>0</x:v>
      </x:c>
      <x:c r="N460" s="78" t="n">
        <x:f>IF(ROW()=16,Assumptions!$C$4,V459)</x:f>
        <x:v>9848.938581916193</x:v>
      </x:c>
      <x:c r="O460" s="78" t="n">
        <x:f>IF(AND(K460&gt;IF(F460&gt;=Assumptions!$C$21,Assumptions!$C$10,Assumptions!$C$9),D460&gt;Assumptions!$C$23),N460*M460,0)</x:f>
        <x:v>0</x:v>
      </x:c>
      <x:c r="P460" s="78" t="n">
        <x:f>IFERROR(O460/F460,0)</x:f>
        <x:v>0</x:v>
      </x:c>
      <x:c r="Q460" s="78" t="n">
        <x:v>0</x:v>
      </x:c>
      <x:c r="R460" s="78" t="str">
        <x:v>Resolve</x:v>
      </x:c>
      <x:c r="S460" s="78" t="n">
        <x:f>IF(R460="Resolve",IF(IF(E460="YES",Q460,1-Q460)=1,P460*(1-F460),-O460),P460*(G460-F460))</x:f>
        <x:v>0</x:v>
      </x:c>
      <x:c r="T460" s="78" t="n">
        <x:f>P460*J460</x:f>
        <x:v>0</x:v>
      </x:c>
      <x:c r="U460" s="78" t="n">
        <x:f>S460-T460</x:f>
        <x:v>0</x:v>
      </x:c>
      <x:c r="V460" s="78" t="n">
        <x:f>N460+U460</x:f>
        <x:v>9848.938581916193</x:v>
      </x:c>
      <x:c r="W460" s="74" t="n">
        <x:f>IFERROR(V460/MAX($V$16:V460)-1,0)</x:f>
        <x:v>-0.025420368699687557</x:v>
      </x:c>
      <x:c r="X460" t="str">
        <x:f>IF(O460&gt;0,"TRADE","NO_TRADE")</x:f>
        <x:v>NO_TRADE</x:v>
      </x:c>
    </x:row>
    <x:row r="461">
      <x:c r="A461" s="66" t="n">
        <x:v>46167.52575231482</x:v>
      </x:c>
      <x:c r="B461" s="66" t="str">
        <x:v>MKT_1007</x:v>
      </x:c>
      <x:c r="C461" s="66" t="n">
        <x:v>46167.52777777778</x:v>
      </x:c>
      <x:c r="D461" t="n">
        <x:v>175</x:v>
      </x:c>
      <x:c r="E461" t="str">
        <x:v>YES</x:v>
      </x:c>
      <x:c r="F461" s="74" t="n">
        <x:v>0.95</x:v>
      </x:c>
      <x:c r="G461" s="74" t="n">
        <x:v>0.95</x:v>
      </x:c>
      <x:c r="H461" s="74" t="n">
        <x:v>0.968</x:v>
      </x:c>
      <x:c r="I461" s="74" t="n">
        <x:f>IF(E461="YES",H461,1-H461)</x:f>
        <x:v>0.968</x:v>
      </x:c>
      <x:c r="J461" s="76" t="n">
        <x:f>Assumptions!$C$12+Assumptions!$C$11*F461</x:f>
        <x:v>0.003</x:v>
      </x:c>
      <x:c r="K461" s="76" t="n">
        <x:f>I461-F461-J461</x:f>
        <x:v>0.015000000000000017</x:v>
      </x:c>
      <x:c r="L461" s="74" t="n">
        <x:f>MAX(0,IFERROR(K461/(1-F461),0))</x:f>
        <x:v>0.30000000000000004</x:v>
      </x:c>
      <x:c r="M461" s="74" t="n">
        <x:f>MIN(Assumptions!$C$8*L461,Assumptions!$C$5)</x:f>
        <x:v>0.005</x:v>
      </x:c>
      <x:c r="N461" s="78" t="n">
        <x:f>IF(ROW()=16,Assumptions!$C$4,V460)</x:f>
        <x:v>9848.938581916193</x:v>
      </x:c>
      <x:c r="O461" s="78" t="n">
        <x:f>IF(AND(K461&gt;IF(F461&gt;=Assumptions!$C$21,Assumptions!$C$10,Assumptions!$C$9),D461&gt;Assumptions!$C$23),N461*M461,0)</x:f>
        <x:v>49.24469290958096</x:v>
      </x:c>
      <x:c r="P461" s="78" t="n">
        <x:f>IFERROR(O461/F461,0)</x:f>
        <x:v>51.83651885219049</x:v>
      </x:c>
      <x:c r="Q461" s="78" t="n">
        <x:v>1</x:v>
      </x:c>
      <x:c r="R461" s="78" t="str">
        <x:v>Resolve</x:v>
      </x:c>
      <x:c r="S461" s="78" t="n">
        <x:f>IF(R461="Resolve",IF(IF(E461="YES",Q461,1-Q461)=1,P461*(1-F461),-O461),P461*(G461-F461))</x:f>
        <x:v>2.5918259426095265</x:v>
      </x:c>
      <x:c r="T461" s="78" t="n">
        <x:f>P461*J461</x:f>
        <x:v>0.15550955655657148</x:v>
      </x:c>
      <x:c r="U461" s="78" t="n">
        <x:f>S461-T461</x:f>
        <x:v>2.436316386052955</x:v>
      </x:c>
      <x:c r="V461" s="78" t="n">
        <x:f>N461+U461</x:f>
        <x:v>9851.374898302245</x:v>
      </x:c>
      <x:c r="W461" s="74" t="n">
        <x:f>IFERROR(V461/MAX($V$16:V461)-1,0)</x:f>
        <x:v>-0.025179288475102757</x:v>
      </x:c>
      <x:c r="X461" t="str">
        <x:f>IF(O461&gt;0,"TRADE","NO_TRADE")</x:f>
        <x:v>TRADE</x:v>
      </x:c>
    </x:row>
    <x:row r="462">
      <x:c r="A462" s="66" t="n">
        <x:v>46167.52581018519</x:v>
      </x:c>
      <x:c r="B462" s="66" t="str">
        <x:v>MKT_1007</x:v>
      </x:c>
      <x:c r="C462" s="66" t="n">
        <x:v>46167.52777777778</x:v>
      </x:c>
      <x:c r="D462" t="n">
        <x:v>170</x:v>
      </x:c>
      <x:c r="E462" t="str">
        <x:v>YES</x:v>
      </x:c>
      <x:c r="F462" s="74" t="n">
        <x:v>0.57</x:v>
      </x:c>
      <x:c r="G462" s="74" t="n">
        <x:v>0.57</x:v>
      </x:c>
      <x:c r="H462" s="74" t="n">
        <x:v>0.582</x:v>
      </x:c>
      <x:c r="I462" s="74" t="n">
        <x:f>IF(E462="YES",H462,1-H462)</x:f>
        <x:v>0.582</x:v>
      </x:c>
      <x:c r="J462" s="76" t="n">
        <x:f>Assumptions!$C$12+Assumptions!$C$11*F462</x:f>
        <x:v>0.003</x:v>
      </x:c>
      <x:c r="K462" s="76" t="n">
        <x:f>I462-F462-J462</x:f>
        <x:v>0.009000000000000011</x:v>
      </x:c>
      <x:c r="L462" s="74" t="n">
        <x:f>MAX(0,IFERROR(K462/(1-F462),0))</x:f>
        <x:v>0.02093023255813956</x:v>
      </x:c>
      <x:c r="M462" s="74" t="n">
        <x:f>MIN(Assumptions!$C$8*L462,Assumptions!$C$5)</x:f>
        <x:v>0.005</x:v>
      </x:c>
      <x:c r="N462" s="78" t="n">
        <x:f>IF(ROW()=16,Assumptions!$C$4,V461)</x:f>
        <x:v>9851.374898302245</x:v>
      </x:c>
      <x:c r="O462" s="78" t="n">
        <x:f>IF(AND(K462&gt;IF(F462&gt;=Assumptions!$C$21,Assumptions!$C$10,Assumptions!$C$9),D462&gt;Assumptions!$C$23),N462*M462,0)</x:f>
        <x:v>49.256874491511226</x:v>
      </x:c>
      <x:c r="P462" s="78" t="n">
        <x:f>IFERROR(O462/F462,0)</x:f>
        <x:v>86.41556928335304</x:v>
      </x:c>
      <x:c r="Q462" s="78" t="n">
        <x:v>1</x:v>
      </x:c>
      <x:c r="R462" s="78" t="str">
        <x:v>Resolve</x:v>
      </x:c>
      <x:c r="S462" s="78" t="n">
        <x:f>IF(R462="Resolve",IF(IF(E462="YES",Q462,1-Q462)=1,P462*(1-F462),-O462),P462*(G462-F462))</x:f>
        <x:v>37.15869479184181</x:v>
      </x:c>
      <x:c r="T462" s="78" t="n">
        <x:f>P462*J462</x:f>
        <x:v>0.2592467078500591</x:v>
      </x:c>
      <x:c r="U462" s="78" t="n">
        <x:f>S462-T462</x:f>
        <x:v>36.89944808399175</x:v>
      </x:c>
      <x:c r="V462" s="78" t="n">
        <x:f>N462+U462</x:f>
        <x:v>9888.274346386237</x:v>
      </x:c>
      <x:c r="W462" s="74" t="n">
        <x:f>IFERROR(V462/MAX($V$16:V462)-1,0)</x:f>
        <x:v>-0.021527986336320915</x:v>
      </x:c>
      <x:c r="X462" t="str">
        <x:f>IF(O462&gt;0,"TRADE","NO_TRADE")</x:f>
        <x:v>TRADE</x:v>
      </x:c>
    </x:row>
    <x:row r="463">
      <x:c r="A463" s="66" t="n">
        <x:v>46167.525868055556</x:v>
      </x:c>
      <x:c r="B463" s="66" t="str">
        <x:v>MKT_1007</x:v>
      </x:c>
      <x:c r="C463" s="66" t="n">
        <x:v>46167.52777777778</x:v>
      </x:c>
      <x:c r="D463" t="n">
        <x:v>165</x:v>
      </x:c>
      <x:c r="E463" t="str">
        <x:v>NO</x:v>
      </x:c>
      <x:c r="F463" s="74" t="n">
        <x:v>0.68</x:v>
      </x:c>
      <x:c r="G463" s="74" t="n">
        <x:v>0.68</x:v>
      </x:c>
      <x:c r="H463" s="74" t="n">
        <x:v>0.7050000000000001</x:v>
      </x:c>
      <x:c r="I463" s="74" t="n">
        <x:f>IF(E463="YES",H463,1-H463)</x:f>
        <x:v>0.29499999999999993</x:v>
      </x:c>
      <x:c r="J463" s="76" t="n">
        <x:f>Assumptions!$C$12+Assumptions!$C$11*F463</x:f>
        <x:v>0.003</x:v>
      </x:c>
      <x:c r="K463" s="76" t="n">
        <x:f>I463-F463-J463</x:f>
        <x:v>-0.3880000000000001</x:v>
      </x:c>
      <x:c r="L463" s="74" t="n">
        <x:f>MAX(0,IFERROR(K463/(1-F463),0))</x:f>
        <x:v>0</x:v>
      </x:c>
      <x:c r="M463" s="74" t="n">
        <x:f>MIN(Assumptions!$C$8*L463,Assumptions!$C$5)</x:f>
        <x:v>0</x:v>
      </x:c>
      <x:c r="N463" s="78" t="n">
        <x:f>IF(ROW()=16,Assumptions!$C$4,V462)</x:f>
        <x:v>9888.274346386237</x:v>
      </x:c>
      <x:c r="O463" s="78" t="n">
        <x:f>IF(AND(K463&gt;IF(F463&gt;=Assumptions!$C$21,Assumptions!$C$10,Assumptions!$C$9),D463&gt;Assumptions!$C$23),N463*M463,0)</x:f>
        <x:v>0</x:v>
      </x:c>
      <x:c r="P463" s="78" t="n">
        <x:f>IFERROR(O463/F463,0)</x:f>
        <x:v>0</x:v>
      </x:c>
      <x:c r="Q463" s="78" t="n">
        <x:v>1</x:v>
      </x:c>
      <x:c r="R463" s="78" t="str">
        <x:v>Resolve</x:v>
      </x:c>
      <x:c r="S463" s="78" t="n">
        <x:f>IF(R463="Resolve",IF(IF(E463="YES",Q463,1-Q463)=1,P463*(1-F463),-O463),P463*(G463-F463))</x:f>
        <x:v>0</x:v>
      </x:c>
      <x:c r="T463" s="78" t="n">
        <x:f>P463*J463</x:f>
        <x:v>0</x:v>
      </x:c>
      <x:c r="U463" s="78" t="n">
        <x:f>S463-T463</x:f>
        <x:v>0</x:v>
      </x:c>
      <x:c r="V463" s="78" t="n">
        <x:f>N463+U463</x:f>
        <x:v>9888.274346386237</x:v>
      </x:c>
      <x:c r="W463" s="74" t="n">
        <x:f>IFERROR(V463/MAX($V$16:V463)-1,0)</x:f>
        <x:v>-0.021527986336320915</x:v>
      </x:c>
      <x:c r="X463" t="str">
        <x:f>IF(O463&gt;0,"TRADE","NO_TRADE")</x:f>
        <x:v>NO_TRADE</x:v>
      </x:c>
    </x:row>
    <x:row r="464">
      <x:c r="A464" s="66" t="n">
        <x:v>46167.525925925926</x:v>
      </x:c>
      <x:c r="B464" s="66" t="str">
        <x:v>MKT_1007</x:v>
      </x:c>
      <x:c r="C464" s="66" t="n">
        <x:v>46167.52777777778</x:v>
      </x:c>
      <x:c r="D464" t="n">
        <x:v>160</x:v>
      </x:c>
      <x:c r="E464" t="str">
        <x:v>YES</x:v>
      </x:c>
      <x:c r="F464" s="74" t="n">
        <x:v>0.91</x:v>
      </x:c>
      <x:c r="G464" s="74" t="n">
        <x:v>0.91</x:v>
      </x:c>
      <x:c r="H464" s="74" t="n">
        <x:v>0.9450000000000001</x:v>
      </x:c>
      <x:c r="I464" s="74" t="n">
        <x:f>IF(E464="YES",H464,1-H464)</x:f>
        <x:v>0.9450000000000001</x:v>
      </x:c>
      <x:c r="J464" s="76" t="n">
        <x:f>Assumptions!$C$12+Assumptions!$C$11*F464</x:f>
        <x:v>0.003</x:v>
      </x:c>
      <x:c r="K464" s="76" t="n">
        <x:f>I464-F464-J464</x:f>
        <x:v>0.03200000000000003</x:v>
      </x:c>
      <x:c r="L464" s="74" t="n">
        <x:f>MAX(0,IFERROR(K464/(1-F464),0))</x:f>
        <x:v>0.355555555555556</x:v>
      </x:c>
      <x:c r="M464" s="74" t="n">
        <x:f>MIN(Assumptions!$C$8*L464,Assumptions!$C$5)</x:f>
        <x:v>0.005</x:v>
      </x:c>
      <x:c r="N464" s="78" t="n">
        <x:f>IF(ROW()=16,Assumptions!$C$4,V463)</x:f>
        <x:v>9888.274346386237</x:v>
      </x:c>
      <x:c r="O464" s="78" t="n">
        <x:f>IF(AND(K464&gt;IF(F464&gt;=Assumptions!$C$21,Assumptions!$C$10,Assumptions!$C$9),D464&gt;Assumptions!$C$23),N464*M464,0)</x:f>
        <x:v>49.441371731931184</x:v>
      </x:c>
      <x:c r="P464" s="78" t="n">
        <x:f>IFERROR(O464/F464,0)</x:f>
        <x:v>54.331177727396906</x:v>
      </x:c>
      <x:c r="Q464" s="78" t="n">
        <x:v>0</x:v>
      </x:c>
      <x:c r="R464" s="78" t="str">
        <x:v>Resolve</x:v>
      </x:c>
      <x:c r="S464" s="78" t="n">
        <x:f>IF(R464="Resolve",IF(IF(E464="YES",Q464,1-Q464)=1,P464*(1-F464),-O464),P464*(G464-F464))</x:f>
        <x:v>-49.441371731931184</x:v>
      </x:c>
      <x:c r="T464" s="78" t="n">
        <x:f>P464*J464</x:f>
        <x:v>0.16299353318219073</x:v>
      </x:c>
      <x:c r="U464" s="78" t="n">
        <x:f>S464-T464</x:f>
        <x:v>-49.60436526511337</x:v>
      </x:c>
      <x:c r="V464" s="78" t="n">
        <x:f>N464+U464</x:f>
        <x:v>9838.669981121124</x:v>
      </x:c>
      <x:c r="W464" s="74" t="n">
        <x:f>IFERROR(V464/MAX($V$16:V464)-1,0)</x:f>
        <x:v>-0.02643647506420521</x:v>
      </x:c>
      <x:c r="X464" t="str">
        <x:f>IF(O464&gt;0,"TRADE","NO_TRADE")</x:f>
        <x:v>TRADE</x:v>
      </x:c>
    </x:row>
    <x:row r="465">
      <x:c r="A465" s="66" t="n">
        <x:v>46167.525983796295</x:v>
      </x:c>
      <x:c r="B465" s="66" t="str">
        <x:v>MKT_1007</x:v>
      </x:c>
      <x:c r="C465" s="66" t="n">
        <x:v>46167.52777777778</x:v>
      </x:c>
      <x:c r="D465" t="n">
        <x:v>155</x:v>
      </x:c>
      <x:c r="E465" t="str">
        <x:v>YES</x:v>
      </x:c>
      <x:c r="F465" s="74" t="n">
        <x:v>0.83</x:v>
      </x:c>
      <x:c r="G465" s="74" t="n">
        <x:v>0.83</x:v>
      </x:c>
      <x:c r="H465" s="74" t="n">
        <x:v>0.82</x:v>
      </x:c>
      <x:c r="I465" s="74" t="n">
        <x:f>IF(E465="YES",H465,1-H465)</x:f>
        <x:v>0.82</x:v>
      </x:c>
      <x:c r="J465" s="76" t="n">
        <x:f>Assumptions!$C$12+Assumptions!$C$11*F465</x:f>
        <x:v>0.003</x:v>
      </x:c>
      <x:c r="K465" s="76" t="n">
        <x:f>I465-F465-J465</x:f>
        <x:v>-0.013000000000000008</x:v>
      </x:c>
      <x:c r="L465" s="74" t="n">
        <x:f>MAX(0,IFERROR(K465/(1-F465),0))</x:f>
        <x:v>0</x:v>
      </x:c>
      <x:c r="M465" s="74" t="n">
        <x:f>MIN(Assumptions!$C$8*L465,Assumptions!$C$5)</x:f>
        <x:v>0</x:v>
      </x:c>
      <x:c r="N465" s="78" t="n">
        <x:f>IF(ROW()=16,Assumptions!$C$4,V464)</x:f>
        <x:v>9838.669981121124</x:v>
      </x:c>
      <x:c r="O465" s="78" t="n">
        <x:f>IF(AND(K465&gt;IF(F465&gt;=Assumptions!$C$21,Assumptions!$C$10,Assumptions!$C$9),D465&gt;Assumptions!$C$23),N465*M465,0)</x:f>
        <x:v>0</x:v>
      </x:c>
      <x:c r="P465" s="78" t="n">
        <x:f>IFERROR(O465/F465,0)</x:f>
        <x:v>0</x:v>
      </x:c>
      <x:c r="Q465" s="78" t="n">
        <x:v>1</x:v>
      </x:c>
      <x:c r="R465" s="78" t="str">
        <x:v>Resolve</x:v>
      </x:c>
      <x:c r="S465" s="78" t="n">
        <x:f>IF(R465="Resolve",IF(IF(E465="YES",Q465,1-Q465)=1,P465*(1-F465),-O465),P465*(G465-F465))</x:f>
        <x:v>0</x:v>
      </x:c>
      <x:c r="T465" s="78" t="n">
        <x:f>P465*J465</x:f>
        <x:v>0</x:v>
      </x:c>
      <x:c r="U465" s="78" t="n">
        <x:f>S465-T465</x:f>
        <x:v>0</x:v>
      </x:c>
      <x:c r="V465" s="78" t="n">
        <x:f>N465+U465</x:f>
        <x:v>9838.669981121124</x:v>
      </x:c>
      <x:c r="W465" s="74" t="n">
        <x:f>IFERROR(V465/MAX($V$16:V465)-1,0)</x:f>
        <x:v>-0.02643647506420521</x:v>
      </x:c>
      <x:c r="X465" t="str">
        <x:f>IF(O465&gt;0,"TRADE","NO_TRADE")</x:f>
        <x:v>NO_TRADE</x:v>
      </x:c>
    </x:row>
    <x:row r="466">
      <x:c r="A466" s="66" t="n">
        <x:v>46167.526041666664</x:v>
      </x:c>
      <x:c r="B466" s="66" t="str">
        <x:v>MKT_1007</x:v>
      </x:c>
      <x:c r="C466" s="66" t="n">
        <x:v>46167.52777777778</x:v>
      </x:c>
      <x:c r="D466" t="n">
        <x:v>150</x:v>
      </x:c>
      <x:c r="E466" t="str">
        <x:v>NO</x:v>
      </x:c>
      <x:c r="F466" s="74" t="n">
        <x:v>0.52</x:v>
      </x:c>
      <x:c r="G466" s="74" t="n">
        <x:v>0.52</x:v>
      </x:c>
      <x:c r="H466" s="74" t="n">
        <x:v>0.535</x:v>
      </x:c>
      <x:c r="I466" s="74" t="n">
        <x:f>IF(E466="YES",H466,1-H466)</x:f>
        <x:v>0.46499999999999997</x:v>
      </x:c>
      <x:c r="J466" s="76" t="n">
        <x:f>Assumptions!$C$12+Assumptions!$C$11*F466</x:f>
        <x:v>0.003</x:v>
      </x:c>
      <x:c r="K466" s="76" t="n">
        <x:f>I466-F466-J466</x:f>
        <x:v>-0.05800000000000005</x:v>
      </x:c>
      <x:c r="L466" s="74" t="n">
        <x:f>MAX(0,IFERROR(K466/(1-F466),0))</x:f>
        <x:v>0</x:v>
      </x:c>
      <x:c r="M466" s="74" t="n">
        <x:f>MIN(Assumptions!$C$8*L466,Assumptions!$C$5)</x:f>
        <x:v>0</x:v>
      </x:c>
      <x:c r="N466" s="78" t="n">
        <x:f>IF(ROW()=16,Assumptions!$C$4,V465)</x:f>
        <x:v>9838.669981121124</x:v>
      </x:c>
      <x:c r="O466" s="78" t="n">
        <x:f>IF(AND(K466&gt;IF(F466&gt;=Assumptions!$C$21,Assumptions!$C$10,Assumptions!$C$9),D466&gt;Assumptions!$C$23),N466*M466,0)</x:f>
        <x:v>0</x:v>
      </x:c>
      <x:c r="P466" s="78" t="n">
        <x:f>IFERROR(O466/F466,0)</x:f>
        <x:v>0</x:v>
      </x:c>
      <x:c r="Q466" s="78" t="n">
        <x:v>1</x:v>
      </x:c>
      <x:c r="R466" s="78" t="str">
        <x:v>Resolve</x:v>
      </x:c>
      <x:c r="S466" s="78" t="n">
        <x:f>IF(R466="Resolve",IF(IF(E466="YES",Q466,1-Q466)=1,P466*(1-F466),-O466),P466*(G466-F466))</x:f>
        <x:v>0</x:v>
      </x:c>
      <x:c r="T466" s="78" t="n">
        <x:f>P466*J466</x:f>
        <x:v>0</x:v>
      </x:c>
      <x:c r="U466" s="78" t="n">
        <x:f>S466-T466</x:f>
        <x:v>0</x:v>
      </x:c>
      <x:c r="V466" s="78" t="n">
        <x:f>N466+U466</x:f>
        <x:v>9838.669981121124</x:v>
      </x:c>
      <x:c r="W466" s="74" t="n">
        <x:f>IFERROR(V466/MAX($V$16:V466)-1,0)</x:f>
        <x:v>-0.02643647506420521</x:v>
      </x:c>
      <x:c r="X466" t="str">
        <x:f>IF(O466&gt;0,"TRADE","NO_TRADE")</x:f>
        <x:v>NO_TRADE</x:v>
      </x:c>
    </x:row>
    <x:row r="467">
      <x:c r="A467" s="66" t="n">
        <x:v>46167.52609953703</x:v>
      </x:c>
      <x:c r="B467" s="66" t="str">
        <x:v>MKT_1007</x:v>
      </x:c>
      <x:c r="C467" s="66" t="n">
        <x:v>46167.52777777778</x:v>
      </x:c>
      <x:c r="D467" t="n">
        <x:v>145</x:v>
      </x:c>
      <x:c r="E467" t="str">
        <x:v>YES</x:v>
      </x:c>
      <x:c r="F467" s="74" t="n">
        <x:v>0.61</x:v>
      </x:c>
      <x:c r="G467" s="74" t="n">
        <x:v>0.61</x:v>
      </x:c>
      <x:c r="H467" s="74" t="n">
        <x:v>0.63</x:v>
      </x:c>
      <x:c r="I467" s="74" t="n">
        <x:f>IF(E467="YES",H467,1-H467)</x:f>
        <x:v>0.63</x:v>
      </x:c>
      <x:c r="J467" s="76" t="n">
        <x:f>Assumptions!$C$12+Assumptions!$C$11*F467</x:f>
        <x:v>0.003</x:v>
      </x:c>
      <x:c r="K467" s="76" t="n">
        <x:f>I467-F467-J467</x:f>
        <x:v>0.01700000000000002</x:v>
      </x:c>
      <x:c r="L467" s="74" t="n">
        <x:f>MAX(0,IFERROR(K467/(1-F467),0))</x:f>
        <x:v>0.043589743589743636</x:v>
      </x:c>
      <x:c r="M467" s="74" t="n">
        <x:f>MIN(Assumptions!$C$8*L467,Assumptions!$C$5)</x:f>
        <x:v>0.005</x:v>
      </x:c>
      <x:c r="N467" s="78" t="n">
        <x:f>IF(ROW()=16,Assumptions!$C$4,V466)</x:f>
        <x:v>9838.669981121124</x:v>
      </x:c>
      <x:c r="O467" s="78" t="n">
        <x:f>IF(AND(K467&gt;IF(F467&gt;=Assumptions!$C$21,Assumptions!$C$10,Assumptions!$C$9),D467&gt;Assumptions!$C$23),N467*M467,0)</x:f>
        <x:v>49.19334990560562</x:v>
      </x:c>
      <x:c r="P467" s="78" t="n">
        <x:f>IFERROR(O467/F467,0)</x:f>
        <x:v>80.64483591082889</x:v>
      </x:c>
      <x:c r="Q467" s="78" t="n">
        <x:v>0</x:v>
      </x:c>
      <x:c r="R467" s="78" t="str">
        <x:v>Resolve</x:v>
      </x:c>
      <x:c r="S467" s="78" t="n">
        <x:f>IF(R467="Resolve",IF(IF(E467="YES",Q467,1-Q467)=1,P467*(1-F467),-O467),P467*(G467-F467))</x:f>
        <x:v>-49.19334990560562</x:v>
      </x:c>
      <x:c r="T467" s="78" t="n">
        <x:f>P467*J467</x:f>
        <x:v>0.24193450773248668</x:v>
      </x:c>
      <x:c r="U467" s="78" t="n">
        <x:f>S467-T467</x:f>
        <x:v>-49.43528441333811</x:v>
      </x:c>
      <x:c r="V467" s="78" t="n">
        <x:f>N467+U467</x:f>
        <x:v>9789.234696707786</x:v>
      </x:c>
      <x:c r="W467" s="74" t="n">
        <x:f>IFERROR(V467/MAX($V$16:V467)-1,0)</x:f>
        <x:v>-0.03132823277556285</x:v>
      </x:c>
      <x:c r="X467" t="str">
        <x:f>IF(O467&gt;0,"TRADE","NO_TRADE")</x:f>
        <x:v>TRADE</x:v>
      </x:c>
    </x:row>
    <x:row r="468">
      <x:c r="A468" s="66" t="n">
        <x:v>46167.52615740741</x:v>
      </x:c>
      <x:c r="B468" s="66" t="str">
        <x:v>MKT_1007</x:v>
      </x:c>
      <x:c r="C468" s="66" t="n">
        <x:v>46167.52777777778</x:v>
      </x:c>
      <x:c r="D468" t="n">
        <x:v>140</x:v>
      </x:c>
      <x:c r="E468" t="str">
        <x:v>YES</x:v>
      </x:c>
      <x:c r="F468" s="74" t="n">
        <x:v>0.74</x:v>
      </x:c>
      <x:c r="G468" s="74" t="n">
        <x:v>0.74</x:v>
      </x:c>
      <x:c r="H468" s="74" t="n">
        <x:v>0.735</x:v>
      </x:c>
      <x:c r="I468" s="74" t="n">
        <x:f>IF(E468="YES",H468,1-H468)</x:f>
        <x:v>0.735</x:v>
      </x:c>
      <x:c r="J468" s="76" t="n">
        <x:f>Assumptions!$C$12+Assumptions!$C$11*F468</x:f>
        <x:v>0.003</x:v>
      </x:c>
      <x:c r="K468" s="76" t="n">
        <x:f>I468-F468-J468</x:f>
        <x:v>-0.008000000000000004</x:v>
      </x:c>
      <x:c r="L468" s="74" t="n">
        <x:f>MAX(0,IFERROR(K468/(1-F468),0))</x:f>
        <x:v>0</x:v>
      </x:c>
      <x:c r="M468" s="74" t="n">
        <x:f>MIN(Assumptions!$C$8*L468,Assumptions!$C$5)</x:f>
        <x:v>0</x:v>
      </x:c>
      <x:c r="N468" s="78" t="n">
        <x:f>IF(ROW()=16,Assumptions!$C$4,V467)</x:f>
        <x:v>9789.234696707786</x:v>
      </x:c>
      <x:c r="O468" s="78" t="n">
        <x:f>IF(AND(K468&gt;IF(F468&gt;=Assumptions!$C$21,Assumptions!$C$10,Assumptions!$C$9),D468&gt;Assumptions!$C$23),N468*M468,0)</x:f>
        <x:v>0</x:v>
      </x:c>
      <x:c r="P468" s="78" t="n">
        <x:f>IFERROR(O468/F468,0)</x:f>
        <x:v>0</x:v>
      </x:c>
      <x:c r="Q468" s="78" t="n">
        <x:v>1</x:v>
      </x:c>
      <x:c r="R468" s="78" t="str">
        <x:v>Resolve</x:v>
      </x:c>
      <x:c r="S468" s="78" t="n">
        <x:f>IF(R468="Resolve",IF(IF(E468="YES",Q468,1-Q468)=1,P468*(1-F468),-O468),P468*(G468-F468))</x:f>
        <x:v>0</x:v>
      </x:c>
      <x:c r="T468" s="78" t="n">
        <x:f>P468*J468</x:f>
        <x:v>0</x:v>
      </x:c>
      <x:c r="U468" s="78" t="n">
        <x:f>S468-T468</x:f>
        <x:v>0</x:v>
      </x:c>
      <x:c r="V468" s="78" t="n">
        <x:f>N468+U468</x:f>
        <x:v>9789.234696707786</x:v>
      </x:c>
      <x:c r="W468" s="74" t="n">
        <x:f>IFERROR(V468/MAX($V$16:V468)-1,0)</x:f>
        <x:v>-0.03132823277556285</x:v>
      </x:c>
      <x:c r="X468" t="str">
        <x:f>IF(O468&gt;0,"TRADE","NO_TRADE")</x:f>
        <x:v>NO_TRADE</x:v>
      </x:c>
    </x:row>
    <x:row r="469">
      <x:c r="A469" s="66" t="n">
        <x:v>46167.52621527778</x:v>
      </x:c>
      <x:c r="B469" s="66" t="str">
        <x:v>MKT_1007</x:v>
      </x:c>
      <x:c r="C469" s="66" t="n">
        <x:v>46167.52777777778</x:v>
      </x:c>
      <x:c r="D469" t="n">
        <x:v>135</x:v>
      </x:c>
      <x:c r="E469" t="str">
        <x:v>NO</x:v>
      </x:c>
      <x:c r="F469" s="74" t="n">
        <x:v>0.88</x:v>
      </x:c>
      <x:c r="G469" s="74" t="n">
        <x:v>0.88</x:v>
      </x:c>
      <x:c r="H469" s="74" t="n">
        <x:v>0.91</x:v>
      </x:c>
      <x:c r="I469" s="74" t="n">
        <x:f>IF(E469="YES",H469,1-H469)</x:f>
        <x:v>0.08999999999999997</x:v>
      </x:c>
      <x:c r="J469" s="76" t="n">
        <x:f>Assumptions!$C$12+Assumptions!$C$11*F469</x:f>
        <x:v>0.003</x:v>
      </x:c>
      <x:c r="K469" s="76" t="n">
        <x:f>I469-F469-J469</x:f>
        <x:v>-0.793</x:v>
      </x:c>
      <x:c r="L469" s="74" t="n">
        <x:f>MAX(0,IFERROR(K469/(1-F469),0))</x:f>
        <x:v>0</x:v>
      </x:c>
      <x:c r="M469" s="74" t="n">
        <x:f>MIN(Assumptions!$C$8*L469,Assumptions!$C$5)</x:f>
        <x:v>0</x:v>
      </x:c>
      <x:c r="N469" s="78" t="n">
        <x:f>IF(ROW()=16,Assumptions!$C$4,V468)</x:f>
        <x:v>9789.234696707786</x:v>
      </x:c>
      <x:c r="O469" s="78" t="n">
        <x:f>IF(AND(K469&gt;IF(F469&gt;=Assumptions!$C$21,Assumptions!$C$10,Assumptions!$C$9),D469&gt;Assumptions!$C$23),N469*M469,0)</x:f>
        <x:v>0</x:v>
      </x:c>
      <x:c r="P469" s="78" t="n">
        <x:f>IFERROR(O469/F469,0)</x:f>
        <x:v>0</x:v>
      </x:c>
      <x:c r="Q469" s="78" t="n">
        <x:v>1</x:v>
      </x:c>
      <x:c r="R469" s="78" t="str">
        <x:v>Resolve</x:v>
      </x:c>
      <x:c r="S469" s="78" t="n">
        <x:f>IF(R469="Resolve",IF(IF(E469="YES",Q469,1-Q469)=1,P469*(1-F469),-O469),P469*(G469-F469))</x:f>
        <x:v>0</x:v>
      </x:c>
      <x:c r="T469" s="78" t="n">
        <x:f>P469*J469</x:f>
        <x:v>0</x:v>
      </x:c>
      <x:c r="U469" s="78" t="n">
        <x:f>S469-T469</x:f>
        <x:v>0</x:v>
      </x:c>
      <x:c r="V469" s="78" t="n">
        <x:f>N469+U469</x:f>
        <x:v>9789.234696707786</x:v>
      </x:c>
      <x:c r="W469" s="74" t="n">
        <x:f>IFERROR(V469/MAX($V$16:V469)-1,0)</x:f>
        <x:v>-0.03132823277556285</x:v>
      </x:c>
      <x:c r="X469" t="str">
        <x:f>IF(O469&gt;0,"TRADE","NO_TRADE")</x:f>
        <x:v>NO_TRADE</x:v>
      </x:c>
    </x:row>
    <x:row r="470">
      <x:c r="A470" s="66" t="n">
        <x:v>46167.52627314815</x:v>
      </x:c>
      <x:c r="B470" s="66" t="str">
        <x:v>MKT_1007</x:v>
      </x:c>
      <x:c r="C470" s="66" t="n">
        <x:v>46167.52777777778</x:v>
      </x:c>
      <x:c r="D470" t="n">
        <x:v>130</x:v>
      </x:c>
      <x:c r="E470" t="str">
        <x:v>YES</x:v>
      </x:c>
      <x:c r="F470" s="74" t="n">
        <x:v>0.94</x:v>
      </x:c>
      <x:c r="G470" s="74" t="n">
        <x:v>0.94</x:v>
      </x:c>
      <x:c r="H470" s="74" t="n">
        <x:v>0.98</x:v>
      </x:c>
      <x:c r="I470" s="74" t="n">
        <x:f>IF(E470="YES",H470,1-H470)</x:f>
        <x:v>0.98</x:v>
      </x:c>
      <x:c r="J470" s="76" t="n">
        <x:f>Assumptions!$C$12+Assumptions!$C$11*F470</x:f>
        <x:v>0.003</x:v>
      </x:c>
      <x:c r="K470" s="76" t="n">
        <x:f>I470-F470-J470</x:f>
        <x:v>0.03700000000000003</x:v>
      </x:c>
      <x:c r="L470" s="74" t="n">
        <x:f>MAX(0,IFERROR(K470/(1-F470),0))</x:f>
        <x:v>0.6166666666666667</x:v>
      </x:c>
      <x:c r="M470" s="74" t="n">
        <x:f>MIN(Assumptions!$C$8*L470,Assumptions!$C$5)</x:f>
        <x:v>0.005</x:v>
      </x:c>
      <x:c r="N470" s="78" t="n">
        <x:f>IF(ROW()=16,Assumptions!$C$4,V469)</x:f>
        <x:v>9789.234696707786</x:v>
      </x:c>
      <x:c r="O470" s="78" t="n">
        <x:f>IF(AND(K470&gt;IF(F470&gt;=Assumptions!$C$21,Assumptions!$C$10,Assumptions!$C$9),D470&gt;Assumptions!$C$23),N470*M470,0)</x:f>
        <x:v>48.946173483538935</x:v>
      </x:c>
      <x:c r="P470" s="78" t="n">
        <x:f>IFERROR(O470/F470,0)</x:f>
        <x:v>52.07039732291376</x:v>
      </x:c>
      <x:c r="Q470" s="78" t="n">
        <x:v>1</x:v>
      </x:c>
      <x:c r="R470" s="78" t="str">
        <x:v>Resolve</x:v>
      </x:c>
      <x:c r="S470" s="78" t="n">
        <x:f>IF(R470="Resolve",IF(IF(E470="YES",Q470,1-Q470)=1,P470*(1-F470),-O470),P470*(G470-F470))</x:f>
        <x:v>3.1242238393748285</x:v>
      </x:c>
      <x:c r="T470" s="78" t="n">
        <x:f>P470*J470</x:f>
        <x:v>0.15621119196874128</x:v>
      </x:c>
      <x:c r="U470" s="78" t="n">
        <x:f>S470-T470</x:f>
        <x:v>2.9680126474060873</x:v>
      </x:c>
      <x:c r="V470" s="78" t="n">
        <x:f>N470+U470</x:f>
        <x:v>9792.202709355193</x:v>
      </x:c>
      <x:c r="W470" s="74" t="n">
        <x:f>IFERROR(V470/MAX($V$16:V470)-1,0)</x:f>
        <x:v>-0.03103453973975534</x:v>
      </x:c>
      <x:c r="X470" t="str">
        <x:f>IF(O470&gt;0,"TRADE","NO_TRADE")</x:f>
        <x:v>TRADE</x:v>
      </x:c>
    </x:row>
    <x:row r="471">
      <x:c r="A471" s="66" t="n">
        <x:v>46167.52633101852</x:v>
      </x:c>
      <x:c r="B471" s="66" t="str">
        <x:v>MKT_1007</x:v>
      </x:c>
      <x:c r="C471" s="66" t="n">
        <x:v>46167.52777777778</x:v>
      </x:c>
      <x:c r="D471" t="n">
        <x:v>125</x:v>
      </x:c>
      <x:c r="E471" t="str">
        <x:v>YES</x:v>
      </x:c>
      <x:c r="F471" s="74" t="n">
        <x:v>0.95</x:v>
      </x:c>
      <x:c r="G471" s="74" t="n">
        <x:v>0.95</x:v>
      </x:c>
      <x:c r="H471" s="74" t="n">
        <x:v>0.968</x:v>
      </x:c>
      <x:c r="I471" s="74" t="n">
        <x:f>IF(E471="YES",H471,1-H471)</x:f>
        <x:v>0.968</x:v>
      </x:c>
      <x:c r="J471" s="76" t="n">
        <x:f>Assumptions!$C$12+Assumptions!$C$11*F471</x:f>
        <x:v>0.003</x:v>
      </x:c>
      <x:c r="K471" s="76" t="n">
        <x:f>I471-F471-J471</x:f>
        <x:v>0.015000000000000017</x:v>
      </x:c>
      <x:c r="L471" s="74" t="n">
        <x:f>MAX(0,IFERROR(K471/(1-F471),0))</x:f>
        <x:v>0.30000000000000004</x:v>
      </x:c>
      <x:c r="M471" s="74" t="n">
        <x:f>MIN(Assumptions!$C$8*L471,Assumptions!$C$5)</x:f>
        <x:v>0.005</x:v>
      </x:c>
      <x:c r="N471" s="78" t="n">
        <x:f>IF(ROW()=16,Assumptions!$C$4,V470)</x:f>
        <x:v>9792.202709355193</x:v>
      </x:c>
      <x:c r="O471" s="78" t="n">
        <x:f>IF(AND(K471&gt;IF(F471&gt;=Assumptions!$C$21,Assumptions!$C$10,Assumptions!$C$9),D471&gt;Assumptions!$C$23),N471*M471,0)</x:f>
        <x:v>48.961013546775966</x:v>
      </x:c>
      <x:c r="P471" s="78" t="n">
        <x:f>IFERROR(O471/F471,0)</x:f>
        <x:v>51.53790899660628</x:v>
      </x:c>
      <x:c r="Q471" s="78" t="n">
        <x:v>0</x:v>
      </x:c>
      <x:c r="R471" s="78" t="str">
        <x:v>Resolve</x:v>
      </x:c>
      <x:c r="S471" s="78" t="n">
        <x:f>IF(R471="Resolve",IF(IF(E471="YES",Q471,1-Q471)=1,P471*(1-F471),-O471),P471*(G471-F471))</x:f>
        <x:v>-48.961013546775966</x:v>
      </x:c>
      <x:c r="T471" s="78" t="n">
        <x:f>P471*J471</x:f>
        <x:v>0.15461372698981884</x:v>
      </x:c>
      <x:c r="U471" s="78" t="n">
        <x:f>S471-T471</x:f>
        <x:v>-49.11562727376578</x:v>
      </x:c>
      <x:c r="V471" s="78" t="n">
        <x:f>N471+U471</x:f>
        <x:v>9743.087082081427</x:v>
      </x:c>
      <x:c r="W471" s="74" t="n">
        <x:f>IFERROR(V471/MAX($V$16:V471)-1,0)</x:f>
        <x:v>-0.035894666495692285</x:v>
      </x:c>
      <x:c r="X471" t="str">
        <x:f>IF(O471&gt;0,"TRADE","NO_TRADE")</x:f>
        <x:v>TRADE</x:v>
      </x:c>
    </x:row>
    <x:row r="472">
      <x:c r="A472" s="66" t="n">
        <x:v>46167.52638888889</x:v>
      </x:c>
      <x:c r="B472" s="66" t="str">
        <x:v>MKT_1007</x:v>
      </x:c>
      <x:c r="C472" s="66" t="n">
        <x:v>46167.52777777778</x:v>
      </x:c>
      <x:c r="D472" t="n">
        <x:v>120</x:v>
      </x:c>
      <x:c r="E472" t="str">
        <x:v>NO</x:v>
      </x:c>
      <x:c r="F472" s="74" t="n">
        <x:v>0.57</x:v>
      </x:c>
      <x:c r="G472" s="74" t="n">
        <x:v>0.57</x:v>
      </x:c>
      <x:c r="H472" s="74" t="n">
        <x:v>0.582</x:v>
      </x:c>
      <x:c r="I472" s="74" t="n">
        <x:f>IF(E472="YES",H472,1-H472)</x:f>
        <x:v>0.41800000000000004</x:v>
      </x:c>
      <x:c r="J472" s="76" t="n">
        <x:f>Assumptions!$C$12+Assumptions!$C$11*F472</x:f>
        <x:v>0.003</x:v>
      </x:c>
      <x:c r="K472" s="76" t="n">
        <x:f>I472-F472-J472</x:f>
        <x:v>-0.15499999999999992</x:v>
      </x:c>
      <x:c r="L472" s="74" t="n">
        <x:f>MAX(0,IFERROR(K472/(1-F472),0))</x:f>
        <x:v>0</x:v>
      </x:c>
      <x:c r="M472" s="74" t="n">
        <x:f>MIN(Assumptions!$C$8*L472,Assumptions!$C$5)</x:f>
        <x:v>0</x:v>
      </x:c>
      <x:c r="N472" s="78" t="n">
        <x:f>IF(ROW()=16,Assumptions!$C$4,V471)</x:f>
        <x:v>9743.087082081427</x:v>
      </x:c>
      <x:c r="O472" s="78" t="n">
        <x:f>IF(AND(K472&gt;IF(F472&gt;=Assumptions!$C$21,Assumptions!$C$10,Assumptions!$C$9),D472&gt;Assumptions!$C$23),N472*M472,0)</x:f>
        <x:v>0</x:v>
      </x:c>
      <x:c r="P472" s="78" t="n">
        <x:f>IFERROR(O472/F472,0)</x:f>
        <x:v>0</x:v>
      </x:c>
      <x:c r="Q472" s="78" t="n">
        <x:v>1</x:v>
      </x:c>
      <x:c r="R472" s="78" t="str">
        <x:v>Resolve</x:v>
      </x:c>
      <x:c r="S472" s="78" t="n">
        <x:f>IF(R472="Resolve",IF(IF(E472="YES",Q472,1-Q472)=1,P472*(1-F472),-O472),P472*(G472-F472))</x:f>
        <x:v>0</x:v>
      </x:c>
      <x:c r="T472" s="78" t="n">
        <x:f>P472*J472</x:f>
        <x:v>0</x:v>
      </x:c>
      <x:c r="U472" s="78" t="n">
        <x:f>S472-T472</x:f>
        <x:v>0</x:v>
      </x:c>
      <x:c r="V472" s="78" t="n">
        <x:f>N472+U472</x:f>
        <x:v>9743.087082081427</x:v>
      </x:c>
      <x:c r="W472" s="74" t="n">
        <x:f>IFERROR(V472/MAX($V$16:V472)-1,0)</x:f>
        <x:v>-0.035894666495692285</x:v>
      </x:c>
      <x:c r="X472" t="str">
        <x:f>IF(O472&gt;0,"TRADE","NO_TRADE")</x:f>
        <x:v>NO_TRADE</x:v>
      </x:c>
    </x:row>
    <x:row r="473">
      <x:c r="A473" s="66" t="n">
        <x:v>46167.52644675926</x:v>
      </x:c>
      <x:c r="B473" s="66" t="str">
        <x:v>MKT_1007</x:v>
      </x:c>
      <x:c r="C473" s="66" t="n">
        <x:v>46167.52777777778</x:v>
      </x:c>
      <x:c r="D473" t="n">
        <x:v>115</x:v>
      </x:c>
      <x:c r="E473" t="str">
        <x:v>YES</x:v>
      </x:c>
      <x:c r="F473" s="74" t="n">
        <x:v>0.68</x:v>
      </x:c>
      <x:c r="G473" s="74" t="n">
        <x:v>0.68</x:v>
      </x:c>
      <x:c r="H473" s="74" t="n">
        <x:v>0.7050000000000001</x:v>
      </x:c>
      <x:c r="I473" s="74" t="n">
        <x:f>IF(E473="YES",H473,1-H473)</x:f>
        <x:v>0.7050000000000001</x:v>
      </x:c>
      <x:c r="J473" s="76" t="n">
        <x:f>Assumptions!$C$12+Assumptions!$C$11*F473</x:f>
        <x:v>0.003</x:v>
      </x:c>
      <x:c r="K473" s="76" t="n">
        <x:f>I473-F473-J473</x:f>
        <x:v>0.022000000000000023</x:v>
      </x:c>
      <x:c r="L473" s="74" t="n">
        <x:f>MAX(0,IFERROR(K473/(1-F473),0))</x:f>
        <x:v>0.06875000000000009</x:v>
      </x:c>
      <x:c r="M473" s="74" t="n">
        <x:f>MIN(Assumptions!$C$8*L473,Assumptions!$C$5)</x:f>
        <x:v>0.005</x:v>
      </x:c>
      <x:c r="N473" s="78" t="n">
        <x:f>IF(ROW()=16,Assumptions!$C$4,V472)</x:f>
        <x:v>9743.087082081427</x:v>
      </x:c>
      <x:c r="O473" s="78" t="n">
        <x:f>IF(AND(K473&gt;IF(F473&gt;=Assumptions!$C$21,Assumptions!$C$10,Assumptions!$C$9),D473&gt;Assumptions!$C$23),N473*M473,0)</x:f>
        <x:v>48.71543541040714</x:v>
      </x:c>
      <x:c r="P473" s="78" t="n">
        <x:f>IFERROR(O473/F473,0)</x:f>
        <x:v>71.6403461917752</x:v>
      </x:c>
      <x:c r="Q473" s="78" t="n">
        <x:v>1</x:v>
      </x:c>
      <x:c r="R473" s="78" t="str">
        <x:v>Resolve</x:v>
      </x:c>
      <x:c r="S473" s="78" t="n">
        <x:f>IF(R473="Resolve",IF(IF(E473="YES",Q473,1-Q473)=1,P473*(1-F473),-O473),P473*(G473-F473))</x:f>
        <x:v>22.92491078136806</x:v>
      </x:c>
      <x:c r="T473" s="78" t="n">
        <x:f>P473*J473</x:f>
        <x:v>0.21492103857532557</x:v>
      </x:c>
      <x:c r="U473" s="78" t="n">
        <x:f>S473-T473</x:f>
        <x:v>22.709989742792732</x:v>
      </x:c>
      <x:c r="V473" s="78" t="n">
        <x:f>N473+U473</x:f>
        <x:v>9765.79707182422</x:v>
      </x:c>
      <x:c r="W473" s="74" t="n">
        <x:f>IFERROR(V473/MAX($V$16:V473)-1,0)</x:f>
        <x:v>-0.03364745038745065</x:v>
      </x:c>
      <x:c r="X473" t="str">
        <x:f>IF(O473&gt;0,"TRADE","NO_TRADE")</x:f>
        <x:v>TRADE</x:v>
      </x:c>
    </x:row>
    <x:row r="474">
      <x:c r="A474" s="66" t="n">
        <x:v>46167.526504629626</x:v>
      </x:c>
      <x:c r="B474" s="66" t="str">
        <x:v>MKT_1007</x:v>
      </x:c>
      <x:c r="C474" s="66" t="n">
        <x:v>46167.52777777778</x:v>
      </x:c>
      <x:c r="D474" t="n">
        <x:v>110</x:v>
      </x:c>
      <x:c r="E474" t="str">
        <x:v>YES</x:v>
      </x:c>
      <x:c r="F474" s="74" t="n">
        <x:v>0.91</x:v>
      </x:c>
      <x:c r="G474" s="74" t="n">
        <x:v>0.91</x:v>
      </x:c>
      <x:c r="H474" s="74" t="n">
        <x:v>0.9450000000000001</x:v>
      </x:c>
      <x:c r="I474" s="74" t="n">
        <x:f>IF(E474="YES",H474,1-H474)</x:f>
        <x:v>0.9450000000000001</x:v>
      </x:c>
      <x:c r="J474" s="76" t="n">
        <x:f>Assumptions!$C$12+Assumptions!$C$11*F474</x:f>
        <x:v>0.003</x:v>
      </x:c>
      <x:c r="K474" s="76" t="n">
        <x:f>I474-F474-J474</x:f>
        <x:v>0.03200000000000003</x:v>
      </x:c>
      <x:c r="L474" s="74" t="n">
        <x:f>MAX(0,IFERROR(K474/(1-F474),0))</x:f>
        <x:v>0.355555555555556</x:v>
      </x:c>
      <x:c r="M474" s="74" t="n">
        <x:f>MIN(Assumptions!$C$8*L474,Assumptions!$C$5)</x:f>
        <x:v>0.005</x:v>
      </x:c>
      <x:c r="N474" s="78" t="n">
        <x:f>IF(ROW()=16,Assumptions!$C$4,V473)</x:f>
        <x:v>9765.79707182422</x:v>
      </x:c>
      <x:c r="O474" s="78" t="n">
        <x:f>IF(AND(K474&gt;IF(F474&gt;=Assumptions!$C$21,Assumptions!$C$10,Assumptions!$C$9),D474&gt;Assumptions!$C$23),N474*M474,0)</x:f>
        <x:v>48.8289853591211</x:v>
      </x:c>
      <x:c r="P474" s="78" t="n">
        <x:f>IFERROR(O474/F474,0)</x:f>
        <x:v>53.658225669363844</x:v>
      </x:c>
      <x:c r="Q474" s="78" t="n">
        <x:v>0</x:v>
      </x:c>
      <x:c r="R474" s="78" t="str">
        <x:v>Resolve</x:v>
      </x:c>
      <x:c r="S474" s="78" t="n">
        <x:f>IF(R474="Resolve",IF(IF(E474="YES",Q474,1-Q474)=1,P474*(1-F474),-O474),P474*(G474-F474))</x:f>
        <x:v>-48.8289853591211</x:v>
      </x:c>
      <x:c r="T474" s="78" t="n">
        <x:f>P474*J474</x:f>
        <x:v>0.16097467700809154</x:v>
      </x:c>
      <x:c r="U474" s="78" t="n">
        <x:f>S474-T474</x:f>
        <x:v>-48.98996003612919</x:v>
      </x:c>
      <x:c r="V474" s="78" t="n">
        <x:f>N474+U474</x:f>
        <x:v>9716.80711178809</x:v>
      </x:c>
      <x:c r="W474" s="74" t="n">
        <x:f>IFERROR(V474/MAX($V$16:V474)-1,0)</x:f>
        <x:v>-0.03849514202369386</x:v>
      </x:c>
      <x:c r="X474" t="str">
        <x:f>IF(O474&gt;0,"TRADE","NO_TRADE")</x:f>
        <x:v>TRADE</x:v>
      </x:c>
    </x:row>
    <x:row r="475">
      <x:c r="A475" s="66" t="n">
        <x:v>46167.5265625</x:v>
      </x:c>
      <x:c r="B475" s="66" t="str">
        <x:v>MKT_1007</x:v>
      </x:c>
      <x:c r="C475" s="66" t="n">
        <x:v>46167.52777777778</x:v>
      </x:c>
      <x:c r="D475" t="n">
        <x:v>105</x:v>
      </x:c>
      <x:c r="E475" t="str">
        <x:v>NO</x:v>
      </x:c>
      <x:c r="F475" s="74" t="n">
        <x:v>0.83</x:v>
      </x:c>
      <x:c r="G475" s="74" t="n">
        <x:v>0.83</x:v>
      </x:c>
      <x:c r="H475" s="74" t="n">
        <x:v>0.82</x:v>
      </x:c>
      <x:c r="I475" s="74" t="n">
        <x:f>IF(E475="YES",H475,1-H475)</x:f>
        <x:v>0.18000000000000005</x:v>
      </x:c>
      <x:c r="J475" s="76" t="n">
        <x:f>Assumptions!$C$12+Assumptions!$C$11*F475</x:f>
        <x:v>0.003</x:v>
      </x:c>
      <x:c r="K475" s="76" t="n">
        <x:f>I475-F475-J475</x:f>
        <x:v>-0.6529999999999999</x:v>
      </x:c>
      <x:c r="L475" s="74" t="n">
        <x:f>MAX(0,IFERROR(K475/(1-F475),0))</x:f>
        <x:v>0</x:v>
      </x:c>
      <x:c r="M475" s="74" t="n">
        <x:f>MIN(Assumptions!$C$8*L475,Assumptions!$C$5)</x:f>
        <x:v>0</x:v>
      </x:c>
      <x:c r="N475" s="78" t="n">
        <x:f>IF(ROW()=16,Assumptions!$C$4,V474)</x:f>
        <x:v>9716.80711178809</x:v>
      </x:c>
      <x:c r="O475" s="78" t="n">
        <x:f>IF(AND(K475&gt;IF(F475&gt;=Assumptions!$C$21,Assumptions!$C$10,Assumptions!$C$9),D475&gt;Assumptions!$C$23),N475*M475,0)</x:f>
        <x:v>0</x:v>
      </x:c>
      <x:c r="P475" s="78" t="n">
        <x:f>IFERROR(O475/F475,0)</x:f>
        <x:v>0</x:v>
      </x:c>
      <x:c r="Q475" s="78" t="n">
        <x:v>1</x:v>
      </x:c>
      <x:c r="R475" s="78" t="str">
        <x:v>Resolve</x:v>
      </x:c>
      <x:c r="S475" s="78" t="n">
        <x:f>IF(R475="Resolve",IF(IF(E475="YES",Q475,1-Q475)=1,P475*(1-F475),-O475),P475*(G475-F475))</x:f>
        <x:v>0</x:v>
      </x:c>
      <x:c r="T475" s="78" t="n">
        <x:f>P475*J475</x:f>
        <x:v>0</x:v>
      </x:c>
      <x:c r="U475" s="78" t="n">
        <x:f>S475-T475</x:f>
        <x:v>0</x:v>
      </x:c>
      <x:c r="V475" s="78" t="n">
        <x:f>N475+U475</x:f>
        <x:v>9716.80711178809</x:v>
      </x:c>
      <x:c r="W475" s="74" t="n">
        <x:f>IFERROR(V475/MAX($V$16:V475)-1,0)</x:f>
        <x:v>-0.03849514202369386</x:v>
      </x:c>
      <x:c r="X475" t="str">
        <x:f>IF(O475&gt;0,"TRADE","NO_TRADE")</x:f>
        <x:v>NO_TRADE</x:v>
      </x:c>
    </x:row>
    <x:row r="476">
      <x:c r="A476" s="66" t="n">
        <x:v>46167.52662037037</x:v>
      </x:c>
      <x:c r="B476" s="66" t="str">
        <x:v>MKT_1007</x:v>
      </x:c>
      <x:c r="C476" s="66" t="n">
        <x:v>46167.52777777778</x:v>
      </x:c>
      <x:c r="D476" t="n">
        <x:v>100</x:v>
      </x:c>
      <x:c r="E476" t="str">
        <x:v>YES</x:v>
      </x:c>
      <x:c r="F476" s="74" t="n">
        <x:v>0.52</x:v>
      </x:c>
      <x:c r="G476" s="74" t="n">
        <x:v>0.52</x:v>
      </x:c>
      <x:c r="H476" s="74" t="n">
        <x:v>0.535</x:v>
      </x:c>
      <x:c r="I476" s="74" t="n">
        <x:f>IF(E476="YES",H476,1-H476)</x:f>
        <x:v>0.535</x:v>
      </x:c>
      <x:c r="J476" s="76" t="n">
        <x:f>Assumptions!$C$12+Assumptions!$C$11*F476</x:f>
        <x:v>0.003</x:v>
      </x:c>
      <x:c r="K476" s="76" t="n">
        <x:f>I476-F476-J476</x:f>
        <x:v>0.012000000000000014</x:v>
      </x:c>
      <x:c r="L476" s="74" t="n">
        <x:f>MAX(0,IFERROR(K476/(1-F476),0))</x:f>
        <x:v>0.02500000000000003</x:v>
      </x:c>
      <x:c r="M476" s="74" t="n">
        <x:f>MIN(Assumptions!$C$8*L476,Assumptions!$C$5)</x:f>
        <x:v>0.005</x:v>
      </x:c>
      <x:c r="N476" s="78" t="n">
        <x:f>IF(ROW()=16,Assumptions!$C$4,V475)</x:f>
        <x:v>9716.80711178809</x:v>
      </x:c>
      <x:c r="O476" s="78" t="n">
        <x:f>IF(AND(K476&gt;IF(F476&gt;=Assumptions!$C$21,Assumptions!$C$10,Assumptions!$C$9),D476&gt;Assumptions!$C$23),N476*M476,0)</x:f>
        <x:v>48.58403555894045</x:v>
      </x:c>
      <x:c r="P476" s="78" t="n">
        <x:f>IFERROR(O476/F476,0)</x:f>
        <x:v>93.43083761334701</x:v>
      </x:c>
      <x:c r="Q476" s="78" t="n">
        <x:v>1</x:v>
      </x:c>
      <x:c r="R476" s="78" t="str">
        <x:v>Resolve</x:v>
      </x:c>
      <x:c r="S476" s="78" t="n">
        <x:f>IF(R476="Resolve",IF(IF(E476="YES",Q476,1-Q476)=1,P476*(1-F476),-O476),P476*(G476-F476))</x:f>
        <x:v>44.84680205440656</x:v>
      </x:c>
      <x:c r="T476" s="78" t="n">
        <x:f>P476*J476</x:f>
        <x:v>0.28029251284004103</x:v>
      </x:c>
      <x:c r="U476" s="78" t="n">
        <x:f>S476-T476</x:f>
        <x:v>44.56650954156652</x:v>
      </x:c>
      <x:c r="V476" s="78" t="n">
        <x:f>N476+U476</x:f>
        <x:v>9761.373621329656</x:v>
      </x:c>
      <x:c r="W476" s="74" t="n">
        <x:f>IFERROR(V476/MAX($V$16:V476)-1,0)</x:f>
        <x:v>-0.03408516301162956</x:v>
      </x:c>
      <x:c r="X476" t="str">
        <x:f>IF(O476&gt;0,"TRADE","NO_TRADE")</x:f>
        <x:v>TRADE</x:v>
      </x:c>
    </x:row>
    <x:row r="477">
      <x:c r="A477" s="66" t="n">
        <x:v>46167.52667824074</x:v>
      </x:c>
      <x:c r="B477" s="66" t="str">
        <x:v>MKT_1007</x:v>
      </x:c>
      <x:c r="C477" s="66" t="n">
        <x:v>46167.52777777778</x:v>
      </x:c>
      <x:c r="D477" t="n">
        <x:v>95</x:v>
      </x:c>
      <x:c r="E477" t="str">
        <x:v>YES</x:v>
      </x:c>
      <x:c r="F477" s="74" t="n">
        <x:v>0.61</x:v>
      </x:c>
      <x:c r="G477" s="74" t="n">
        <x:v>0.61</x:v>
      </x:c>
      <x:c r="H477" s="74" t="n">
        <x:v>0.63</x:v>
      </x:c>
      <x:c r="I477" s="74" t="n">
        <x:f>IF(E477="YES",H477,1-H477)</x:f>
        <x:v>0.63</x:v>
      </x:c>
      <x:c r="J477" s="76" t="n">
        <x:f>Assumptions!$C$12+Assumptions!$C$11*F477</x:f>
        <x:v>0.003</x:v>
      </x:c>
      <x:c r="K477" s="76" t="n">
        <x:f>I477-F477-J477</x:f>
        <x:v>0.01700000000000002</x:v>
      </x:c>
      <x:c r="L477" s="74" t="n">
        <x:f>MAX(0,IFERROR(K477/(1-F477),0))</x:f>
        <x:v>0.043589743589743636</x:v>
      </x:c>
      <x:c r="M477" s="74" t="n">
        <x:f>MIN(Assumptions!$C$8*L477,Assumptions!$C$5)</x:f>
        <x:v>0.005</x:v>
      </x:c>
      <x:c r="N477" s="78" t="n">
        <x:f>IF(ROW()=16,Assumptions!$C$4,V476)</x:f>
        <x:v>9761.373621329656</x:v>
      </x:c>
      <x:c r="O477" s="78" t="n">
        <x:f>IF(AND(K477&gt;IF(F477&gt;=Assumptions!$C$21,Assumptions!$C$10,Assumptions!$C$9),D477&gt;Assumptions!$C$23),N477*M477,0)</x:f>
        <x:v>48.80686810664828</x:v>
      </x:c>
      <x:c r="P477" s="78" t="n">
        <x:f>IFERROR(O477/F477,0)</x:f>
        <x:v>80.01125919122669</x:v>
      </x:c>
      <x:c r="Q477" s="78" t="n">
        <x:v>1</x:v>
      </x:c>
      <x:c r="R477" s="78" t="str">
        <x:v>Resolve</x:v>
      </x:c>
      <x:c r="S477" s="78" t="n">
        <x:f>IF(R477="Resolve",IF(IF(E477="YES",Q477,1-Q477)=1,P477*(1-F477),-O477),P477*(G477-F477))</x:f>
        <x:v>31.204391084578408</x:v>
      </x:c>
      <x:c r="T477" s="78" t="n">
        <x:f>P477*J477</x:f>
        <x:v>0.24003377757368005</x:v>
      </x:c>
      <x:c r="U477" s="78" t="n">
        <x:f>S477-T477</x:f>
        <x:v>30.96435730700473</x:v>
      </x:c>
      <x:c r="V477" s="78" t="n">
        <x:f>N477+U477</x:f>
        <x:v>9792.33797863666</x:v>
      </x:c>
      <x:c r="W477" s="74" t="n">
        <x:f>IFERROR(V477/MAX($V$16:V477)-1,0)</x:f>
        <x:v>-0.03102115447134679</x:v>
      </x:c>
      <x:c r="X477" t="str">
        <x:f>IF(O477&gt;0,"TRADE","NO_TRADE")</x:f>
        <x:v>TRADE</x:v>
      </x:c>
    </x:row>
    <x:row r="478">
      <x:c r="A478" s="66" t="n">
        <x:v>46167.52673611111</x:v>
      </x:c>
      <x:c r="B478" s="66" t="str">
        <x:v>MKT_1007</x:v>
      </x:c>
      <x:c r="C478" s="66" t="n">
        <x:v>46167.52777777778</x:v>
      </x:c>
      <x:c r="D478" t="n">
        <x:v>90</x:v>
      </x:c>
      <x:c r="E478" t="str">
        <x:v>NO</x:v>
      </x:c>
      <x:c r="F478" s="74" t="n">
        <x:v>0.74</x:v>
      </x:c>
      <x:c r="G478" s="74" t="n">
        <x:v>0.74</x:v>
      </x:c>
      <x:c r="H478" s="74" t="n">
        <x:v>0.735</x:v>
      </x:c>
      <x:c r="I478" s="74" t="n">
        <x:f>IF(E478="YES",H478,1-H478)</x:f>
        <x:v>0.265</x:v>
      </x:c>
      <x:c r="J478" s="76" t="n">
        <x:f>Assumptions!$C$12+Assumptions!$C$11*F478</x:f>
        <x:v>0.003</x:v>
      </x:c>
      <x:c r="K478" s="76" t="n">
        <x:f>I478-F478-J478</x:f>
        <x:v>-0.478</x:v>
      </x:c>
      <x:c r="L478" s="74" t="n">
        <x:f>MAX(0,IFERROR(K478/(1-F478),0))</x:f>
        <x:v>0</x:v>
      </x:c>
      <x:c r="M478" s="74" t="n">
        <x:f>MIN(Assumptions!$C$8*L478,Assumptions!$C$5)</x:f>
        <x:v>0</x:v>
      </x:c>
      <x:c r="N478" s="78" t="n">
        <x:f>IF(ROW()=16,Assumptions!$C$4,V477)</x:f>
        <x:v>9792.33797863666</x:v>
      </x:c>
      <x:c r="O478" s="78" t="n">
        <x:f>IF(AND(K478&gt;IF(F478&gt;=Assumptions!$C$21,Assumptions!$C$10,Assumptions!$C$9),D478&gt;Assumptions!$C$23),N478*M478,0)</x:f>
        <x:v>0</x:v>
      </x:c>
      <x:c r="P478" s="78" t="n">
        <x:f>IFERROR(O478/F478,0)</x:f>
        <x:v>0</x:v>
      </x:c>
      <x:c r="Q478" s="78" t="n">
        <x:v>0</x:v>
      </x:c>
      <x:c r="R478" s="78" t="str">
        <x:v>Resolve</x:v>
      </x:c>
      <x:c r="S478" s="78" t="n">
        <x:f>IF(R478="Resolve",IF(IF(E478="YES",Q478,1-Q478)=1,P478*(1-F478),-O478),P478*(G478-F478))</x:f>
        <x:v>0</x:v>
      </x:c>
      <x:c r="T478" s="78" t="n">
        <x:f>P478*J478</x:f>
        <x:v>0</x:v>
      </x:c>
      <x:c r="U478" s="78" t="n">
        <x:f>S478-T478</x:f>
        <x:v>0</x:v>
      </x:c>
      <x:c r="V478" s="78" t="n">
        <x:f>N478+U478</x:f>
        <x:v>9792.33797863666</x:v>
      </x:c>
      <x:c r="W478" s="74" t="n">
        <x:f>IFERROR(V478/MAX($V$16:V478)-1,0)</x:f>
        <x:v>-0.03102115447134679</x:v>
      </x:c>
      <x:c r="X478" t="str">
        <x:f>IF(O478&gt;0,"TRADE","NO_TRADE")</x:f>
        <x:v>NO_TRADE</x:v>
      </x:c>
    </x:row>
    <x:row r="479">
      <x:c r="A479" s="66" t="n">
        <x:v>46167.52679398148</x:v>
      </x:c>
      <x:c r="B479" s="66" t="str">
        <x:v>MKT_1007</x:v>
      </x:c>
      <x:c r="C479" s="66" t="n">
        <x:v>46167.52777777778</x:v>
      </x:c>
      <x:c r="D479" t="n">
        <x:v>85</x:v>
      </x:c>
      <x:c r="E479" t="str">
        <x:v>YES</x:v>
      </x:c>
      <x:c r="F479" s="74" t="n">
        <x:v>0.88</x:v>
      </x:c>
      <x:c r="G479" s="74" t="n">
        <x:v>0.88</x:v>
      </x:c>
      <x:c r="H479" s="74" t="n">
        <x:v>0.91</x:v>
      </x:c>
      <x:c r="I479" s="74" t="n">
        <x:f>IF(E479="YES",H479,1-H479)</x:f>
        <x:v>0.91</x:v>
      </x:c>
      <x:c r="J479" s="76" t="n">
        <x:f>Assumptions!$C$12+Assumptions!$C$11*F479</x:f>
        <x:v>0.003</x:v>
      </x:c>
      <x:c r="K479" s="76" t="n">
        <x:f>I479-F479-J479</x:f>
        <x:v>0.027000000000000027</x:v>
      </x:c>
      <x:c r="L479" s="74" t="n">
        <x:f>MAX(0,IFERROR(K479/(1-F479),0))</x:f>
        <x:v>0.22500000000000023</x:v>
      </x:c>
      <x:c r="M479" s="74" t="n">
        <x:f>MIN(Assumptions!$C$8*L479,Assumptions!$C$5)</x:f>
        <x:v>0.005</x:v>
      </x:c>
      <x:c r="N479" s="78" t="n">
        <x:f>IF(ROW()=16,Assumptions!$C$4,V478)</x:f>
        <x:v>9792.33797863666</x:v>
      </x:c>
      <x:c r="O479" s="78" t="n">
        <x:f>IF(AND(K479&gt;IF(F479&gt;=Assumptions!$C$21,Assumptions!$C$10,Assumptions!$C$9),D479&gt;Assumptions!$C$23),N479*M479,0)</x:f>
        <x:v>48.961689893183305</x:v>
      </x:c>
      <x:c r="P479" s="78" t="n">
        <x:f>IFERROR(O479/F479,0)</x:f>
        <x:v>55.63828396952648</x:v>
      </x:c>
      <x:c r="Q479" s="78" t="n">
        <x:v>1</x:v>
      </x:c>
      <x:c r="R479" s="78" t="str">
        <x:v>Resolve</x:v>
      </x:c>
      <x:c r="S479" s="78" t="n">
        <x:f>IF(R479="Resolve",IF(IF(E479="YES",Q479,1-Q479)=1,P479*(1-F479),-O479),P479*(G479-F479))</x:f>
        <x:v>6.676594076343178</x:v>
      </x:c>
      <x:c r="T479" s="78" t="n">
        <x:f>P479*J479</x:f>
        <x:v>0.16691485190857946</x:v>
      </x:c>
      <x:c r="U479" s="78" t="n">
        <x:f>S479-T479</x:f>
        <x:v>6.509679224434598</x:v>
      </x:c>
      <x:c r="V479" s="78" t="n">
        <x:f>N479+U479</x:f>
        <x:v>9798.847657861095</x:v>
      </x:c>
      <x:c r="W479" s="74" t="n">
        <x:f>IFERROR(V479/MAX($V$16:V479)-1,0)</x:f>
        <x:v>-0.03037700376153507</x:v>
      </x:c>
      <x:c r="X479" t="str">
        <x:f>IF(O479&gt;0,"TRADE","NO_TRADE")</x:f>
        <x:v>TRADE</x:v>
      </x:c>
    </x:row>
    <x:row r="480">
      <x:c r="A480" s="66" t="n">
        <x:v>46167.52685185185</x:v>
      </x:c>
      <x:c r="B480" s="66" t="str">
        <x:v>MKT_1007</x:v>
      </x:c>
      <x:c r="C480" s="66" t="n">
        <x:v>46167.52777777778</x:v>
      </x:c>
      <x:c r="D480" t="n">
        <x:v>80</x:v>
      </x:c>
      <x:c r="E480" t="str">
        <x:v>YES</x:v>
      </x:c>
      <x:c r="F480" s="74" t="n">
        <x:v>0.94</x:v>
      </x:c>
      <x:c r="G480" s="74" t="n">
        <x:v>0.94</x:v>
      </x:c>
      <x:c r="H480" s="74" t="n">
        <x:v>0.98</x:v>
      </x:c>
      <x:c r="I480" s="74" t="n">
        <x:f>IF(E480="YES",H480,1-H480)</x:f>
        <x:v>0.98</x:v>
      </x:c>
      <x:c r="J480" s="76" t="n">
        <x:f>Assumptions!$C$12+Assumptions!$C$11*F480</x:f>
        <x:v>0.003</x:v>
      </x:c>
      <x:c r="K480" s="76" t="n">
        <x:f>I480-F480-J480</x:f>
        <x:v>0.03700000000000003</x:v>
      </x:c>
      <x:c r="L480" s="74" t="n">
        <x:f>MAX(0,IFERROR(K480/(1-F480),0))</x:f>
        <x:v>0.6166666666666667</x:v>
      </x:c>
      <x:c r="M480" s="74" t="n">
        <x:f>MIN(Assumptions!$C$8*L480,Assumptions!$C$5)</x:f>
        <x:v>0.005</x:v>
      </x:c>
      <x:c r="N480" s="78" t="n">
        <x:f>IF(ROW()=16,Assumptions!$C$4,V479)</x:f>
        <x:v>9798.847657861095</x:v>
      </x:c>
      <x:c r="O480" s="78" t="n">
        <x:f>IF(AND(K480&gt;IF(F480&gt;=Assumptions!$C$21,Assumptions!$C$10,Assumptions!$C$9),D480&gt;Assumptions!$C$23),N480*M480,0)</x:f>
        <x:v>48.99423828930548</x:v>
      </x:c>
      <x:c r="P480" s="78" t="n">
        <x:f>IFERROR(O480/F480,0)</x:f>
        <x:v>52.12153009500583</x:v>
      </x:c>
      <x:c r="Q480" s="78" t="n">
        <x:v>1</x:v>
      </x:c>
      <x:c r="R480" s="78" t="str">
        <x:v>Resolve</x:v>
      </x:c>
      <x:c r="S480" s="78" t="n">
        <x:f>IF(R480="Resolve",IF(IF(E480="YES",Q480,1-Q480)=1,P480*(1-F480),-O480),P480*(G480-F480))</x:f>
        <x:v>3.1272918057003527</x:v>
      </x:c>
      <x:c r="T480" s="78" t="n">
        <x:f>P480*J480</x:f>
        <x:v>0.1563645902850175</x:v>
      </x:c>
      <x:c r="U480" s="78" t="n">
        <x:f>S480-T480</x:f>
        <x:v>2.970927215415335</x:v>
      </x:c>
      <x:c r="V480" s="78" t="n">
        <x:f>N480+U480</x:f>
        <x:v>9801.818585076511</x:v>
      </x:c>
      <x:c r="W480" s="74" t="n">
        <x:f>IFERROR(V480/MAX($V$16:V480)-1,0)</x:f>
        <x:v>-0.030083022321186093</x:v>
      </x:c>
      <x:c r="X480" t="str">
        <x:f>IF(O480&gt;0,"TRADE","NO_TRADE")</x:f>
        <x:v>TRADE</x:v>
      </x:c>
    </x:row>
    <x:row r="481">
      <x:c r="A481" s="66" t="n">
        <x:v>46167.52690972222</x:v>
      </x:c>
      <x:c r="B481" s="66" t="str">
        <x:v>MKT_1007</x:v>
      </x:c>
      <x:c r="C481" s="66" t="n">
        <x:v>46167.52777777778</x:v>
      </x:c>
      <x:c r="D481" t="n">
        <x:v>75</x:v>
      </x:c>
      <x:c r="E481" t="str">
        <x:v>NO</x:v>
      </x:c>
      <x:c r="F481" s="74" t="n">
        <x:v>0.95</x:v>
      </x:c>
      <x:c r="G481" s="74" t="n">
        <x:v>0.95</x:v>
      </x:c>
      <x:c r="H481" s="74" t="n">
        <x:v>0.968</x:v>
      </x:c>
      <x:c r="I481" s="74" t="n">
        <x:f>IF(E481="YES",H481,1-H481)</x:f>
        <x:v>0.03200000000000003</x:v>
      </x:c>
      <x:c r="J481" s="76" t="n">
        <x:f>Assumptions!$C$12+Assumptions!$C$11*F481</x:f>
        <x:v>0.003</x:v>
      </x:c>
      <x:c r="K481" s="76" t="n">
        <x:f>I481-F481-J481</x:f>
        <x:v>-0.9209999999999999</x:v>
      </x:c>
      <x:c r="L481" s="74" t="n">
        <x:f>MAX(0,IFERROR(K481/(1-F481),0))</x:f>
        <x:v>0</x:v>
      </x:c>
      <x:c r="M481" s="74" t="n">
        <x:f>MIN(Assumptions!$C$8*L481,Assumptions!$C$5)</x:f>
        <x:v>0</x:v>
      </x:c>
      <x:c r="N481" s="78" t="n">
        <x:f>IF(ROW()=16,Assumptions!$C$4,V480)</x:f>
        <x:v>9801.818585076511</x:v>
      </x:c>
      <x:c r="O481" s="78" t="n">
        <x:f>IF(AND(K481&gt;IF(F481&gt;=Assumptions!$C$21,Assumptions!$C$10,Assumptions!$C$9),D481&gt;Assumptions!$C$23),N481*M481,0)</x:f>
        <x:v>0</x:v>
      </x:c>
      <x:c r="P481" s="78" t="n">
        <x:f>IFERROR(O481/F481,0)</x:f>
        <x:v>0</x:v>
      </x:c>
      <x:c r="Q481" s="78" t="n">
        <x:v>0</x:v>
      </x:c>
      <x:c r="R481" s="78" t="str">
        <x:v>Resolve</x:v>
      </x:c>
      <x:c r="S481" s="78" t="n">
        <x:f>IF(R481="Resolve",IF(IF(E481="YES",Q481,1-Q481)=1,P481*(1-F481),-O481),P481*(G481-F481))</x:f>
        <x:v>0</x:v>
      </x:c>
      <x:c r="T481" s="78" t="n">
        <x:f>P481*J481</x:f>
        <x:v>0</x:v>
      </x:c>
      <x:c r="U481" s="78" t="n">
        <x:f>S481-T481</x:f>
        <x:v>0</x:v>
      </x:c>
      <x:c r="V481" s="78" t="n">
        <x:f>N481+U481</x:f>
        <x:v>9801.818585076511</x:v>
      </x:c>
      <x:c r="W481" s="74" t="n">
        <x:f>IFERROR(V481/MAX($V$16:V481)-1,0)</x:f>
        <x:v>-0.030083022321186093</x:v>
      </x:c>
      <x:c r="X481" t="str">
        <x:f>IF(O481&gt;0,"TRADE","NO_TRADE")</x:f>
        <x:v>NO_TRADE</x:v>
      </x:c>
    </x:row>
    <x:row r="482">
      <x:c r="A482" s="66" t="n">
        <x:v>46167.526967592596</x:v>
      </x:c>
      <x:c r="B482" s="66" t="str">
        <x:v>MKT_1007</x:v>
      </x:c>
      <x:c r="C482" s="66" t="n">
        <x:v>46167.52777777778</x:v>
      </x:c>
      <x:c r="D482" t="n">
        <x:v>70</x:v>
      </x:c>
      <x:c r="E482" t="str">
        <x:v>YES</x:v>
      </x:c>
      <x:c r="F482" s="74" t="n">
        <x:v>0.57</x:v>
      </x:c>
      <x:c r="G482" s="74" t="n">
        <x:v>0.57</x:v>
      </x:c>
      <x:c r="H482" s="74" t="n">
        <x:v>0.582</x:v>
      </x:c>
      <x:c r="I482" s="74" t="n">
        <x:f>IF(E482="YES",H482,1-H482)</x:f>
        <x:v>0.582</x:v>
      </x:c>
      <x:c r="J482" s="76" t="n">
        <x:f>Assumptions!$C$12+Assumptions!$C$11*F482</x:f>
        <x:v>0.003</x:v>
      </x:c>
      <x:c r="K482" s="76" t="n">
        <x:f>I482-F482-J482</x:f>
        <x:v>0.009000000000000011</x:v>
      </x:c>
      <x:c r="L482" s="74" t="n">
        <x:f>MAX(0,IFERROR(K482/(1-F482),0))</x:f>
        <x:v>0.02093023255813956</x:v>
      </x:c>
      <x:c r="M482" s="74" t="n">
        <x:f>MIN(Assumptions!$C$8*L482,Assumptions!$C$5)</x:f>
        <x:v>0.005</x:v>
      </x:c>
      <x:c r="N482" s="78" t="n">
        <x:f>IF(ROW()=16,Assumptions!$C$4,V481)</x:f>
        <x:v>9801.818585076511</x:v>
      </x:c>
      <x:c r="O482" s="78" t="n">
        <x:f>IF(AND(K482&gt;IF(F482&gt;=Assumptions!$C$21,Assumptions!$C$10,Assumptions!$C$9),D482&gt;Assumptions!$C$23),N482*M482,0)</x:f>
        <x:v>49.00909292538256</x:v>
      </x:c>
      <x:c r="P482" s="78" t="n">
        <x:f>IFERROR(O482/F482,0)</x:f>
        <x:v>85.98086478137292</x:v>
      </x:c>
      <x:c r="Q482" s="78" t="n">
        <x:v>1</x:v>
      </x:c>
      <x:c r="R482" s="78" t="str">
        <x:v>Resolve</x:v>
      </x:c>
      <x:c r="S482" s="78" t="n">
        <x:f>IF(R482="Resolve",IF(IF(E482="YES",Q482,1-Q482)=1,P482*(1-F482),-O482),P482*(G482-F482))</x:f>
        <x:v>36.971771855990355</x:v>
      </x:c>
      <x:c r="T482" s="78" t="n">
        <x:f>P482*J482</x:f>
        <x:v>0.25794259434411876</x:v>
      </x:c>
      <x:c r="U482" s="78" t="n">
        <x:f>S482-T482</x:f>
        <x:v>36.71382926164623</x:v>
      </x:c>
      <x:c r="V482" s="78" t="n">
        <x:f>N482+U482</x:f>
        <x:v>9838.532414338157</x:v>
      </x:c>
      <x:c r="W482" s="74" t="n">
        <x:f>IFERROR(V482/MAX($V$16:V482)-1,0)</x:f>
        <x:v>-0.026450087676722522</x:v>
      </x:c>
      <x:c r="X482" t="str">
        <x:f>IF(O482&gt;0,"TRADE","NO_TRADE")</x:f>
        <x:v>TRADE</x:v>
      </x:c>
    </x:row>
    <x:row r="483">
      <x:c r="A483" s="66" t="n">
        <x:v>46167.527025462965</x:v>
      </x:c>
      <x:c r="B483" s="66" t="str">
        <x:v>MKT_1007</x:v>
      </x:c>
      <x:c r="C483" s="66" t="n">
        <x:v>46167.52777777778</x:v>
      </x:c>
      <x:c r="D483" t="n">
        <x:v>65</x:v>
      </x:c>
      <x:c r="E483" t="str">
        <x:v>YES</x:v>
      </x:c>
      <x:c r="F483" s="74" t="n">
        <x:v>0.68</x:v>
      </x:c>
      <x:c r="G483" s="74" t="n">
        <x:v>0.68</x:v>
      </x:c>
      <x:c r="H483" s="74" t="n">
        <x:v>0.7050000000000001</x:v>
      </x:c>
      <x:c r="I483" s="74" t="n">
        <x:f>IF(E483="YES",H483,1-H483)</x:f>
        <x:v>0.7050000000000001</x:v>
      </x:c>
      <x:c r="J483" s="76" t="n">
        <x:f>Assumptions!$C$12+Assumptions!$C$11*F483</x:f>
        <x:v>0.003</x:v>
      </x:c>
      <x:c r="K483" s="76" t="n">
        <x:f>I483-F483-J483</x:f>
        <x:v>0.022000000000000023</x:v>
      </x:c>
      <x:c r="L483" s="74" t="n">
        <x:f>MAX(0,IFERROR(K483/(1-F483),0))</x:f>
        <x:v>0.06875000000000009</x:v>
      </x:c>
      <x:c r="M483" s="74" t="n">
        <x:f>MIN(Assumptions!$C$8*L483,Assumptions!$C$5)</x:f>
        <x:v>0.005</x:v>
      </x:c>
      <x:c r="N483" s="78" t="n">
        <x:f>IF(ROW()=16,Assumptions!$C$4,V482)</x:f>
        <x:v>9838.532414338157</x:v>
      </x:c>
      <x:c r="O483" s="78" t="n">
        <x:f>IF(AND(K483&gt;IF(F483&gt;=Assumptions!$C$21,Assumptions!$C$10,Assumptions!$C$9),D483&gt;Assumptions!$C$23),N483*M483,0)</x:f>
        <x:v>49.19266207169078</x:v>
      </x:c>
      <x:c r="P483" s="78" t="n">
        <x:f>IFERROR(O483/F483,0)</x:f>
        <x:v>72.34215010542762</x:v>
      </x:c>
      <x:c r="Q483" s="78" t="n">
        <x:v>1</x:v>
      </x:c>
      <x:c r="R483" s="78" t="str">
        <x:v>Resolve</x:v>
      </x:c>
      <x:c r="S483" s="78" t="n">
        <x:f>IF(R483="Resolve",IF(IF(E483="YES",Q483,1-Q483)=1,P483*(1-F483),-O483),P483*(G483-F483))</x:f>
        <x:v>23.149488033736834</x:v>
      </x:c>
      <x:c r="T483" s="78" t="n">
        <x:f>P483*J483</x:f>
        <x:v>0.21702645031628287</x:v>
      </x:c>
      <x:c r="U483" s="78" t="n">
        <x:f>S483-T483</x:f>
        <x:v>22.93246158342055</x:v>
      </x:c>
      <x:c r="V483" s="78" t="n">
        <x:f>N483+U483</x:f>
        <x:v>9861.464875921578</x:v>
      </x:c>
      <x:c r="W483" s="74" t="n">
        <x:f>IFERROR(V483/MAX($V$16:V483)-1,0)</x:f>
        <x:v>-0.02418085736638076</x:v>
      </x:c>
      <x:c r="X483" t="str">
        <x:f>IF(O483&gt;0,"TRADE","NO_TRADE")</x:f>
        <x:v>TRADE</x:v>
      </x:c>
    </x:row>
    <x:row r="484">
      <x:c r="A484" s="66" t="n">
        <x:v>46167.527083333334</x:v>
      </x:c>
      <x:c r="B484" s="66" t="str">
        <x:v>MKT_1007</x:v>
      </x:c>
      <x:c r="C484" s="66" t="n">
        <x:v>46167.52777777778</x:v>
      </x:c>
      <x:c r="D484" t="n">
        <x:v>60</x:v>
      </x:c>
      <x:c r="E484" t="str">
        <x:v>NO</x:v>
      </x:c>
      <x:c r="F484" s="74" t="n">
        <x:v>0.91</x:v>
      </x:c>
      <x:c r="G484" s="74" t="n">
        <x:v>0.91</x:v>
      </x:c>
      <x:c r="H484" s="74" t="n">
        <x:v>0.9450000000000001</x:v>
      </x:c>
      <x:c r="I484" s="74" t="n">
        <x:f>IF(E484="YES",H484,1-H484)</x:f>
        <x:v>0.05499999999999994</x:v>
      </x:c>
      <x:c r="J484" s="76" t="n">
        <x:f>Assumptions!$C$12+Assumptions!$C$11*F484</x:f>
        <x:v>0.003</x:v>
      </x:c>
      <x:c r="K484" s="76" t="n">
        <x:f>I484-F484-J484</x:f>
        <x:v>-0.8580000000000001</x:v>
      </x:c>
      <x:c r="L484" s="74" t="n">
        <x:f>MAX(0,IFERROR(K484/(1-F484),0))</x:f>
        <x:v>0</x:v>
      </x:c>
      <x:c r="M484" s="74" t="n">
        <x:f>MIN(Assumptions!$C$8*L484,Assumptions!$C$5)</x:f>
        <x:v>0</x:v>
      </x:c>
      <x:c r="N484" s="78" t="n">
        <x:f>IF(ROW()=16,Assumptions!$C$4,V483)</x:f>
        <x:v>9861.464875921578</x:v>
      </x:c>
      <x:c r="O484" s="78" t="n">
        <x:f>IF(AND(K484&gt;IF(F484&gt;=Assumptions!$C$21,Assumptions!$C$10,Assumptions!$C$9),D484&gt;Assumptions!$C$23),N484*M484,0)</x:f>
        <x:v>0</x:v>
      </x:c>
      <x:c r="P484" s="78" t="n">
        <x:f>IFERROR(O484/F484,0)</x:f>
        <x:v>0</x:v>
      </x:c>
      <x:c r="Q484" s="78" t="n">
        <x:v>1</x:v>
      </x:c>
      <x:c r="R484" s="78" t="str">
        <x:v>Resolve</x:v>
      </x:c>
      <x:c r="S484" s="78" t="n">
        <x:f>IF(R484="Resolve",IF(IF(E484="YES",Q484,1-Q484)=1,P484*(1-F484),-O484),P484*(G484-F484))</x:f>
        <x:v>0</x:v>
      </x:c>
      <x:c r="T484" s="78" t="n">
        <x:f>P484*J484</x:f>
        <x:v>0</x:v>
      </x:c>
      <x:c r="U484" s="78" t="n">
        <x:f>S484-T484</x:f>
        <x:v>0</x:v>
      </x:c>
      <x:c r="V484" s="78" t="n">
        <x:f>N484+U484</x:f>
        <x:v>9861.464875921578</x:v>
      </x:c>
      <x:c r="W484" s="74" t="n">
        <x:f>IFERROR(V484/MAX($V$16:V484)-1,0)</x:f>
        <x:v>-0.02418085736638076</x:v>
      </x:c>
      <x:c r="X484" t="str">
        <x:f>IF(O484&gt;0,"TRADE","NO_TRADE")</x:f>
        <x:v>NO_TRADE</x:v>
      </x:c>
    </x:row>
    <x:row r="485">
      <x:c r="A485" s="66" t="n">
        <x:v>46167.527141203704</x:v>
      </x:c>
      <x:c r="B485" s="66" t="str">
        <x:v>MKT_1007</x:v>
      </x:c>
      <x:c r="C485" s="66" t="n">
        <x:v>46167.52777777778</x:v>
      </x:c>
      <x:c r="D485" t="n">
        <x:v>55</x:v>
      </x:c>
      <x:c r="E485" t="str">
        <x:v>YES</x:v>
      </x:c>
      <x:c r="F485" s="74" t="n">
        <x:v>0.83</x:v>
      </x:c>
      <x:c r="G485" s="74" t="n">
        <x:v>0.83</x:v>
      </x:c>
      <x:c r="H485" s="74" t="n">
        <x:v>0.82</x:v>
      </x:c>
      <x:c r="I485" s="74" t="n">
        <x:f>IF(E485="YES",H485,1-H485)</x:f>
        <x:v>0.82</x:v>
      </x:c>
      <x:c r="J485" s="76" t="n">
        <x:f>Assumptions!$C$12+Assumptions!$C$11*F485</x:f>
        <x:v>0.003</x:v>
      </x:c>
      <x:c r="K485" s="76" t="n">
        <x:f>I485-F485-J485</x:f>
        <x:v>-0.013000000000000008</x:v>
      </x:c>
      <x:c r="L485" s="74" t="n">
        <x:f>MAX(0,IFERROR(K485/(1-F485),0))</x:f>
        <x:v>0</x:v>
      </x:c>
      <x:c r="M485" s="74" t="n">
        <x:f>MIN(Assumptions!$C$8*L485,Assumptions!$C$5)</x:f>
        <x:v>0</x:v>
      </x:c>
      <x:c r="N485" s="78" t="n">
        <x:f>IF(ROW()=16,Assumptions!$C$4,V484)</x:f>
        <x:v>9861.464875921578</x:v>
      </x:c>
      <x:c r="O485" s="78" t="n">
        <x:f>IF(AND(K485&gt;IF(F485&gt;=Assumptions!$C$21,Assumptions!$C$10,Assumptions!$C$9),D485&gt;Assumptions!$C$23),N485*M485,0)</x:f>
        <x:v>0</x:v>
      </x:c>
      <x:c r="P485" s="78" t="n">
        <x:f>IFERROR(O485/F485,0)</x:f>
        <x:v>0</x:v>
      </x:c>
      <x:c r="Q485" s="78" t="n">
        <x:v>0</x:v>
      </x:c>
      <x:c r="R485" s="78" t="str">
        <x:v>Resolve</x:v>
      </x:c>
      <x:c r="S485" s="78" t="n">
        <x:f>IF(R485="Resolve",IF(IF(E485="YES",Q485,1-Q485)=1,P485*(1-F485),-O485),P485*(G485-F485))</x:f>
        <x:v>0</x:v>
      </x:c>
      <x:c r="T485" s="78" t="n">
        <x:f>P485*J485</x:f>
        <x:v>0</x:v>
      </x:c>
      <x:c r="U485" s="78" t="n">
        <x:f>S485-T485</x:f>
        <x:v>0</x:v>
      </x:c>
      <x:c r="V485" s="78" t="n">
        <x:f>N485+U485</x:f>
        <x:v>9861.464875921578</x:v>
      </x:c>
      <x:c r="W485" s="74" t="n">
        <x:f>IFERROR(V485/MAX($V$16:V485)-1,0)</x:f>
        <x:v>-0.02418085736638076</x:v>
      </x:c>
      <x:c r="X485" t="str">
        <x:f>IF(O485&gt;0,"TRADE","NO_TRADE")</x:f>
        <x:v>NO_TRADE</x:v>
      </x:c>
    </x:row>
    <x:row r="486">
      <x:c r="A486" s="66" t="n">
        <x:v>46167.52719907407</x:v>
      </x:c>
      <x:c r="B486" s="66" t="str">
        <x:v>MKT_1007</x:v>
      </x:c>
      <x:c r="C486" s="66" t="n">
        <x:v>46167.52777777778</x:v>
      </x:c>
      <x:c r="D486" t="n">
        <x:v>50</x:v>
      </x:c>
      <x:c r="E486" t="str">
        <x:v>YES</x:v>
      </x:c>
      <x:c r="F486" s="74" t="n">
        <x:v>0.52</x:v>
      </x:c>
      <x:c r="G486" s="74" t="n">
        <x:v>0.52</x:v>
      </x:c>
      <x:c r="H486" s="74" t="n">
        <x:v>0.535</x:v>
      </x:c>
      <x:c r="I486" s="74" t="n">
        <x:f>IF(E486="YES",H486,1-H486)</x:f>
        <x:v>0.535</x:v>
      </x:c>
      <x:c r="J486" s="76" t="n">
        <x:f>Assumptions!$C$12+Assumptions!$C$11*F486</x:f>
        <x:v>0.003</x:v>
      </x:c>
      <x:c r="K486" s="76" t="n">
        <x:f>I486-F486-J486</x:f>
        <x:v>0.012000000000000014</x:v>
      </x:c>
      <x:c r="L486" s="74" t="n">
        <x:f>MAX(0,IFERROR(K486/(1-F486),0))</x:f>
        <x:v>0.02500000000000003</x:v>
      </x:c>
      <x:c r="M486" s="74" t="n">
        <x:f>MIN(Assumptions!$C$8*L486,Assumptions!$C$5)</x:f>
        <x:v>0.005</x:v>
      </x:c>
      <x:c r="N486" s="78" t="n">
        <x:f>IF(ROW()=16,Assumptions!$C$4,V485)</x:f>
        <x:v>9861.464875921578</x:v>
      </x:c>
      <x:c r="O486" s="78" t="n">
        <x:f>IF(AND(K486&gt;IF(F486&gt;=Assumptions!$C$21,Assumptions!$C$10,Assumptions!$C$9),D486&gt;Assumptions!$C$23),N486*M486,0)</x:f>
        <x:v>49.30732437960789</x:v>
      </x:c>
      <x:c r="P486" s="78" t="n">
        <x:f>IFERROR(O486/F486,0)</x:f>
        <x:v>94.8217776530921</x:v>
      </x:c>
      <x:c r="Q486" s="78" t="n">
        <x:v>1</x:v>
      </x:c>
      <x:c r="R486" s="78" t="str">
        <x:v>Resolve</x:v>
      </x:c>
      <x:c r="S486" s="78" t="n">
        <x:f>IF(R486="Resolve",IF(IF(E486="YES",Q486,1-Q486)=1,P486*(1-F486),-O486),P486*(G486-F486))</x:f>
        <x:v>45.51445327348421</x:v>
      </x:c>
      <x:c r="T486" s="78" t="n">
        <x:f>P486*J486</x:f>
        <x:v>0.2844653329592763</x:v>
      </x:c>
      <x:c r="U486" s="78" t="n">
        <x:f>S486-T486</x:f>
        <x:v>45.22998794052493</x:v>
      </x:c>
      <x:c r="V486" s="78" t="n">
        <x:f>N486+U486</x:f>
        <x:v>9906.694863862103</x:v>
      </x:c>
      <x:c r="W486" s="74" t="n">
        <x:f>IFERROR(V486/MAX($V$16:V486)-1,0)</x:f>
        <x:v>-0.019705225337186105</x:v>
      </x:c>
      <x:c r="X486" t="str">
        <x:f>IF(O486&gt;0,"TRADE","NO_TRADE")</x:f>
        <x:v>TRADE</x:v>
      </x:c>
    </x:row>
    <x:row r="487">
      <x:c r="A487" s="66" t="n">
        <x:v>46167.52725694444</x:v>
      </x:c>
      <x:c r="B487" s="66" t="str">
        <x:v>MKT_1007</x:v>
      </x:c>
      <x:c r="C487" s="66" t="n">
        <x:v>46167.52777777778</x:v>
      </x:c>
      <x:c r="D487" t="n">
        <x:v>45</x:v>
      </x:c>
      <x:c r="E487" t="str">
        <x:v>NO</x:v>
      </x:c>
      <x:c r="F487" s="74" t="n">
        <x:v>0.61</x:v>
      </x:c>
      <x:c r="G487" s="74" t="n">
        <x:v>0.61</x:v>
      </x:c>
      <x:c r="H487" s="74" t="n">
        <x:v>0.63</x:v>
      </x:c>
      <x:c r="I487" s="74" t="n">
        <x:f>IF(E487="YES",H487,1-H487)</x:f>
        <x:v>0.37</x:v>
      </x:c>
      <x:c r="J487" s="76" t="n">
        <x:f>Assumptions!$C$12+Assumptions!$C$11*F487</x:f>
        <x:v>0.003</x:v>
      </x:c>
      <x:c r="K487" s="76" t="n">
        <x:f>I487-F487-J487</x:f>
        <x:v>-0.243</x:v>
      </x:c>
      <x:c r="L487" s="74" t="n">
        <x:f>MAX(0,IFERROR(K487/(1-F487),0))</x:f>
        <x:v>0</x:v>
      </x:c>
      <x:c r="M487" s="74" t="n">
        <x:f>MIN(Assumptions!$C$8*L487,Assumptions!$C$5)</x:f>
        <x:v>0</x:v>
      </x:c>
      <x:c r="N487" s="78" t="n">
        <x:f>IF(ROW()=16,Assumptions!$C$4,V486)</x:f>
        <x:v>9906.694863862103</x:v>
      </x:c>
      <x:c r="O487" s="78" t="n">
        <x:f>IF(AND(K487&gt;IF(F487&gt;=Assumptions!$C$21,Assumptions!$C$10,Assumptions!$C$9),D487&gt;Assumptions!$C$23),N487*M487,0)</x:f>
        <x:v>0</x:v>
      </x:c>
      <x:c r="P487" s="78" t="n">
        <x:f>IFERROR(O487/F487,0)</x:f>
        <x:v>0</x:v>
      </x:c>
      <x:c r="Q487" s="78" t="n">
        <x:v>1</x:v>
      </x:c>
      <x:c r="R487" s="78" t="str">
        <x:v>Resolve</x:v>
      </x:c>
      <x:c r="S487" s="78" t="n">
        <x:f>IF(R487="Resolve",IF(IF(E487="YES",Q487,1-Q487)=1,P487*(1-F487),-O487),P487*(G487-F487))</x:f>
        <x:v>0</x:v>
      </x:c>
      <x:c r="T487" s="78" t="n">
        <x:f>P487*J487</x:f>
        <x:v>0</x:v>
      </x:c>
      <x:c r="U487" s="78" t="n">
        <x:f>S487-T487</x:f>
        <x:v>0</x:v>
      </x:c>
      <x:c r="V487" s="78" t="n">
        <x:f>N487+U487</x:f>
        <x:v>9906.694863862103</x:v>
      </x:c>
      <x:c r="W487" s="74" t="n">
        <x:f>IFERROR(V487/MAX($V$16:V487)-1,0)</x:f>
        <x:v>-0.019705225337186105</x:v>
      </x:c>
      <x:c r="X487" t="str">
        <x:f>IF(O487&gt;0,"TRADE","NO_TRADE")</x:f>
        <x:v>NO_TRADE</x:v>
      </x:c>
    </x:row>
    <x:row r="488">
      <x:c r="A488" s="66" t="n">
        <x:v>46167.52731481481</x:v>
      </x:c>
      <x:c r="B488" s="66" t="str">
        <x:v>MKT_1007</x:v>
      </x:c>
      <x:c r="C488" s="66" t="n">
        <x:v>46167.52777777778</x:v>
      </x:c>
      <x:c r="D488" t="n">
        <x:v>40</x:v>
      </x:c>
      <x:c r="E488" t="str">
        <x:v>YES</x:v>
      </x:c>
      <x:c r="F488" s="74" t="n">
        <x:v>0.74</x:v>
      </x:c>
      <x:c r="G488" s="74" t="n">
        <x:v>0.74</x:v>
      </x:c>
      <x:c r="H488" s="74" t="n">
        <x:v>0.735</x:v>
      </x:c>
      <x:c r="I488" s="74" t="n">
        <x:f>IF(E488="YES",H488,1-H488)</x:f>
        <x:v>0.735</x:v>
      </x:c>
      <x:c r="J488" s="76" t="n">
        <x:f>Assumptions!$C$12+Assumptions!$C$11*F488</x:f>
        <x:v>0.003</x:v>
      </x:c>
      <x:c r="K488" s="76" t="n">
        <x:f>I488-F488-J488</x:f>
        <x:v>-0.008000000000000004</x:v>
      </x:c>
      <x:c r="L488" s="74" t="n">
        <x:f>MAX(0,IFERROR(K488/(1-F488),0))</x:f>
        <x:v>0</x:v>
      </x:c>
      <x:c r="M488" s="74" t="n">
        <x:f>MIN(Assumptions!$C$8*L488,Assumptions!$C$5)</x:f>
        <x:v>0</x:v>
      </x:c>
      <x:c r="N488" s="78" t="n">
        <x:f>IF(ROW()=16,Assumptions!$C$4,V487)</x:f>
        <x:v>9906.694863862103</x:v>
      </x:c>
      <x:c r="O488" s="78" t="n">
        <x:f>IF(AND(K488&gt;IF(F488&gt;=Assumptions!$C$21,Assumptions!$C$10,Assumptions!$C$9),D488&gt;Assumptions!$C$23),N488*M488,0)</x:f>
        <x:v>0</x:v>
      </x:c>
      <x:c r="P488" s="78" t="n">
        <x:f>IFERROR(O488/F488,0)</x:f>
        <x:v>0</x:v>
      </x:c>
      <x:c r="Q488" s="78" t="n">
        <x:v>0</x:v>
      </x:c>
      <x:c r="R488" s="78" t="str">
        <x:v>Resolve</x:v>
      </x:c>
      <x:c r="S488" s="78" t="n">
        <x:f>IF(R488="Resolve",IF(IF(E488="YES",Q488,1-Q488)=1,P488*(1-F488),-O488),P488*(G488-F488))</x:f>
        <x:v>0</x:v>
      </x:c>
      <x:c r="T488" s="78" t="n">
        <x:f>P488*J488</x:f>
        <x:v>0</x:v>
      </x:c>
      <x:c r="U488" s="78" t="n">
        <x:f>S488-T488</x:f>
        <x:v>0</x:v>
      </x:c>
      <x:c r="V488" s="78" t="n">
        <x:f>N488+U488</x:f>
        <x:v>9906.694863862103</x:v>
      </x:c>
      <x:c r="W488" s="74" t="n">
        <x:f>IFERROR(V488/MAX($V$16:V488)-1,0)</x:f>
        <x:v>-0.019705225337186105</x:v>
      </x:c>
      <x:c r="X488" t="str">
        <x:f>IF(O488&gt;0,"TRADE","NO_TRADE")</x:f>
        <x:v>NO_TRADE</x:v>
      </x:c>
    </x:row>
    <x:row r="489">
      <x:c r="A489" s="66" t="n">
        <x:v>46167.52737268519</x:v>
      </x:c>
      <x:c r="B489" s="66" t="str">
        <x:v>MKT_1007</x:v>
      </x:c>
      <x:c r="C489" s="66" t="n">
        <x:v>46167.52777777778</x:v>
      </x:c>
      <x:c r="D489" t="n">
        <x:v>35</x:v>
      </x:c>
      <x:c r="E489" t="str">
        <x:v>YES</x:v>
      </x:c>
      <x:c r="F489" s="74" t="n">
        <x:v>0.88</x:v>
      </x:c>
      <x:c r="G489" s="74" t="n">
        <x:v>0.88</x:v>
      </x:c>
      <x:c r="H489" s="74" t="n">
        <x:v>0.91</x:v>
      </x:c>
      <x:c r="I489" s="74" t="n">
        <x:f>IF(E489="YES",H489,1-H489)</x:f>
        <x:v>0.91</x:v>
      </x:c>
      <x:c r="J489" s="76" t="n">
        <x:f>Assumptions!$C$12+Assumptions!$C$11*F489</x:f>
        <x:v>0.003</x:v>
      </x:c>
      <x:c r="K489" s="76" t="n">
        <x:f>I489-F489-J489</x:f>
        <x:v>0.027000000000000027</x:v>
      </x:c>
      <x:c r="L489" s="74" t="n">
        <x:f>MAX(0,IFERROR(K489/(1-F489),0))</x:f>
        <x:v>0.22500000000000023</x:v>
      </x:c>
      <x:c r="M489" s="74" t="n">
        <x:f>MIN(Assumptions!$C$8*L489,Assumptions!$C$5)</x:f>
        <x:v>0.005</x:v>
      </x:c>
      <x:c r="N489" s="78" t="n">
        <x:f>IF(ROW()=16,Assumptions!$C$4,V488)</x:f>
        <x:v>9906.694863862103</x:v>
      </x:c>
      <x:c r="O489" s="78" t="n">
        <x:f>IF(AND(K489&gt;IF(F489&gt;=Assumptions!$C$21,Assumptions!$C$10,Assumptions!$C$9),D489&gt;Assumptions!$C$23),N489*M489,0)</x:f>
        <x:v>49.53347431931052</x:v>
      </x:c>
      <x:c r="P489" s="78" t="n">
        <x:f>IFERROR(O489/F489,0)</x:f>
        <x:v>56.288038999216504</x:v>
      </x:c>
      <x:c r="Q489" s="78" t="n">
        <x:v>1</x:v>
      </x:c>
      <x:c r="R489" s="78" t="str">
        <x:v>Resolve</x:v>
      </x:c>
      <x:c r="S489" s="78" t="n">
        <x:f>IF(R489="Resolve",IF(IF(E489="YES",Q489,1-Q489)=1,P489*(1-F489),-O489),P489*(G489-F489))</x:f>
        <x:v>6.75456467990598</x:v>
      </x:c>
      <x:c r="T489" s="78" t="n">
        <x:f>P489*J489</x:f>
        <x:v>0.16886411699764953</x:v>
      </x:c>
      <x:c r="U489" s="78" t="n">
        <x:f>S489-T489</x:f>
        <x:v>6.58570056290833</x:v>
      </x:c>
      <x:c r="V489" s="78" t="n">
        <x:f>N489+U489</x:f>
        <x:v>9913.280564425011</x:v>
      </x:c>
      <x:c r="W489" s="74" t="n">
        <x:f>IFERROR(V489/MAX($V$16:V489)-1,0)</x:f>
        <x:v>-0.01905355210630233</x:v>
      </x:c>
      <x:c r="X489" t="str">
        <x:f>IF(O489&gt;0,"TRADE","NO_TRADE")</x:f>
        <x:v>TRADE</x:v>
      </x:c>
    </x:row>
    <x:row r="490">
      <x:c r="A490" s="66" t="n">
        <x:v>46167.52743055556</x:v>
      </x:c>
      <x:c r="B490" s="66" t="str">
        <x:v>MKT_1007</x:v>
      </x:c>
      <x:c r="C490" s="66" t="n">
        <x:v>46167.52777777778</x:v>
      </x:c>
      <x:c r="D490" t="n">
        <x:v>30</x:v>
      </x:c>
      <x:c r="E490" t="str">
        <x:v>NO</x:v>
      </x:c>
      <x:c r="F490" s="74" t="n">
        <x:v>0.94</x:v>
      </x:c>
      <x:c r="G490" s="74" t="n">
        <x:v>0.94</x:v>
      </x:c>
      <x:c r="H490" s="74" t="n">
        <x:v>0.98</x:v>
      </x:c>
      <x:c r="I490" s="74" t="n">
        <x:f>IF(E490="YES",H490,1-H490)</x:f>
        <x:v>0.020000000000000018</x:v>
      </x:c>
      <x:c r="J490" s="76" t="n">
        <x:f>Assumptions!$C$12+Assumptions!$C$11*F490</x:f>
        <x:v>0.003</x:v>
      </x:c>
      <x:c r="K490" s="76" t="n">
        <x:f>I490-F490-J490</x:f>
        <x:v>-0.9229999999999999</x:v>
      </x:c>
      <x:c r="L490" s="74" t="n">
        <x:f>MAX(0,IFERROR(K490/(1-F490),0))</x:f>
        <x:v>0</x:v>
      </x:c>
      <x:c r="M490" s="74" t="n">
        <x:f>MIN(Assumptions!$C$8*L490,Assumptions!$C$5)</x:f>
        <x:v>0</x:v>
      </x:c>
      <x:c r="N490" s="78" t="n">
        <x:f>IF(ROW()=16,Assumptions!$C$4,V489)</x:f>
        <x:v>9913.280564425011</x:v>
      </x:c>
      <x:c r="O490" s="78" t="n">
        <x:f>IF(AND(K490&gt;IF(F490&gt;=Assumptions!$C$21,Assumptions!$C$10,Assumptions!$C$9),D490&gt;Assumptions!$C$23),N490*M490,0)</x:f>
        <x:v>0</x:v>
      </x:c>
      <x:c r="P490" s="78" t="n">
        <x:f>IFERROR(O490/F490,0)</x:f>
        <x:v>0</x:v>
      </x:c>
      <x:c r="Q490" s="78" t="n">
        <x:v>1</x:v>
      </x:c>
      <x:c r="R490" s="78" t="str">
        <x:v>Resolve</x:v>
      </x:c>
      <x:c r="S490" s="78" t="n">
        <x:f>IF(R490="Resolve",IF(IF(E490="YES",Q490,1-Q490)=1,P490*(1-F490),-O490),P490*(G490-F490))</x:f>
        <x:v>0</x:v>
      </x:c>
      <x:c r="T490" s="78" t="n">
        <x:f>P490*J490</x:f>
        <x:v>0</x:v>
      </x:c>
      <x:c r="U490" s="78" t="n">
        <x:f>S490-T490</x:f>
        <x:v>0</x:v>
      </x:c>
      <x:c r="V490" s="78" t="n">
        <x:f>N490+U490</x:f>
        <x:v>9913.280564425011</x:v>
      </x:c>
      <x:c r="W490" s="74" t="n">
        <x:f>IFERROR(V490/MAX($V$16:V490)-1,0)</x:f>
        <x:v>-0.01905355210630233</x:v>
      </x:c>
      <x:c r="X490" t="str">
        <x:f>IF(O490&gt;0,"TRADE","NO_TRADE")</x:f>
        <x:v>NO_TRADE</x:v>
      </x:c>
    </x:row>
    <x:row r="491">
      <x:c r="A491" s="66" t="n">
        <x:v>46167.52748842593</x:v>
      </x:c>
      <x:c r="B491" s="66" t="str">
        <x:v>MKT_1007</x:v>
      </x:c>
      <x:c r="C491" s="66" t="n">
        <x:v>46167.52777777778</x:v>
      </x:c>
      <x:c r="D491" t="n">
        <x:v>25</x:v>
      </x:c>
      <x:c r="E491" t="str">
        <x:v>YES</x:v>
      </x:c>
      <x:c r="F491" s="74" t="n">
        <x:v>0.95</x:v>
      </x:c>
      <x:c r="G491" s="74" t="n">
        <x:v>0.95</x:v>
      </x:c>
      <x:c r="H491" s="74" t="n">
        <x:v>0.968</x:v>
      </x:c>
      <x:c r="I491" s="74" t="n">
        <x:f>IF(E491="YES",H491,1-H491)</x:f>
        <x:v>0.968</x:v>
      </x:c>
      <x:c r="J491" s="76" t="n">
        <x:f>Assumptions!$C$12+Assumptions!$C$11*F491</x:f>
        <x:v>0.003</x:v>
      </x:c>
      <x:c r="K491" s="76" t="n">
        <x:f>I491-F491-J491</x:f>
        <x:v>0.015000000000000017</x:v>
      </x:c>
      <x:c r="L491" s="74" t="n">
        <x:f>MAX(0,IFERROR(K491/(1-F491),0))</x:f>
        <x:v>0.30000000000000004</x:v>
      </x:c>
      <x:c r="M491" s="74" t="n">
        <x:f>MIN(Assumptions!$C$8*L491,Assumptions!$C$5)</x:f>
        <x:v>0.005</x:v>
      </x:c>
      <x:c r="N491" s="78" t="n">
        <x:f>IF(ROW()=16,Assumptions!$C$4,V490)</x:f>
        <x:v>9913.280564425011</x:v>
      </x:c>
      <x:c r="O491" s="78" t="n">
        <x:f>IF(AND(K491&gt;IF(F491&gt;=Assumptions!$C$21,Assumptions!$C$10,Assumptions!$C$9),D491&gt;Assumptions!$C$23),N491*M491,0)</x:f>
        <x:v>49.566402822125056</x:v>
      </x:c>
      <x:c r="P491" s="78" t="n">
        <x:f>IFERROR(O491/F491,0)</x:f>
        <x:v>52.1751608653948</x:v>
      </x:c>
      <x:c r="Q491" s="78" t="n">
        <x:v>1</x:v>
      </x:c>
      <x:c r="R491" s="78" t="str">
        <x:v>Resolve</x:v>
      </x:c>
      <x:c r="S491" s="78" t="n">
        <x:f>IF(R491="Resolve",IF(IF(E491="YES",Q491,1-Q491)=1,P491*(1-F491),-O491),P491*(G491-F491))</x:f>
        <x:v>2.6087580432697424</x:v>
      </x:c>
      <x:c r="T491" s="78" t="n">
        <x:f>P491*J491</x:f>
        <x:v>0.1565254825961844</x:v>
      </x:c>
      <x:c r="U491" s="78" t="n">
        <x:f>S491-T491</x:f>
        <x:v>2.4522325606735578</x:v>
      </x:c>
      <x:c r="V491" s="78" t="n">
        <x:f>N491+U491</x:f>
        <x:v>9915.732796985685</x:v>
      </x:c>
      <x:c r="W491" s="74" t="n">
        <x:f>IFERROR(V491/MAX($V$16:V491)-1,0)</x:f>
        <x:v>-0.01881089693234972</x:v>
      </x:c>
      <x:c r="X491" t="str">
        <x:f>IF(O491&gt;0,"TRADE","NO_TRADE")</x:f>
        <x:v>TRADE</x:v>
      </x:c>
    </x:row>
    <x:row r="492">
      <x:c r="A492" s="66" t="n">
        <x:v>46167.527546296296</x:v>
      </x:c>
      <x:c r="B492" s="66" t="str">
        <x:v>MKT_1007</x:v>
      </x:c>
      <x:c r="C492" s="66" t="n">
        <x:v>46167.52777777778</x:v>
      </x:c>
      <x:c r="D492" t="n">
        <x:v>20</x:v>
      </x:c>
      <x:c r="E492" t="str">
        <x:v>YES</x:v>
      </x:c>
      <x:c r="F492" s="74" t="n">
        <x:v>0.57</x:v>
      </x:c>
      <x:c r="G492" s="74" t="n">
        <x:v>0.57</x:v>
      </x:c>
      <x:c r="H492" s="74" t="n">
        <x:v>0.582</x:v>
      </x:c>
      <x:c r="I492" s="74" t="n">
        <x:f>IF(E492="YES",H492,1-H492)</x:f>
        <x:v>0.582</x:v>
      </x:c>
      <x:c r="J492" s="76" t="n">
        <x:f>Assumptions!$C$12+Assumptions!$C$11*F492</x:f>
        <x:v>0.003</x:v>
      </x:c>
      <x:c r="K492" s="76" t="n">
        <x:f>I492-F492-J492</x:f>
        <x:v>0.009000000000000011</x:v>
      </x:c>
      <x:c r="L492" s="74" t="n">
        <x:f>MAX(0,IFERROR(K492/(1-F492),0))</x:f>
        <x:v>0.02093023255813956</x:v>
      </x:c>
      <x:c r="M492" s="74" t="n">
        <x:f>MIN(Assumptions!$C$8*L492,Assumptions!$C$5)</x:f>
        <x:v>0.005</x:v>
      </x:c>
      <x:c r="N492" s="78" t="n">
        <x:f>IF(ROW()=16,Assumptions!$C$4,V491)</x:f>
        <x:v>9915.732796985685</x:v>
      </x:c>
      <x:c r="O492" s="78" t="n">
        <x:f>IF(AND(K492&gt;IF(F492&gt;=Assumptions!$C$21,Assumptions!$C$10,Assumptions!$C$9),D492&gt;Assumptions!$C$23),N492*M492,0)</x:f>
        <x:v>49.578663984928426</x:v>
      </x:c>
      <x:c r="P492" s="78" t="n">
        <x:f>IFERROR(O492/F492,0)</x:f>
        <x:v>86.9801122542604</x:v>
      </x:c>
      <x:c r="Q492" s="78" t="n">
        <x:v>0</x:v>
      </x:c>
      <x:c r="R492" s="78" t="str">
        <x:v>Resolve</x:v>
      </x:c>
      <x:c r="S492" s="78" t="n">
        <x:f>IF(R492="Resolve",IF(IF(E492="YES",Q492,1-Q492)=1,P492*(1-F492),-O492),P492*(G492-F492))</x:f>
        <x:v>-49.578663984928426</x:v>
      </x:c>
      <x:c r="T492" s="78" t="n">
        <x:f>P492*J492</x:f>
        <x:v>0.2609403367627812</x:v>
      </x:c>
      <x:c r="U492" s="78" t="n">
        <x:f>S492-T492</x:f>
        <x:v>-49.839604321691205</x:v>
      </x:c>
      <x:c r="V492" s="78" t="n">
        <x:f>N492+U492</x:f>
        <x:v>9865.893192663994</x:v>
      </x:c>
      <x:c r="W492" s="74" t="n">
        <x:f>IFERROR(V492/MAX($V$16:V492)-1,0)</x:f>
        <x:v>-0.023742663213558113</x:v>
      </x:c>
      <x:c r="X492" t="str">
        <x:f>IF(O492&gt;0,"TRADE","NO_TRADE")</x:f>
        <x:v>TRADE</x:v>
      </x:c>
    </x:row>
    <x:row r="493">
      <x:c r="A493" s="66" t="n">
        <x:v>46167.527604166666</x:v>
      </x:c>
      <x:c r="B493" s="66" t="str">
        <x:v>MKT_1007</x:v>
      </x:c>
      <x:c r="C493" s="66" t="n">
        <x:v>46167.52777777778</x:v>
      </x:c>
      <x:c r="D493" t="n">
        <x:v>15</x:v>
      </x:c>
      <x:c r="E493" t="str">
        <x:v>NO</x:v>
      </x:c>
      <x:c r="F493" s="74" t="n">
        <x:v>0.68</x:v>
      </x:c>
      <x:c r="G493" s="74" t="n">
        <x:v>0.68</x:v>
      </x:c>
      <x:c r="H493" s="74" t="n">
        <x:v>0.7050000000000001</x:v>
      </x:c>
      <x:c r="I493" s="74" t="n">
        <x:f>IF(E493="YES",H493,1-H493)</x:f>
        <x:v>0.29499999999999993</x:v>
      </x:c>
      <x:c r="J493" s="76" t="n">
        <x:f>Assumptions!$C$12+Assumptions!$C$11*F493</x:f>
        <x:v>0.003</x:v>
      </x:c>
      <x:c r="K493" s="76" t="n">
        <x:f>I493-F493-J493</x:f>
        <x:v>-0.3880000000000001</x:v>
      </x:c>
      <x:c r="L493" s="74" t="n">
        <x:f>MAX(0,IFERROR(K493/(1-F493),0))</x:f>
        <x:v>0</x:v>
      </x:c>
      <x:c r="M493" s="74" t="n">
        <x:f>MIN(Assumptions!$C$8*L493,Assumptions!$C$5)</x:f>
        <x:v>0</x:v>
      </x:c>
      <x:c r="N493" s="78" t="n">
        <x:f>IF(ROW()=16,Assumptions!$C$4,V492)</x:f>
        <x:v>9865.893192663994</x:v>
      </x:c>
      <x:c r="O493" s="78" t="n">
        <x:f>IF(AND(K493&gt;IF(F493&gt;=Assumptions!$C$21,Assumptions!$C$10,Assumptions!$C$9),D493&gt;Assumptions!$C$23),N493*M493,0)</x:f>
        <x:v>0</x:v>
      </x:c>
      <x:c r="P493" s="78" t="n">
        <x:f>IFERROR(O493/F493,0)</x:f>
        <x:v>0</x:v>
      </x:c>
      <x:c r="Q493" s="78" t="n">
        <x:v>1</x:v>
      </x:c>
      <x:c r="R493" s="78" t="str">
        <x:v>Resolve</x:v>
      </x:c>
      <x:c r="S493" s="78" t="n">
        <x:f>IF(R493="Resolve",IF(IF(E493="YES",Q493,1-Q493)=1,P493*(1-F493),-O493),P493*(G493-F493))</x:f>
        <x:v>0</x:v>
      </x:c>
      <x:c r="T493" s="78" t="n">
        <x:f>P493*J493</x:f>
        <x:v>0</x:v>
      </x:c>
      <x:c r="U493" s="78" t="n">
        <x:f>S493-T493</x:f>
        <x:v>0</x:v>
      </x:c>
      <x:c r="V493" s="78" t="n">
        <x:f>N493+U493</x:f>
        <x:v>9865.893192663994</x:v>
      </x:c>
      <x:c r="W493" s="74" t="n">
        <x:f>IFERROR(V493/MAX($V$16:V493)-1,0)</x:f>
        <x:v>-0.023742663213558113</x:v>
      </x:c>
      <x:c r="X493" t="str">
        <x:f>IF(O493&gt;0,"TRADE","NO_TRADE")</x:f>
        <x:v>NO_TRADE</x:v>
      </x:c>
    </x:row>
    <x:row r="494">
      <x:c r="A494" s="66" t="n">
        <x:v>46167.527662037035</x:v>
      </x:c>
      <x:c r="B494" s="66" t="str">
        <x:v>MKT_1007</x:v>
      </x:c>
      <x:c r="C494" s="66" t="n">
        <x:v>46167.52777777778</x:v>
      </x:c>
      <x:c r="D494" t="n">
        <x:v>10</x:v>
      </x:c>
      <x:c r="E494" t="str">
        <x:v>YES</x:v>
      </x:c>
      <x:c r="F494" s="74" t="n">
        <x:v>0.91</x:v>
      </x:c>
      <x:c r="G494" s="74" t="n">
        <x:v>0.91</x:v>
      </x:c>
      <x:c r="H494" s="74" t="n">
        <x:v>0.9450000000000001</x:v>
      </x:c>
      <x:c r="I494" s="74" t="n">
        <x:f>IF(E494="YES",H494,1-H494)</x:f>
        <x:v>0.9450000000000001</x:v>
      </x:c>
      <x:c r="J494" s="76" t="n">
        <x:f>Assumptions!$C$12+Assumptions!$C$11*F494</x:f>
        <x:v>0.003</x:v>
      </x:c>
      <x:c r="K494" s="76" t="n">
        <x:f>I494-F494-J494</x:f>
        <x:v>0.03200000000000003</x:v>
      </x:c>
      <x:c r="L494" s="74" t="n">
        <x:f>MAX(0,IFERROR(K494/(1-F494),0))</x:f>
        <x:v>0.355555555555556</x:v>
      </x:c>
      <x:c r="M494" s="74" t="n">
        <x:f>MIN(Assumptions!$C$8*L494,Assumptions!$C$5)</x:f>
        <x:v>0.005</x:v>
      </x:c>
      <x:c r="N494" s="78" t="n">
        <x:f>IF(ROW()=16,Assumptions!$C$4,V493)</x:f>
        <x:v>9865.893192663994</x:v>
      </x:c>
      <x:c r="O494" s="78" t="n">
        <x:f>IF(AND(K494&gt;IF(F494&gt;=Assumptions!$C$21,Assumptions!$C$10,Assumptions!$C$9),D494&gt;Assumptions!$C$23),N494*M494,0)</x:f>
        <x:v>49.329465963319976</x:v>
      </x:c>
      <x:c r="P494" s="78" t="n">
        <x:f>IFERROR(O494/F494,0)</x:f>
        <x:v>54.20820435529667</x:v>
      </x:c>
      <x:c r="Q494" s="78" t="n">
        <x:v>1</x:v>
      </x:c>
      <x:c r="R494" s="78" t="str">
        <x:v>Resolve</x:v>
      </x:c>
      <x:c r="S494" s="78" t="n">
        <x:f>IF(R494="Resolve",IF(IF(E494="YES",Q494,1-Q494)=1,P494*(1-F494),-O494),P494*(G494-F494))</x:f>
        <x:v>4.8787383919766985</x:v>
      </x:c>
      <x:c r="T494" s="78" t="n">
        <x:f>P494*J494</x:f>
        <x:v>0.16262461306589002</x:v>
      </x:c>
      <x:c r="U494" s="78" t="n">
        <x:f>S494-T494</x:f>
        <x:v>4.716113778910809</x:v>
      </x:c>
      <x:c r="V494" s="78" t="n">
        <x:f>N494+U494</x:f>
        <x:v>9870.609306442906</x:v>
      </x:c>
      <x:c r="W494" s="74" t="n">
        <x:f>IFERROR(V494/MAX($V$16:V494)-1,0)</x:f>
        <x:v>-0.023275990750368902</x:v>
      </x:c>
      <x:c r="X494" t="str">
        <x:f>IF(O494&gt;0,"TRADE","NO_TRADE")</x:f>
        <x:v>TRADE</x:v>
      </x:c>
    </x:row>
    <x:row r="495">
      <x:c r="A495" s="66" t="n">
        <x:v>46167.527719907404</x:v>
      </x:c>
      <x:c r="B495" s="66" t="str">
        <x:v>MKT_1007</x:v>
      </x:c>
      <x:c r="C495" s="66" t="n">
        <x:v>46167.52777777778</x:v>
      </x:c>
      <x:c r="D495" t="n">
        <x:v>5</x:v>
      </x:c>
      <x:c r="E495" t="str">
        <x:v>YES</x:v>
      </x:c>
      <x:c r="F495" s="74" t="n">
        <x:v>0.83</x:v>
      </x:c>
      <x:c r="G495" s="74" t="n">
        <x:v>0.83</x:v>
      </x:c>
      <x:c r="H495" s="74" t="n">
        <x:v>0.82</x:v>
      </x:c>
      <x:c r="I495" s="74" t="n">
        <x:f>IF(E495="YES",H495,1-H495)</x:f>
        <x:v>0.82</x:v>
      </x:c>
      <x:c r="J495" s="76" t="n">
        <x:f>Assumptions!$C$12+Assumptions!$C$11*F495</x:f>
        <x:v>0.003</x:v>
      </x:c>
      <x:c r="K495" s="76" t="n">
        <x:f>I495-F495-J495</x:f>
        <x:v>-0.013000000000000008</x:v>
      </x:c>
      <x:c r="L495" s="74" t="n">
        <x:f>MAX(0,IFERROR(K495/(1-F495),0))</x:f>
        <x:v>0</x:v>
      </x:c>
      <x:c r="M495" s="74" t="n">
        <x:f>MIN(Assumptions!$C$8*L495,Assumptions!$C$5)</x:f>
        <x:v>0</x:v>
      </x:c>
      <x:c r="N495" s="78" t="n">
        <x:f>IF(ROW()=16,Assumptions!$C$4,V494)</x:f>
        <x:v>9870.609306442906</x:v>
      </x:c>
      <x:c r="O495" s="78" t="n">
        <x:f>IF(AND(K495&gt;IF(F495&gt;=Assumptions!$C$21,Assumptions!$C$10,Assumptions!$C$9),D495&gt;Assumptions!$C$23),N495*M495,0)</x:f>
        <x:v>0</x:v>
      </x:c>
      <x:c r="P495" s="78" t="n">
        <x:f>IFERROR(O495/F495,0)</x:f>
        <x:v>0</x:v>
      </x:c>
      <x:c r="Q495" s="78" t="n">
        <x:v>0</x:v>
      </x:c>
      <x:c r="R495" s="78" t="str">
        <x:v>Resolve</x:v>
      </x:c>
      <x:c r="S495" s="78" t="n">
        <x:f>IF(R495="Resolve",IF(IF(E495="YES",Q495,1-Q495)=1,P495*(1-F495),-O495),P495*(G495-F495))</x:f>
        <x:v>0</x:v>
      </x:c>
      <x:c r="T495" s="78" t="n">
        <x:f>P495*J495</x:f>
        <x:v>0</x:v>
      </x:c>
      <x:c r="U495" s="78" t="n">
        <x:f>S495-T495</x:f>
        <x:v>0</x:v>
      </x:c>
      <x:c r="V495" s="78" t="n">
        <x:f>N495+U495</x:f>
        <x:v>9870.609306442906</x:v>
      </x:c>
      <x:c r="W495" s="74" t="n">
        <x:f>IFERROR(V495/MAX($V$16:V495)-1,0)</x:f>
        <x:v>-0.023275990750368902</x:v>
      </x:c>
      <x:c r="X495" t="str">
        <x:f>IF(O495&gt;0,"TRADE","NO_TRADE")</x:f>
        <x:v>NO_TRADE</x:v>
      </x:c>
    </x:row>
    <x:row r="496">
      <x:c r="A496" s="66" t="n">
        <x:v>46167.52777777778</x:v>
      </x:c>
      <x:c r="B496" s="66" t="str">
        <x:v>MKT_1008</x:v>
      </x:c>
      <x:c r="C496" s="66" t="n">
        <x:v>46167.53125</x:v>
      </x:c>
      <x:c r="D496" t="n">
        <x:v>300</x:v>
      </x:c>
      <x:c r="E496" t="str">
        <x:v>NO</x:v>
      </x:c>
      <x:c r="F496" s="74" t="n">
        <x:v>0.52</x:v>
      </x:c>
      <x:c r="G496" s="74" t="n">
        <x:v>0.52</x:v>
      </x:c>
      <x:c r="H496" s="74" t="n">
        <x:v>0.535</x:v>
      </x:c>
      <x:c r="I496" s="74" t="n">
        <x:f>IF(E496="YES",H496,1-H496)</x:f>
        <x:v>0.46499999999999997</x:v>
      </x:c>
      <x:c r="J496" s="76" t="n">
        <x:f>Assumptions!$C$12+Assumptions!$C$11*F496</x:f>
        <x:v>0.003</x:v>
      </x:c>
      <x:c r="K496" s="76" t="n">
        <x:f>I496-F496-J496</x:f>
        <x:v>-0.05800000000000005</x:v>
      </x:c>
      <x:c r="L496" s="74" t="n">
        <x:f>MAX(0,IFERROR(K496/(1-F496),0))</x:f>
        <x:v>0</x:v>
      </x:c>
      <x:c r="M496" s="74" t="n">
        <x:f>MIN(Assumptions!$C$8*L496,Assumptions!$C$5)</x:f>
        <x:v>0</x:v>
      </x:c>
      <x:c r="N496" s="78" t="n">
        <x:f>IF(ROW()=16,Assumptions!$C$4,V495)</x:f>
        <x:v>9870.609306442906</x:v>
      </x:c>
      <x:c r="O496" s="78" t="n">
        <x:f>IF(AND(K496&gt;IF(F496&gt;=Assumptions!$C$21,Assumptions!$C$10,Assumptions!$C$9),D496&gt;Assumptions!$C$23),N496*M496,0)</x:f>
        <x:v>0</x:v>
      </x:c>
      <x:c r="P496" s="78" t="n">
        <x:f>IFERROR(O496/F496,0)</x:f>
        <x:v>0</x:v>
      </x:c>
      <x:c r="Q496" s="78" t="n">
        <x:v>1</x:v>
      </x:c>
      <x:c r="R496" s="78" t="str">
        <x:v>Resolve</x:v>
      </x:c>
      <x:c r="S496" s="78" t="n">
        <x:f>IF(R496="Resolve",IF(IF(E496="YES",Q496,1-Q496)=1,P496*(1-F496),-O496),P496*(G496-F496))</x:f>
        <x:v>0</x:v>
      </x:c>
      <x:c r="T496" s="78" t="n">
        <x:f>P496*J496</x:f>
        <x:v>0</x:v>
      </x:c>
      <x:c r="U496" s="78" t="n">
        <x:f>S496-T496</x:f>
        <x:v>0</x:v>
      </x:c>
      <x:c r="V496" s="78" t="n">
        <x:f>N496+U496</x:f>
        <x:v>9870.609306442906</x:v>
      </x:c>
      <x:c r="W496" s="74" t="n">
        <x:f>IFERROR(V496/MAX($V$16:V496)-1,0)</x:f>
        <x:v>-0.023275990750368902</x:v>
      </x:c>
      <x:c r="X496" t="str">
        <x:f>IF(O496&gt;0,"TRADE","NO_TRADE")</x:f>
        <x:v>NO_TRADE</x:v>
      </x:c>
    </x:row>
    <x:row r="497">
      <x:c r="A497" s="66" t="n">
        <x:v>46167.52783564815</x:v>
      </x:c>
      <x:c r="B497" s="66" t="str">
        <x:v>MKT_1008</x:v>
      </x:c>
      <x:c r="C497" s="66" t="n">
        <x:v>46167.53125</x:v>
      </x:c>
      <x:c r="D497" t="n">
        <x:v>295</x:v>
      </x:c>
      <x:c r="E497" t="str">
        <x:v>YES</x:v>
      </x:c>
      <x:c r="F497" s="74" t="n">
        <x:v>0.61</x:v>
      </x:c>
      <x:c r="G497" s="74" t="n">
        <x:v>0.61</x:v>
      </x:c>
      <x:c r="H497" s="74" t="n">
        <x:v>0.63</x:v>
      </x:c>
      <x:c r="I497" s="74" t="n">
        <x:f>IF(E497="YES",H497,1-H497)</x:f>
        <x:v>0.63</x:v>
      </x:c>
      <x:c r="J497" s="76" t="n">
        <x:f>Assumptions!$C$12+Assumptions!$C$11*F497</x:f>
        <x:v>0.003</x:v>
      </x:c>
      <x:c r="K497" s="76" t="n">
        <x:f>I497-F497-J497</x:f>
        <x:v>0.01700000000000002</x:v>
      </x:c>
      <x:c r="L497" s="74" t="n">
        <x:f>MAX(0,IFERROR(K497/(1-F497),0))</x:f>
        <x:v>0.043589743589743636</x:v>
      </x:c>
      <x:c r="M497" s="74" t="n">
        <x:f>MIN(Assumptions!$C$8*L497,Assumptions!$C$5)</x:f>
        <x:v>0.005</x:v>
      </x:c>
      <x:c r="N497" s="78" t="n">
        <x:f>IF(ROW()=16,Assumptions!$C$4,V496)</x:f>
        <x:v>9870.609306442906</x:v>
      </x:c>
      <x:c r="O497" s="78" t="n">
        <x:f>IF(AND(K497&gt;IF(F497&gt;=Assumptions!$C$21,Assumptions!$C$10,Assumptions!$C$9),D497&gt;Assumptions!$C$23),N497*M497,0)</x:f>
        <x:v>49.353046532214535</x:v>
      </x:c>
      <x:c r="P497" s="78" t="n">
        <x:f>IFERROR(O497/F497,0)</x:f>
        <x:v>80.9066336593681</x:v>
      </x:c>
      <x:c r="Q497" s="78" t="n">
        <x:v>1</x:v>
      </x:c>
      <x:c r="R497" s="78" t="str">
        <x:v>Resolve</x:v>
      </x:c>
      <x:c r="S497" s="78" t="n">
        <x:f>IF(R497="Resolve",IF(IF(E497="YES",Q497,1-Q497)=1,P497*(1-F497),-O497),P497*(G497-F497))</x:f>
        <x:v>31.55358712715356</x:v>
      </x:c>
      <x:c r="T497" s="78" t="n">
        <x:f>P497*J497</x:f>
        <x:v>0.2427199009781043</x:v>
      </x:c>
      <x:c r="U497" s="78" t="n">
        <x:f>S497-T497</x:f>
        <x:v>31.310867226175453</x:v>
      </x:c>
      <x:c r="V497" s="78" t="n">
        <x:f>N497+U497</x:f>
        <x:v>9901.920173669081</x:v>
      </x:c>
      <x:c r="W497" s="74" t="n">
        <x:f>IFERROR(V497/MAX($V$16:V497)-1,0)</x:f>
        <x:v>-0.020177694098077015</x:v>
      </x:c>
      <x:c r="X497" t="str">
        <x:f>IF(O497&gt;0,"TRADE","NO_TRADE")</x:f>
        <x:v>TRADE</x:v>
      </x:c>
    </x:row>
    <x:row r="498">
      <x:c r="A498" s="66" t="n">
        <x:v>46167.52789351852</x:v>
      </x:c>
      <x:c r="B498" s="66" t="str">
        <x:v>MKT_1008</x:v>
      </x:c>
      <x:c r="C498" s="66" t="n">
        <x:v>46167.53125</x:v>
      </x:c>
      <x:c r="D498" t="n">
        <x:v>290</x:v>
      </x:c>
      <x:c r="E498" t="str">
        <x:v>YES</x:v>
      </x:c>
      <x:c r="F498" s="74" t="n">
        <x:v>0.74</x:v>
      </x:c>
      <x:c r="G498" s="74" t="n">
        <x:v>0.74</x:v>
      </x:c>
      <x:c r="H498" s="74" t="n">
        <x:v>0.735</x:v>
      </x:c>
      <x:c r="I498" s="74" t="n">
        <x:f>IF(E498="YES",H498,1-H498)</x:f>
        <x:v>0.735</x:v>
      </x:c>
      <x:c r="J498" s="76" t="n">
        <x:f>Assumptions!$C$12+Assumptions!$C$11*F498</x:f>
        <x:v>0.003</x:v>
      </x:c>
      <x:c r="K498" s="76" t="n">
        <x:f>I498-F498-J498</x:f>
        <x:v>-0.008000000000000004</x:v>
      </x:c>
      <x:c r="L498" s="74" t="n">
        <x:f>MAX(0,IFERROR(K498/(1-F498),0))</x:f>
        <x:v>0</x:v>
      </x:c>
      <x:c r="M498" s="74" t="n">
        <x:f>MIN(Assumptions!$C$8*L498,Assumptions!$C$5)</x:f>
        <x:v>0</x:v>
      </x:c>
      <x:c r="N498" s="78" t="n">
        <x:f>IF(ROW()=16,Assumptions!$C$4,V497)</x:f>
        <x:v>9901.920173669081</x:v>
      </x:c>
      <x:c r="O498" s="78" t="n">
        <x:f>IF(AND(K498&gt;IF(F498&gt;=Assumptions!$C$21,Assumptions!$C$10,Assumptions!$C$9),D498&gt;Assumptions!$C$23),N498*M498,0)</x:f>
        <x:v>0</x:v>
      </x:c>
      <x:c r="P498" s="78" t="n">
        <x:f>IFERROR(O498/F498,0)</x:f>
        <x:v>0</x:v>
      </x:c>
      <x:c r="Q498" s="78" t="n">
        <x:v>1</x:v>
      </x:c>
      <x:c r="R498" s="78" t="str">
        <x:v>Resolve</x:v>
      </x:c>
      <x:c r="S498" s="78" t="n">
        <x:f>IF(R498="Resolve",IF(IF(E498="YES",Q498,1-Q498)=1,P498*(1-F498),-O498),P498*(G498-F498))</x:f>
        <x:v>0</x:v>
      </x:c>
      <x:c r="T498" s="78" t="n">
        <x:f>P498*J498</x:f>
        <x:v>0</x:v>
      </x:c>
      <x:c r="U498" s="78" t="n">
        <x:f>S498-T498</x:f>
        <x:v>0</x:v>
      </x:c>
      <x:c r="V498" s="78" t="n">
        <x:f>N498+U498</x:f>
        <x:v>9901.920173669081</x:v>
      </x:c>
      <x:c r="W498" s="74" t="n">
        <x:f>IFERROR(V498/MAX($V$16:V498)-1,0)</x:f>
        <x:v>-0.020177694098077015</x:v>
      </x:c>
      <x:c r="X498" t="str">
        <x:f>IF(O498&gt;0,"TRADE","NO_TRADE")</x:f>
        <x:v>NO_TRADE</x:v>
      </x:c>
    </x:row>
    <x:row r="499">
      <x:c r="A499" s="66" t="n">
        <x:v>46167.52795138889</x:v>
      </x:c>
      <x:c r="B499" s="66" t="str">
        <x:v>MKT_1008</x:v>
      </x:c>
      <x:c r="C499" s="66" t="n">
        <x:v>46167.53125</x:v>
      </x:c>
      <x:c r="D499" t="n">
        <x:v>285</x:v>
      </x:c>
      <x:c r="E499" t="str">
        <x:v>NO</x:v>
      </x:c>
      <x:c r="F499" s="74" t="n">
        <x:v>0.88</x:v>
      </x:c>
      <x:c r="G499" s="74" t="n">
        <x:v>0.88</x:v>
      </x:c>
      <x:c r="H499" s="74" t="n">
        <x:v>0.91</x:v>
      </x:c>
      <x:c r="I499" s="74" t="n">
        <x:f>IF(E499="YES",H499,1-H499)</x:f>
        <x:v>0.08999999999999997</x:v>
      </x:c>
      <x:c r="J499" s="76" t="n">
        <x:f>Assumptions!$C$12+Assumptions!$C$11*F499</x:f>
        <x:v>0.003</x:v>
      </x:c>
      <x:c r="K499" s="76" t="n">
        <x:f>I499-F499-J499</x:f>
        <x:v>-0.793</x:v>
      </x:c>
      <x:c r="L499" s="74" t="n">
        <x:f>MAX(0,IFERROR(K499/(1-F499),0))</x:f>
        <x:v>0</x:v>
      </x:c>
      <x:c r="M499" s="74" t="n">
        <x:f>MIN(Assumptions!$C$8*L499,Assumptions!$C$5)</x:f>
        <x:v>0</x:v>
      </x:c>
      <x:c r="N499" s="78" t="n">
        <x:f>IF(ROW()=16,Assumptions!$C$4,V498)</x:f>
        <x:v>9901.920173669081</x:v>
      </x:c>
      <x:c r="O499" s="78" t="n">
        <x:f>IF(AND(K499&gt;IF(F499&gt;=Assumptions!$C$21,Assumptions!$C$10,Assumptions!$C$9),D499&gt;Assumptions!$C$23),N499*M499,0)</x:f>
        <x:v>0</x:v>
      </x:c>
      <x:c r="P499" s="78" t="n">
        <x:f>IFERROR(O499/F499,0)</x:f>
        <x:v>0</x:v>
      </x:c>
      <x:c r="Q499" s="78" t="n">
        <x:v>0</x:v>
      </x:c>
      <x:c r="R499" s="78" t="str">
        <x:v>Resolve</x:v>
      </x:c>
      <x:c r="S499" s="78" t="n">
        <x:f>IF(R499="Resolve",IF(IF(E499="YES",Q499,1-Q499)=1,P499*(1-F499),-O499),P499*(G499-F499))</x:f>
        <x:v>0</x:v>
      </x:c>
      <x:c r="T499" s="78" t="n">
        <x:f>P499*J499</x:f>
        <x:v>0</x:v>
      </x:c>
      <x:c r="U499" s="78" t="n">
        <x:f>S499-T499</x:f>
        <x:v>0</x:v>
      </x:c>
      <x:c r="V499" s="78" t="n">
        <x:f>N499+U499</x:f>
        <x:v>9901.920173669081</x:v>
      </x:c>
      <x:c r="W499" s="74" t="n">
        <x:f>IFERROR(V499/MAX($V$16:V499)-1,0)</x:f>
        <x:v>-0.020177694098077015</x:v>
      </x:c>
      <x:c r="X499" t="str">
        <x:f>IF(O499&gt;0,"TRADE","NO_TRADE")</x:f>
        <x:v>NO_TRADE</x:v>
      </x:c>
    </x:row>
    <x:row r="500">
      <x:c r="A500" s="66" t="n">
        <x:v>46167.52800925926</x:v>
      </x:c>
      <x:c r="B500" s="66" t="str">
        <x:v>MKT_1008</x:v>
      </x:c>
      <x:c r="C500" s="66" t="n">
        <x:v>46167.53125</x:v>
      </x:c>
      <x:c r="D500" t="n">
        <x:v>280</x:v>
      </x:c>
      <x:c r="E500" t="str">
        <x:v>YES</x:v>
      </x:c>
      <x:c r="F500" s="74" t="n">
        <x:v>0.94</x:v>
      </x:c>
      <x:c r="G500" s="74" t="n">
        <x:v>0.94</x:v>
      </x:c>
      <x:c r="H500" s="74" t="n">
        <x:v>0.98</x:v>
      </x:c>
      <x:c r="I500" s="74" t="n">
        <x:f>IF(E500="YES",H500,1-H500)</x:f>
        <x:v>0.98</x:v>
      </x:c>
      <x:c r="J500" s="76" t="n">
        <x:f>Assumptions!$C$12+Assumptions!$C$11*F500</x:f>
        <x:v>0.003</x:v>
      </x:c>
      <x:c r="K500" s="76" t="n">
        <x:f>I500-F500-J500</x:f>
        <x:v>0.03700000000000003</x:v>
      </x:c>
      <x:c r="L500" s="74" t="n">
        <x:f>MAX(0,IFERROR(K500/(1-F500),0))</x:f>
        <x:v>0.6166666666666667</x:v>
      </x:c>
      <x:c r="M500" s="74" t="n">
        <x:f>MIN(Assumptions!$C$8*L500,Assumptions!$C$5)</x:f>
        <x:v>0.005</x:v>
      </x:c>
      <x:c r="N500" s="78" t="n">
        <x:f>IF(ROW()=16,Assumptions!$C$4,V499)</x:f>
        <x:v>9901.920173669081</x:v>
      </x:c>
      <x:c r="O500" s="78" t="n">
        <x:f>IF(AND(K500&gt;IF(F500&gt;=Assumptions!$C$21,Assumptions!$C$10,Assumptions!$C$9),D500&gt;Assumptions!$C$23),N500*M500,0)</x:f>
        <x:v>49.50960086834541</x:v>
      </x:c>
      <x:c r="P500" s="78" t="n">
        <x:f>IFERROR(O500/F500,0)</x:f>
        <x:v>52.66978815781427</x:v>
      </x:c>
      <x:c r="Q500" s="78" t="n">
        <x:v>1</x:v>
      </x:c>
      <x:c r="R500" s="78" t="str">
        <x:v>Resolve</x:v>
      </x:c>
      <x:c r="S500" s="78" t="n">
        <x:f>IF(R500="Resolve",IF(IF(E500="YES",Q500,1-Q500)=1,P500*(1-F500),-O500),P500*(G500-F500))</x:f>
        <x:v>3.1601872894688587</x:v>
      </x:c>
      <x:c r="T500" s="78" t="n">
        <x:f>P500*J500</x:f>
        <x:v>0.1580093644734428</x:v>
      </x:c>
      <x:c r="U500" s="78" t="n">
        <x:f>S500-T500</x:f>
        <x:v>3.002177924995416</x:v>
      </x:c>
      <x:c r="V500" s="78" t="n">
        <x:f>N500+U500</x:f>
        <x:v>9904.922351594076</x:v>
      </x:c>
      <x:c r="W500" s="74" t="n">
        <x:f>IFERROR(V500/MAX($V$16:V500)-1,0)</x:f>
        <x:v>-0.01988062031384097</x:v>
      </x:c>
      <x:c r="X500" t="str">
        <x:f>IF(O500&gt;0,"TRADE","NO_TRADE")</x:f>
        <x:v>TRADE</x:v>
      </x:c>
    </x:row>
    <x:row r="501">
      <x:c r="A501" s="66" t="n">
        <x:v>46167.52806712963</x:v>
      </x:c>
      <x:c r="B501" s="66" t="str">
        <x:v>MKT_1008</x:v>
      </x:c>
      <x:c r="C501" s="66" t="n">
        <x:v>46167.53125</x:v>
      </x:c>
      <x:c r="D501" t="n">
        <x:v>275</x:v>
      </x:c>
      <x:c r="E501" t="str">
        <x:v>YES</x:v>
      </x:c>
      <x:c r="F501" s="74" t="n">
        <x:v>0.95</x:v>
      </x:c>
      <x:c r="G501" s="74" t="n">
        <x:v>0.95</x:v>
      </x:c>
      <x:c r="H501" s="74" t="n">
        <x:v>0.968</x:v>
      </x:c>
      <x:c r="I501" s="74" t="n">
        <x:f>IF(E501="YES",H501,1-H501)</x:f>
        <x:v>0.968</x:v>
      </x:c>
      <x:c r="J501" s="76" t="n">
        <x:f>Assumptions!$C$12+Assumptions!$C$11*F501</x:f>
        <x:v>0.003</x:v>
      </x:c>
      <x:c r="K501" s="76" t="n">
        <x:f>I501-F501-J501</x:f>
        <x:v>0.015000000000000017</x:v>
      </x:c>
      <x:c r="L501" s="74" t="n">
        <x:f>MAX(0,IFERROR(K501/(1-F501),0))</x:f>
        <x:v>0.30000000000000004</x:v>
      </x:c>
      <x:c r="M501" s="74" t="n">
        <x:f>MIN(Assumptions!$C$8*L501,Assumptions!$C$5)</x:f>
        <x:v>0.005</x:v>
      </x:c>
      <x:c r="N501" s="78" t="n">
        <x:f>IF(ROW()=16,Assumptions!$C$4,V500)</x:f>
        <x:v>9904.922351594076</x:v>
      </x:c>
      <x:c r="O501" s="78" t="n">
        <x:f>IF(AND(K501&gt;IF(F501&gt;=Assumptions!$C$21,Assumptions!$C$10,Assumptions!$C$9),D501&gt;Assumptions!$C$23),N501*M501,0)</x:f>
        <x:v>49.524611757970376</x:v>
      </x:c>
      <x:c r="P501" s="78" t="n">
        <x:f>IFERROR(O501/F501,0)</x:f>
        <x:v>52.13117027154777</x:v>
      </x:c>
      <x:c r="Q501" s="78" t="n">
        <x:v>1</x:v>
      </x:c>
      <x:c r="R501" s="78" t="str">
        <x:v>Resolve</x:v>
      </x:c>
      <x:c r="S501" s="78" t="n">
        <x:f>IF(R501="Resolve",IF(IF(E501="YES",Q501,1-Q501)=1,P501*(1-F501),-O501),P501*(G501-F501))</x:f>
        <x:v>2.6065585135773905</x:v>
      </x:c>
      <x:c r="T501" s="78" t="n">
        <x:f>P501*J501</x:f>
        <x:v>0.1563935108146433</x:v>
      </x:c>
      <x:c r="U501" s="78" t="n">
        <x:f>S501-T501</x:f>
        <x:v>2.450165002762747</x:v>
      </x:c>
      <x:c r="V501" s="78" t="n">
        <x:f>N501+U501</x:f>
        <x:v>9907.372516596839</x:v>
      </x:c>
      <x:c r="W501" s="74" t="n">
        <x:f>IFERROR(V501/MAX($V$16:V501)-1,0)</x:f>
        <x:v>-0.019638169730444854</x:v>
      </x:c>
      <x:c r="X501" t="str">
        <x:f>IF(O501&gt;0,"TRADE","NO_TRADE")</x:f>
        <x:v>TRADE</x:v>
      </x:c>
    </x:row>
    <x:row r="502">
      <x:c r="A502" s="66" t="n">
        <x:v>46167.528125</x:v>
      </x:c>
      <x:c r="B502" s="66" t="str">
        <x:v>MKT_1008</x:v>
      </x:c>
      <x:c r="C502" s="66" t="n">
        <x:v>46167.53125</x:v>
      </x:c>
      <x:c r="D502" t="n">
        <x:v>270</x:v>
      </x:c>
      <x:c r="E502" t="str">
        <x:v>NO</x:v>
      </x:c>
      <x:c r="F502" s="74" t="n">
        <x:v>0.57</x:v>
      </x:c>
      <x:c r="G502" s="74" t="n">
        <x:v>0.57</x:v>
      </x:c>
      <x:c r="H502" s="74" t="n">
        <x:v>0.582</x:v>
      </x:c>
      <x:c r="I502" s="74" t="n">
        <x:f>IF(E502="YES",H502,1-H502)</x:f>
        <x:v>0.41800000000000004</x:v>
      </x:c>
      <x:c r="J502" s="76" t="n">
        <x:f>Assumptions!$C$12+Assumptions!$C$11*F502</x:f>
        <x:v>0.003</x:v>
      </x:c>
      <x:c r="K502" s="76" t="n">
        <x:f>I502-F502-J502</x:f>
        <x:v>-0.15499999999999992</x:v>
      </x:c>
      <x:c r="L502" s="74" t="n">
        <x:f>MAX(0,IFERROR(K502/(1-F502),0))</x:f>
        <x:v>0</x:v>
      </x:c>
      <x:c r="M502" s="74" t="n">
        <x:f>MIN(Assumptions!$C$8*L502,Assumptions!$C$5)</x:f>
        <x:v>0</x:v>
      </x:c>
      <x:c r="N502" s="78" t="n">
        <x:f>IF(ROW()=16,Assumptions!$C$4,V501)</x:f>
        <x:v>9907.372516596839</x:v>
      </x:c>
      <x:c r="O502" s="78" t="n">
        <x:f>IF(AND(K502&gt;IF(F502&gt;=Assumptions!$C$21,Assumptions!$C$10,Assumptions!$C$9),D502&gt;Assumptions!$C$23),N502*M502,0)</x:f>
        <x:v>0</x:v>
      </x:c>
      <x:c r="P502" s="78" t="n">
        <x:f>IFERROR(O502/F502,0)</x:f>
        <x:v>0</x:v>
      </x:c>
      <x:c r="Q502" s="78" t="n">
        <x:v>0</x:v>
      </x:c>
      <x:c r="R502" s="78" t="str">
        <x:v>Resolve</x:v>
      </x:c>
      <x:c r="S502" s="78" t="n">
        <x:f>IF(R502="Resolve",IF(IF(E502="YES",Q502,1-Q502)=1,P502*(1-F502),-O502),P502*(G502-F502))</x:f>
        <x:v>0</x:v>
      </x:c>
      <x:c r="T502" s="78" t="n">
        <x:f>P502*J502</x:f>
        <x:v>0</x:v>
      </x:c>
      <x:c r="U502" s="78" t="n">
        <x:f>S502-T502</x:f>
        <x:v>0</x:v>
      </x:c>
      <x:c r="V502" s="78" t="n">
        <x:f>N502+U502</x:f>
        <x:v>9907.372516596839</x:v>
      </x:c>
      <x:c r="W502" s="74" t="n">
        <x:f>IFERROR(V502/MAX($V$16:V502)-1,0)</x:f>
        <x:v>-0.019638169730444854</x:v>
      </x:c>
      <x:c r="X502" t="str">
        <x:f>IF(O502&gt;0,"TRADE","NO_TRADE")</x:f>
        <x:v>NO_TRADE</x:v>
      </x:c>
    </x:row>
    <x:row r="503">
      <x:c r="A503" s="66" t="n">
        <x:v>46167.528182870374</x:v>
      </x:c>
      <x:c r="B503" s="66" t="str">
        <x:v>MKT_1008</x:v>
      </x:c>
      <x:c r="C503" s="66" t="n">
        <x:v>46167.53125</x:v>
      </x:c>
      <x:c r="D503" t="n">
        <x:v>265</x:v>
      </x:c>
      <x:c r="E503" t="str">
        <x:v>YES</x:v>
      </x:c>
      <x:c r="F503" s="74" t="n">
        <x:v>0.68</x:v>
      </x:c>
      <x:c r="G503" s="74" t="n">
        <x:v>0.68</x:v>
      </x:c>
      <x:c r="H503" s="74" t="n">
        <x:v>0.7050000000000001</x:v>
      </x:c>
      <x:c r="I503" s="74" t="n">
        <x:f>IF(E503="YES",H503,1-H503)</x:f>
        <x:v>0.7050000000000001</x:v>
      </x:c>
      <x:c r="J503" s="76" t="n">
        <x:f>Assumptions!$C$12+Assumptions!$C$11*F503</x:f>
        <x:v>0.003</x:v>
      </x:c>
      <x:c r="K503" s="76" t="n">
        <x:f>I503-F503-J503</x:f>
        <x:v>0.022000000000000023</x:v>
      </x:c>
      <x:c r="L503" s="74" t="n">
        <x:f>MAX(0,IFERROR(K503/(1-F503),0))</x:f>
        <x:v>0.06875000000000009</x:v>
      </x:c>
      <x:c r="M503" s="74" t="n">
        <x:f>MIN(Assumptions!$C$8*L503,Assumptions!$C$5)</x:f>
        <x:v>0.005</x:v>
      </x:c>
      <x:c r="N503" s="78" t="n">
        <x:f>IF(ROW()=16,Assumptions!$C$4,V502)</x:f>
        <x:v>9907.372516596839</x:v>
      </x:c>
      <x:c r="O503" s="78" t="n">
        <x:f>IF(AND(K503&gt;IF(F503&gt;=Assumptions!$C$21,Assumptions!$C$10,Assumptions!$C$9),D503&gt;Assumptions!$C$23),N503*M503,0)</x:f>
        <x:v>49.5368625829842</x:v>
      </x:c>
      <x:c r="P503" s="78" t="n">
        <x:f>IFERROR(O503/F503,0)</x:f>
        <x:v>72.84832732791793</x:v>
      </x:c>
      <x:c r="Q503" s="78" t="n">
        <x:v>1</x:v>
      </x:c>
      <x:c r="R503" s="78" t="str">
        <x:v>Resolve</x:v>
      </x:c>
      <x:c r="S503" s="78" t="n">
        <x:f>IF(R503="Resolve",IF(IF(E503="YES",Q503,1-Q503)=1,P503*(1-F503),-O503),P503*(G503-F503))</x:f>
        <x:v>23.311464744933733</x:v>
      </x:c>
      <x:c r="T503" s="78" t="n">
        <x:f>P503*J503</x:f>
        <x:v>0.2185449819837538</x:v>
      </x:c>
      <x:c r="U503" s="78" t="n">
        <x:f>S503-T503</x:f>
        <x:v>23.09291976294998</x:v>
      </x:c>
      <x:c r="V503" s="78" t="n">
        <x:f>N503+U503</x:f>
        <x:v>9930.46543635979</x:v>
      </x:c>
      <x:c r="W503" s="74" t="n">
        <x:f>IFERROR(V503/MAX($V$16:V503)-1,0)</x:f>
        <x:v>-0.017353061640772327</x:v>
      </x:c>
      <x:c r="X503" t="str">
        <x:f>IF(O503&gt;0,"TRADE","NO_TRADE")</x:f>
        <x:v>TRADE</x:v>
      </x:c>
    </x:row>
    <x:row r="504">
      <x:c r="A504" s="66" t="n">
        <x:v>46167.52824074074</x:v>
      </x:c>
      <x:c r="B504" s="66" t="str">
        <x:v>MKT_1008</x:v>
      </x:c>
      <x:c r="C504" s="66" t="n">
        <x:v>46167.53125</x:v>
      </x:c>
      <x:c r="D504" t="n">
        <x:v>260</x:v>
      </x:c>
      <x:c r="E504" t="str">
        <x:v>YES</x:v>
      </x:c>
      <x:c r="F504" s="74" t="n">
        <x:v>0.91</x:v>
      </x:c>
      <x:c r="G504" s="74" t="n">
        <x:v>0.91</x:v>
      </x:c>
      <x:c r="H504" s="74" t="n">
        <x:v>0.9450000000000001</x:v>
      </x:c>
      <x:c r="I504" s="74" t="n">
        <x:f>IF(E504="YES",H504,1-H504)</x:f>
        <x:v>0.9450000000000001</x:v>
      </x:c>
      <x:c r="J504" s="76" t="n">
        <x:f>Assumptions!$C$12+Assumptions!$C$11*F504</x:f>
        <x:v>0.003</x:v>
      </x:c>
      <x:c r="K504" s="76" t="n">
        <x:f>I504-F504-J504</x:f>
        <x:v>0.03200000000000003</x:v>
      </x:c>
      <x:c r="L504" s="74" t="n">
        <x:f>MAX(0,IFERROR(K504/(1-F504),0))</x:f>
        <x:v>0.355555555555556</x:v>
      </x:c>
      <x:c r="M504" s="74" t="n">
        <x:f>MIN(Assumptions!$C$8*L504,Assumptions!$C$5)</x:f>
        <x:v>0.005</x:v>
      </x:c>
      <x:c r="N504" s="78" t="n">
        <x:f>IF(ROW()=16,Assumptions!$C$4,V503)</x:f>
        <x:v>9930.46543635979</x:v>
      </x:c>
      <x:c r="O504" s="78" t="n">
        <x:f>IF(AND(K504&gt;IF(F504&gt;=Assumptions!$C$21,Assumptions!$C$10,Assumptions!$C$9),D504&gt;Assumptions!$C$23),N504*M504,0)</x:f>
        <x:v>49.652327181798945</x:v>
      </x:c>
      <x:c r="P504" s="78" t="n">
        <x:f>IFERROR(O504/F504,0)</x:f>
        <x:v>54.562996903075764</x:v>
      </x:c>
      <x:c r="Q504" s="78" t="n">
        <x:v>1</x:v>
      </x:c>
      <x:c r="R504" s="78" t="str">
        <x:v>Resolve</x:v>
      </x:c>
      <x:c r="S504" s="78" t="n">
        <x:f>IF(R504="Resolve",IF(IF(E504="YES",Q504,1-Q504)=1,P504*(1-F504),-O504),P504*(G504-F504))</x:f>
        <x:v>4.910669721276817</x:v>
      </x:c>
      <x:c r="T504" s="78" t="n">
        <x:f>P504*J504</x:f>
        <x:v>0.1636889907092273</x:v>
      </x:c>
      <x:c r="U504" s="78" t="n">
        <x:f>S504-T504</x:f>
        <x:v>4.74698073056759</x:v>
      </x:c>
      <x:c r="V504" s="78" t="n">
        <x:f>N504+U504</x:f>
        <x:v>9935.212417090357</x:v>
      </x:c>
      <x:c r="W504" s="74" t="n">
        <x:f>IFERROR(V504/MAX($V$16:V504)-1,0)</x:f>
        <x:v>-0.016883334807600625</x:v>
      </x:c>
      <x:c r="X504" t="str">
        <x:f>IF(O504&gt;0,"TRADE","NO_TRADE")</x:f>
        <x:v>TRADE</x:v>
      </x:c>
    </x:row>
    <x:row r="505">
      <x:c r="A505" s="66" t="n">
        <x:v>46167.52829861111</x:v>
      </x:c>
      <x:c r="B505" s="66" t="str">
        <x:v>MKT_1008</x:v>
      </x:c>
      <x:c r="C505" s="66" t="n">
        <x:v>46167.53125</x:v>
      </x:c>
      <x:c r="D505" t="n">
        <x:v>255</x:v>
      </x:c>
      <x:c r="E505" t="str">
        <x:v>NO</x:v>
      </x:c>
      <x:c r="F505" s="74" t="n">
        <x:v>0.83</x:v>
      </x:c>
      <x:c r="G505" s="74" t="n">
        <x:v>0.83</x:v>
      </x:c>
      <x:c r="H505" s="74" t="n">
        <x:v>0.82</x:v>
      </x:c>
      <x:c r="I505" s="74" t="n">
        <x:f>IF(E505="YES",H505,1-H505)</x:f>
        <x:v>0.18000000000000005</x:v>
      </x:c>
      <x:c r="J505" s="76" t="n">
        <x:f>Assumptions!$C$12+Assumptions!$C$11*F505</x:f>
        <x:v>0.003</x:v>
      </x:c>
      <x:c r="K505" s="76" t="n">
        <x:f>I505-F505-J505</x:f>
        <x:v>-0.6529999999999999</x:v>
      </x:c>
      <x:c r="L505" s="74" t="n">
        <x:f>MAX(0,IFERROR(K505/(1-F505),0))</x:f>
        <x:v>0</x:v>
      </x:c>
      <x:c r="M505" s="74" t="n">
        <x:f>MIN(Assumptions!$C$8*L505,Assumptions!$C$5)</x:f>
        <x:v>0</x:v>
      </x:c>
      <x:c r="N505" s="78" t="n">
        <x:f>IF(ROW()=16,Assumptions!$C$4,V504)</x:f>
        <x:v>9935.212417090357</x:v>
      </x:c>
      <x:c r="O505" s="78" t="n">
        <x:f>IF(AND(K505&gt;IF(F505&gt;=Assumptions!$C$21,Assumptions!$C$10,Assumptions!$C$9),D505&gt;Assumptions!$C$23),N505*M505,0)</x:f>
        <x:v>0</x:v>
      </x:c>
      <x:c r="P505" s="78" t="n">
        <x:f>IFERROR(O505/F505,0)</x:f>
        <x:v>0</x:v>
      </x:c>
      <x:c r="Q505" s="78" t="n">
        <x:v>1</x:v>
      </x:c>
      <x:c r="R505" s="78" t="str">
        <x:v>Resolve</x:v>
      </x:c>
      <x:c r="S505" s="78" t="n">
        <x:f>IF(R505="Resolve",IF(IF(E505="YES",Q505,1-Q505)=1,P505*(1-F505),-O505),P505*(G505-F505))</x:f>
        <x:v>0</x:v>
      </x:c>
      <x:c r="T505" s="78" t="n">
        <x:f>P505*J505</x:f>
        <x:v>0</x:v>
      </x:c>
      <x:c r="U505" s="78" t="n">
        <x:f>S505-T505</x:f>
        <x:v>0</x:v>
      </x:c>
      <x:c r="V505" s="78" t="n">
        <x:f>N505+U505</x:f>
        <x:v>9935.212417090357</x:v>
      </x:c>
      <x:c r="W505" s="74" t="n">
        <x:f>IFERROR(V505/MAX($V$16:V505)-1,0)</x:f>
        <x:v>-0.016883334807600625</x:v>
      </x:c>
      <x:c r="X505" t="str">
        <x:f>IF(O505&gt;0,"TRADE","NO_TRADE")</x:f>
        <x:v>NO_TRADE</x:v>
      </x:c>
    </x:row>
    <x:row r="506">
      <x:c r="A506" s="66" t="n">
        <x:v>46167.52835648148</x:v>
      </x:c>
      <x:c r="B506" s="66" t="str">
        <x:v>MKT_1008</x:v>
      </x:c>
      <x:c r="C506" s="66" t="n">
        <x:v>46167.53125</x:v>
      </x:c>
      <x:c r="D506" t="n">
        <x:v>250</x:v>
      </x:c>
      <x:c r="E506" t="str">
        <x:v>YES</x:v>
      </x:c>
      <x:c r="F506" s="74" t="n">
        <x:v>0.52</x:v>
      </x:c>
      <x:c r="G506" s="74" t="n">
        <x:v>0.52</x:v>
      </x:c>
      <x:c r="H506" s="74" t="n">
        <x:v>0.535</x:v>
      </x:c>
      <x:c r="I506" s="74" t="n">
        <x:f>IF(E506="YES",H506,1-H506)</x:f>
        <x:v>0.535</x:v>
      </x:c>
      <x:c r="J506" s="76" t="n">
        <x:f>Assumptions!$C$12+Assumptions!$C$11*F506</x:f>
        <x:v>0.003</x:v>
      </x:c>
      <x:c r="K506" s="76" t="n">
        <x:f>I506-F506-J506</x:f>
        <x:v>0.012000000000000014</x:v>
      </x:c>
      <x:c r="L506" s="74" t="n">
        <x:f>MAX(0,IFERROR(K506/(1-F506),0))</x:f>
        <x:v>0.02500000000000003</x:v>
      </x:c>
      <x:c r="M506" s="74" t="n">
        <x:f>MIN(Assumptions!$C$8*L506,Assumptions!$C$5)</x:f>
        <x:v>0.005</x:v>
      </x:c>
      <x:c r="N506" s="78" t="n">
        <x:f>IF(ROW()=16,Assumptions!$C$4,V505)</x:f>
        <x:v>9935.212417090357</x:v>
      </x:c>
      <x:c r="O506" s="78" t="n">
        <x:f>IF(AND(K506&gt;IF(F506&gt;=Assumptions!$C$21,Assumptions!$C$10,Assumptions!$C$9),D506&gt;Assumptions!$C$23),N506*M506,0)</x:f>
        <x:v>49.67606208545179</x:v>
      </x:c>
      <x:c r="P506" s="78" t="n">
        <x:f>IFERROR(O506/F506,0)</x:f>
        <x:v>95.53088862586883</x:v>
      </x:c>
      <x:c r="Q506" s="78" t="n">
        <x:v>0</x:v>
      </x:c>
      <x:c r="R506" s="78" t="str">
        <x:v>Resolve</x:v>
      </x:c>
      <x:c r="S506" s="78" t="n">
        <x:f>IF(R506="Resolve",IF(IF(E506="YES",Q506,1-Q506)=1,P506*(1-F506),-O506),P506*(G506-F506))</x:f>
        <x:v>-49.67606208545179</x:v>
      </x:c>
      <x:c r="T506" s="78" t="n">
        <x:f>P506*J506</x:f>
        <x:v>0.2865926658776065</x:v>
      </x:c>
      <x:c r="U506" s="78" t="n">
        <x:f>S506-T506</x:f>
        <x:v>-49.962654751329396</x:v>
      </x:c>
      <x:c r="V506" s="78" t="n">
        <x:f>N506+U506</x:f>
        <x:v>9885.249762339028</x:v>
      </x:c>
      <x:c r="W506" s="74" t="n">
        <x:f>IFERROR(V506/MAX($V$16:V506)-1,0)</x:f>
        <x:v>-0.02182727726813538</x:v>
      </x:c>
      <x:c r="X506" t="str">
        <x:f>IF(O506&gt;0,"TRADE","NO_TRADE")</x:f>
        <x:v>TRADE</x:v>
      </x:c>
    </x:row>
    <x:row r="507">
      <x:c r="A507" s="66" t="n">
        <x:v>46167.52841435185</x:v>
      </x:c>
      <x:c r="B507" s="66" t="str">
        <x:v>MKT_1008</x:v>
      </x:c>
      <x:c r="C507" s="66" t="n">
        <x:v>46167.53125</x:v>
      </x:c>
      <x:c r="D507" t="n">
        <x:v>245</x:v>
      </x:c>
      <x:c r="E507" t="str">
        <x:v>YES</x:v>
      </x:c>
      <x:c r="F507" s="74" t="n">
        <x:v>0.61</x:v>
      </x:c>
      <x:c r="G507" s="74" t="n">
        <x:v>0.61</x:v>
      </x:c>
      <x:c r="H507" s="74" t="n">
        <x:v>0.63</x:v>
      </x:c>
      <x:c r="I507" s="74" t="n">
        <x:f>IF(E507="YES",H507,1-H507)</x:f>
        <x:v>0.63</x:v>
      </x:c>
      <x:c r="J507" s="76" t="n">
        <x:f>Assumptions!$C$12+Assumptions!$C$11*F507</x:f>
        <x:v>0.003</x:v>
      </x:c>
      <x:c r="K507" s="76" t="n">
        <x:f>I507-F507-J507</x:f>
        <x:v>0.01700000000000002</x:v>
      </x:c>
      <x:c r="L507" s="74" t="n">
        <x:f>MAX(0,IFERROR(K507/(1-F507),0))</x:f>
        <x:v>0.043589743589743636</x:v>
      </x:c>
      <x:c r="M507" s="74" t="n">
        <x:f>MIN(Assumptions!$C$8*L507,Assumptions!$C$5)</x:f>
        <x:v>0.005</x:v>
      </x:c>
      <x:c r="N507" s="78" t="n">
        <x:f>IF(ROW()=16,Assumptions!$C$4,V506)</x:f>
        <x:v>9885.249762339028</x:v>
      </x:c>
      <x:c r="O507" s="78" t="n">
        <x:f>IF(AND(K507&gt;IF(F507&gt;=Assumptions!$C$21,Assumptions!$C$10,Assumptions!$C$9),D507&gt;Assumptions!$C$23),N507*M507,0)</x:f>
        <x:v>49.42624881169514</x:v>
      </x:c>
      <x:c r="P507" s="78" t="n">
        <x:f>IFERROR(O507/F507,0)</x:f>
        <x:v>81.02663739622155</x:v>
      </x:c>
      <x:c r="Q507" s="78" t="n">
        <x:v>1</x:v>
      </x:c>
      <x:c r="R507" s="78" t="str">
        <x:v>Resolve</x:v>
      </x:c>
      <x:c r="S507" s="78" t="n">
        <x:f>IF(R507="Resolve",IF(IF(E507="YES",Q507,1-Q507)=1,P507*(1-F507),-O507),P507*(G507-F507))</x:f>
        <x:v>31.600388584526403</x:v>
      </x:c>
      <x:c r="T507" s="78" t="n">
        <x:f>P507*J507</x:f>
        <x:v>0.24307991218866465</x:v>
      </x:c>
      <x:c r="U507" s="78" t="n">
        <x:f>S507-T507</x:f>
        <x:v>31.357308672337737</x:v>
      </x:c>
      <x:c r="V507" s="78" t="n">
        <x:f>N507+U507</x:f>
        <x:v>9916.607071011365</x:v>
      </x:c>
      <x:c r="W507" s="74" t="n">
        <x:f>IFERROR(V507/MAX($V$16:V507)-1,0)</x:f>
        <x:v>-0.018724385106682728</x:v>
      </x:c>
      <x:c r="X507" t="str">
        <x:f>IF(O507&gt;0,"TRADE","NO_TRADE")</x:f>
        <x:v>TRADE</x:v>
      </x:c>
    </x:row>
    <x:row r="508">
      <x:c r="A508" s="66" t="n">
        <x:v>46167.52847222222</x:v>
      </x:c>
      <x:c r="B508" s="66" t="str">
        <x:v>MKT_1008</x:v>
      </x:c>
      <x:c r="C508" s="66" t="n">
        <x:v>46167.53125</x:v>
      </x:c>
      <x:c r="D508" t="n">
        <x:v>240</x:v>
      </x:c>
      <x:c r="E508" t="str">
        <x:v>NO</x:v>
      </x:c>
      <x:c r="F508" s="74" t="n">
        <x:v>0.74</x:v>
      </x:c>
      <x:c r="G508" s="74" t="n">
        <x:v>0.74</x:v>
      </x:c>
      <x:c r="H508" s="74" t="n">
        <x:v>0.735</x:v>
      </x:c>
      <x:c r="I508" s="74" t="n">
        <x:f>IF(E508="YES",H508,1-H508)</x:f>
        <x:v>0.265</x:v>
      </x:c>
      <x:c r="J508" s="76" t="n">
        <x:f>Assumptions!$C$12+Assumptions!$C$11*F508</x:f>
        <x:v>0.003</x:v>
      </x:c>
      <x:c r="K508" s="76" t="n">
        <x:f>I508-F508-J508</x:f>
        <x:v>-0.478</x:v>
      </x:c>
      <x:c r="L508" s="74" t="n">
        <x:f>MAX(0,IFERROR(K508/(1-F508),0))</x:f>
        <x:v>0</x:v>
      </x:c>
      <x:c r="M508" s="74" t="n">
        <x:f>MIN(Assumptions!$C$8*L508,Assumptions!$C$5)</x:f>
        <x:v>0</x:v>
      </x:c>
      <x:c r="N508" s="78" t="n">
        <x:f>IF(ROW()=16,Assumptions!$C$4,V507)</x:f>
        <x:v>9916.607071011365</x:v>
      </x:c>
      <x:c r="O508" s="78" t="n">
        <x:f>IF(AND(K508&gt;IF(F508&gt;=Assumptions!$C$21,Assumptions!$C$10,Assumptions!$C$9),D508&gt;Assumptions!$C$23),N508*M508,0)</x:f>
        <x:v>0</x:v>
      </x:c>
      <x:c r="P508" s="78" t="n">
        <x:f>IFERROR(O508/F508,0)</x:f>
        <x:v>0</x:v>
      </x:c>
      <x:c r="Q508" s="78" t="n">
        <x:v>1</x:v>
      </x:c>
      <x:c r="R508" s="78" t="str">
        <x:v>Resolve</x:v>
      </x:c>
      <x:c r="S508" s="78" t="n">
        <x:f>IF(R508="Resolve",IF(IF(E508="YES",Q508,1-Q508)=1,P508*(1-F508),-O508),P508*(G508-F508))</x:f>
        <x:v>0</x:v>
      </x:c>
      <x:c r="T508" s="78" t="n">
        <x:f>P508*J508</x:f>
        <x:v>0</x:v>
      </x:c>
      <x:c r="U508" s="78" t="n">
        <x:f>S508-T508</x:f>
        <x:v>0</x:v>
      </x:c>
      <x:c r="V508" s="78" t="n">
        <x:f>N508+U508</x:f>
        <x:v>9916.607071011365</x:v>
      </x:c>
      <x:c r="W508" s="74" t="n">
        <x:f>IFERROR(V508/MAX($V$16:V508)-1,0)</x:f>
        <x:v>-0.018724385106682728</x:v>
      </x:c>
      <x:c r="X508" t="str">
        <x:f>IF(O508&gt;0,"TRADE","NO_TRADE")</x:f>
        <x:v>NO_TRADE</x:v>
      </x:c>
    </x:row>
    <x:row r="509">
      <x:c r="A509" s="66" t="n">
        <x:v>46167.52853009259</x:v>
      </x:c>
      <x:c r="B509" s="66" t="str">
        <x:v>MKT_1008</x:v>
      </x:c>
      <x:c r="C509" s="66" t="n">
        <x:v>46167.53125</x:v>
      </x:c>
      <x:c r="D509" t="n">
        <x:v>235</x:v>
      </x:c>
      <x:c r="E509" t="str">
        <x:v>YES</x:v>
      </x:c>
      <x:c r="F509" s="74" t="n">
        <x:v>0.88</x:v>
      </x:c>
      <x:c r="G509" s="74" t="n">
        <x:v>0.88</x:v>
      </x:c>
      <x:c r="H509" s="74" t="n">
        <x:v>0.91</x:v>
      </x:c>
      <x:c r="I509" s="74" t="n">
        <x:f>IF(E509="YES",H509,1-H509)</x:f>
        <x:v>0.91</x:v>
      </x:c>
      <x:c r="J509" s="76" t="n">
        <x:f>Assumptions!$C$12+Assumptions!$C$11*F509</x:f>
        <x:v>0.003</x:v>
      </x:c>
      <x:c r="K509" s="76" t="n">
        <x:f>I509-F509-J509</x:f>
        <x:v>0.027000000000000027</x:v>
      </x:c>
      <x:c r="L509" s="74" t="n">
        <x:f>MAX(0,IFERROR(K509/(1-F509),0))</x:f>
        <x:v>0.22500000000000023</x:v>
      </x:c>
      <x:c r="M509" s="74" t="n">
        <x:f>MIN(Assumptions!$C$8*L509,Assumptions!$C$5)</x:f>
        <x:v>0.005</x:v>
      </x:c>
      <x:c r="N509" s="78" t="n">
        <x:f>IF(ROW()=16,Assumptions!$C$4,V508)</x:f>
        <x:v>9916.607071011365</x:v>
      </x:c>
      <x:c r="O509" s="78" t="n">
        <x:f>IF(AND(K509&gt;IF(F509&gt;=Assumptions!$C$21,Assumptions!$C$10,Assumptions!$C$9),D509&gt;Assumptions!$C$23),N509*M509,0)</x:f>
        <x:v>49.58303535505683</x:v>
      </x:c>
      <x:c r="P509" s="78" t="n">
        <x:f>IFERROR(O509/F509,0)</x:f>
        <x:v>56.34435835801912</x:v>
      </x:c>
      <x:c r="Q509" s="78" t="n">
        <x:v>0</x:v>
      </x:c>
      <x:c r="R509" s="78" t="str">
        <x:v>Resolve</x:v>
      </x:c>
      <x:c r="S509" s="78" t="n">
        <x:f>IF(R509="Resolve",IF(IF(E509="YES",Q509,1-Q509)=1,P509*(1-F509),-O509),P509*(G509-F509))</x:f>
        <x:v>-49.58303535505683</x:v>
      </x:c>
      <x:c r="T509" s="78" t="n">
        <x:f>P509*J509</x:f>
        <x:v>0.16903307507405738</x:v>
      </x:c>
      <x:c r="U509" s="78" t="n">
        <x:f>S509-T509</x:f>
        <x:v>-49.75206843013088</x:v>
      </x:c>
      <x:c r="V509" s="78" t="n">
        <x:f>N509+U509</x:f>
        <x:v>9866.855002581235</x:v>
      </x:c>
      <x:c r="W509" s="74" t="n">
        <x:f>IFERROR(V509/MAX($V$16:V509)-1,0)</x:f>
        <x:v>-0.023647489470039584</x:v>
      </x:c>
      <x:c r="X509" t="str">
        <x:f>IF(O509&gt;0,"TRADE","NO_TRADE")</x:f>
        <x:v>TRADE</x:v>
      </x:c>
    </x:row>
    <x:row r="510">
      <x:c r="A510" s="66" t="n">
        <x:v>46167.52858796297</x:v>
      </x:c>
      <x:c r="B510" s="66" t="str">
        <x:v>MKT_1008</x:v>
      </x:c>
      <x:c r="C510" s="66" t="n">
        <x:v>46167.53125</x:v>
      </x:c>
      <x:c r="D510" t="n">
        <x:v>230</x:v>
      </x:c>
      <x:c r="E510" t="str">
        <x:v>YES</x:v>
      </x:c>
      <x:c r="F510" s="74" t="n">
        <x:v>0.94</x:v>
      </x:c>
      <x:c r="G510" s="74" t="n">
        <x:v>0.94</x:v>
      </x:c>
      <x:c r="H510" s="74" t="n">
        <x:v>0.98</x:v>
      </x:c>
      <x:c r="I510" s="74" t="n">
        <x:f>IF(E510="YES",H510,1-H510)</x:f>
        <x:v>0.98</x:v>
      </x:c>
      <x:c r="J510" s="76" t="n">
        <x:f>Assumptions!$C$12+Assumptions!$C$11*F510</x:f>
        <x:v>0.003</x:v>
      </x:c>
      <x:c r="K510" s="76" t="n">
        <x:f>I510-F510-J510</x:f>
        <x:v>0.03700000000000003</x:v>
      </x:c>
      <x:c r="L510" s="74" t="n">
        <x:f>MAX(0,IFERROR(K510/(1-F510),0))</x:f>
        <x:v>0.6166666666666667</x:v>
      </x:c>
      <x:c r="M510" s="74" t="n">
        <x:f>MIN(Assumptions!$C$8*L510,Assumptions!$C$5)</x:f>
        <x:v>0.005</x:v>
      </x:c>
      <x:c r="N510" s="78" t="n">
        <x:f>IF(ROW()=16,Assumptions!$C$4,V509)</x:f>
        <x:v>9866.855002581235</x:v>
      </x:c>
      <x:c r="O510" s="78" t="n">
        <x:f>IF(AND(K510&gt;IF(F510&gt;=Assumptions!$C$21,Assumptions!$C$10,Assumptions!$C$9),D510&gt;Assumptions!$C$23),N510*M510,0)</x:f>
        <x:v>49.334275012906176</x:v>
      </x:c>
      <x:c r="P510" s="78" t="n">
        <x:f>IFERROR(O510/F510,0)</x:f>
        <x:v>52.483271290325725</x:v>
      </x:c>
      <x:c r="Q510" s="78" t="n">
        <x:v>1</x:v>
      </x:c>
      <x:c r="R510" s="78" t="str">
        <x:v>Resolve</x:v>
      </x:c>
      <x:c r="S510" s="78" t="n">
        <x:f>IF(R510="Resolve",IF(IF(E510="YES",Q510,1-Q510)=1,P510*(1-F510),-O510),P510*(G510-F510))</x:f>
        <x:v>3.1489962774195464</x:v>
      </x:c>
      <x:c r="T510" s="78" t="n">
        <x:f>P510*J510</x:f>
        <x:v>0.15744981387097717</x:v>
      </x:c>
      <x:c r="U510" s="78" t="n">
        <x:f>S510-T510</x:f>
        <x:v>2.9915464635485693</x:v>
      </x:c>
      <x:c r="V510" s="78" t="n">
        <x:f>N510+U510</x:f>
        <x:v>9869.846549044783</x:v>
      </x:c>
      <x:c r="W510" s="74" t="n">
        <x:f>IFERROR(V510/MAX($V$16:V510)-1,0)</x:f>
        <x:v>-0.023351467698229933</x:v>
      </x:c>
      <x:c r="X510" t="str">
        <x:f>IF(O510&gt;0,"TRADE","NO_TRADE")</x:f>
        <x:v>TRADE</x:v>
      </x:c>
    </x:row>
    <x:row r="511">
      <x:c r="A511" s="66" t="n">
        <x:v>46167.528645833336</x:v>
      </x:c>
      <x:c r="B511" s="66" t="str">
        <x:v>MKT_1008</x:v>
      </x:c>
      <x:c r="C511" s="66" t="n">
        <x:v>46167.53125</x:v>
      </x:c>
      <x:c r="D511" t="n">
        <x:v>225</x:v>
      </x:c>
      <x:c r="E511" t="str">
        <x:v>NO</x:v>
      </x:c>
      <x:c r="F511" s="74" t="n">
        <x:v>0.95</x:v>
      </x:c>
      <x:c r="G511" s="74" t="n">
        <x:v>0.95</x:v>
      </x:c>
      <x:c r="H511" s="74" t="n">
        <x:v>0.968</x:v>
      </x:c>
      <x:c r="I511" s="74" t="n">
        <x:f>IF(E511="YES",H511,1-H511)</x:f>
        <x:v>0.03200000000000003</x:v>
      </x:c>
      <x:c r="J511" s="76" t="n">
        <x:f>Assumptions!$C$12+Assumptions!$C$11*F511</x:f>
        <x:v>0.003</x:v>
      </x:c>
      <x:c r="K511" s="76" t="n">
        <x:f>I511-F511-J511</x:f>
        <x:v>-0.9209999999999999</x:v>
      </x:c>
      <x:c r="L511" s="74" t="n">
        <x:f>MAX(0,IFERROR(K511/(1-F511),0))</x:f>
        <x:v>0</x:v>
      </x:c>
      <x:c r="M511" s="74" t="n">
        <x:f>MIN(Assumptions!$C$8*L511,Assumptions!$C$5)</x:f>
        <x:v>0</x:v>
      </x:c>
      <x:c r="N511" s="78" t="n">
        <x:f>IF(ROW()=16,Assumptions!$C$4,V510)</x:f>
        <x:v>9869.846549044783</x:v>
      </x:c>
      <x:c r="O511" s="78" t="n">
        <x:f>IF(AND(K511&gt;IF(F511&gt;=Assumptions!$C$21,Assumptions!$C$10,Assumptions!$C$9),D511&gt;Assumptions!$C$23),N511*M511,0)</x:f>
        <x:v>0</x:v>
      </x:c>
      <x:c r="P511" s="78" t="n">
        <x:f>IFERROR(O511/F511,0)</x:f>
        <x:v>0</x:v>
      </x:c>
      <x:c r="Q511" s="78" t="n">
        <x:v>1</x:v>
      </x:c>
      <x:c r="R511" s="78" t="str">
        <x:v>Resolve</x:v>
      </x:c>
      <x:c r="S511" s="78" t="n">
        <x:f>IF(R511="Resolve",IF(IF(E511="YES",Q511,1-Q511)=1,P511*(1-F511),-O511),P511*(G511-F511))</x:f>
        <x:v>0</x:v>
      </x:c>
      <x:c r="T511" s="78" t="n">
        <x:f>P511*J511</x:f>
        <x:v>0</x:v>
      </x:c>
      <x:c r="U511" s="78" t="n">
        <x:f>S511-T511</x:f>
        <x:v>0</x:v>
      </x:c>
      <x:c r="V511" s="78" t="n">
        <x:f>N511+U511</x:f>
        <x:v>9869.846549044783</x:v>
      </x:c>
      <x:c r="W511" s="74" t="n">
        <x:f>IFERROR(V511/MAX($V$16:V511)-1,0)</x:f>
        <x:v>-0.023351467698229933</x:v>
      </x:c>
      <x:c r="X511" t="str">
        <x:f>IF(O511&gt;0,"TRADE","NO_TRADE")</x:f>
        <x:v>NO_TRADE</x:v>
      </x:c>
    </x:row>
    <x:row r="512">
      <x:c r="A512" s="66" t="n">
        <x:v>46167.528703703705</x:v>
      </x:c>
      <x:c r="B512" s="66" t="str">
        <x:v>MKT_1008</x:v>
      </x:c>
      <x:c r="C512" s="66" t="n">
        <x:v>46167.53125</x:v>
      </x:c>
      <x:c r="D512" t="n">
        <x:v>220</x:v>
      </x:c>
      <x:c r="E512" t="str">
        <x:v>YES</x:v>
      </x:c>
      <x:c r="F512" s="74" t="n">
        <x:v>0.57</x:v>
      </x:c>
      <x:c r="G512" s="74" t="n">
        <x:v>0.57</x:v>
      </x:c>
      <x:c r="H512" s="74" t="n">
        <x:v>0.582</x:v>
      </x:c>
      <x:c r="I512" s="74" t="n">
        <x:f>IF(E512="YES",H512,1-H512)</x:f>
        <x:v>0.582</x:v>
      </x:c>
      <x:c r="J512" s="76" t="n">
        <x:f>Assumptions!$C$12+Assumptions!$C$11*F512</x:f>
        <x:v>0.003</x:v>
      </x:c>
      <x:c r="K512" s="76" t="n">
        <x:f>I512-F512-J512</x:f>
        <x:v>0.009000000000000011</x:v>
      </x:c>
      <x:c r="L512" s="74" t="n">
        <x:f>MAX(0,IFERROR(K512/(1-F512),0))</x:f>
        <x:v>0.02093023255813956</x:v>
      </x:c>
      <x:c r="M512" s="74" t="n">
        <x:f>MIN(Assumptions!$C$8*L512,Assumptions!$C$5)</x:f>
        <x:v>0.005</x:v>
      </x:c>
      <x:c r="N512" s="78" t="n">
        <x:f>IF(ROW()=16,Assumptions!$C$4,V511)</x:f>
        <x:v>9869.846549044783</x:v>
      </x:c>
      <x:c r="O512" s="78" t="n">
        <x:f>IF(AND(K512&gt;IF(F512&gt;=Assumptions!$C$21,Assumptions!$C$10,Assumptions!$C$9),D512&gt;Assumptions!$C$23),N512*M512,0)</x:f>
        <x:v>49.349232745223915</x:v>
      </x:c>
      <x:c r="P512" s="78" t="n">
        <x:f>IFERROR(O512/F512,0)</x:f>
        <x:v>86.57760130741039</x:v>
      </x:c>
      <x:c r="Q512" s="78" t="n">
        <x:v>1</x:v>
      </x:c>
      <x:c r="R512" s="78" t="str">
        <x:v>Resolve</x:v>
      </x:c>
      <x:c r="S512" s="78" t="n">
        <x:f>IF(R512="Resolve",IF(IF(E512="YES",Q512,1-Q512)=1,P512*(1-F512),-O512),P512*(G512-F512))</x:f>
        <x:v>37.228368562186475</x:v>
      </x:c>
      <x:c r="T512" s="78" t="n">
        <x:f>P512*J512</x:f>
        <x:v>0.2597328039222312</x:v>
      </x:c>
      <x:c r="U512" s="78" t="n">
        <x:f>S512-T512</x:f>
        <x:v>36.96863575826424</x:v>
      </x:c>
      <x:c r="V512" s="78" t="n">
        <x:f>N512+U512</x:f>
        <x:v>9906.815184803048</x:v>
      </x:c>
      <x:c r="W512" s="74" t="n">
        <x:f>IFERROR(V512/MAX($V$16:V512)-1,0)</x:f>
        <x:v>-0.01969331924829254</x:v>
      </x:c>
      <x:c r="X512" t="str">
        <x:f>IF(O512&gt;0,"TRADE","NO_TRADE")</x:f>
        <x:v>TRADE</x:v>
      </x:c>
    </x:row>
    <x:row r="513">
      <x:c r="A513" s="66" t="n">
        <x:v>46167.528761574074</x:v>
      </x:c>
      <x:c r="B513" s="66" t="str">
        <x:v>MKT_1008</x:v>
      </x:c>
      <x:c r="C513" s="66" t="n">
        <x:v>46167.53125</x:v>
      </x:c>
      <x:c r="D513" t="n">
        <x:v>215</x:v>
      </x:c>
      <x:c r="E513" t="str">
        <x:v>YES</x:v>
      </x:c>
      <x:c r="F513" s="74" t="n">
        <x:v>0.68</x:v>
      </x:c>
      <x:c r="G513" s="74" t="n">
        <x:v>0.68</x:v>
      </x:c>
      <x:c r="H513" s="74" t="n">
        <x:v>0.7050000000000001</x:v>
      </x:c>
      <x:c r="I513" s="74" t="n">
        <x:f>IF(E513="YES",H513,1-H513)</x:f>
        <x:v>0.7050000000000001</x:v>
      </x:c>
      <x:c r="J513" s="76" t="n">
        <x:f>Assumptions!$C$12+Assumptions!$C$11*F513</x:f>
        <x:v>0.003</x:v>
      </x:c>
      <x:c r="K513" s="76" t="n">
        <x:f>I513-F513-J513</x:f>
        <x:v>0.022000000000000023</x:v>
      </x:c>
      <x:c r="L513" s="74" t="n">
        <x:f>MAX(0,IFERROR(K513/(1-F513),0))</x:f>
        <x:v>0.06875000000000009</x:v>
      </x:c>
      <x:c r="M513" s="74" t="n">
        <x:f>MIN(Assumptions!$C$8*L513,Assumptions!$C$5)</x:f>
        <x:v>0.005</x:v>
      </x:c>
      <x:c r="N513" s="78" t="n">
        <x:f>IF(ROW()=16,Assumptions!$C$4,V512)</x:f>
        <x:v>9906.815184803048</x:v>
      </x:c>
      <x:c r="O513" s="78" t="n">
        <x:f>IF(AND(K513&gt;IF(F513&gt;=Assumptions!$C$21,Assumptions!$C$10,Assumptions!$C$9),D513&gt;Assumptions!$C$23),N513*M513,0)</x:f>
        <x:v>49.53407592401524</x:v>
      </x:c>
      <x:c r="P513" s="78" t="n">
        <x:f>IFERROR(O513/F513,0)</x:f>
        <x:v>72.8442293000224</x:v>
      </x:c>
      <x:c r="Q513" s="78" t="n">
        <x:v>0</x:v>
      </x:c>
      <x:c r="R513" s="78" t="str">
        <x:v>Resolve</x:v>
      </x:c>
      <x:c r="S513" s="78" t="n">
        <x:f>IF(R513="Resolve",IF(IF(E513="YES",Q513,1-Q513)=1,P513*(1-F513),-O513),P513*(G513-F513))</x:f>
        <x:v>-49.53407592401524</x:v>
      </x:c>
      <x:c r="T513" s="78" t="n">
        <x:f>P513*J513</x:f>
        <x:v>0.21853268790006722</x:v>
      </x:c>
      <x:c r="U513" s="78" t="n">
        <x:f>S513-T513</x:f>
        <x:v>-49.752608611915306</x:v>
      </x:c>
      <x:c r="V513" s="78" t="n">
        <x:f>N513+U513</x:f>
        <x:v>9857.062576191132</x:v>
      </x:c>
      <x:c r="W513" s="74" t="n">
        <x:f>IFERROR(V513/MAX($V$16:V513)-1,0)</x:f>
        <x:v>-0.024616477064126507</x:v>
      </x:c>
      <x:c r="X513" t="str">
        <x:f>IF(O513&gt;0,"TRADE","NO_TRADE")</x:f>
        <x:v>TRADE</x:v>
      </x:c>
    </x:row>
    <x:row r="514">
      <x:c r="A514" s="66" t="n">
        <x:v>46167.528819444444</x:v>
      </x:c>
      <x:c r="B514" s="66" t="str">
        <x:v>MKT_1008</x:v>
      </x:c>
      <x:c r="C514" s="66" t="n">
        <x:v>46167.53125</x:v>
      </x:c>
      <x:c r="D514" t="n">
        <x:v>210</x:v>
      </x:c>
      <x:c r="E514" t="str">
        <x:v>NO</x:v>
      </x:c>
      <x:c r="F514" s="74" t="n">
        <x:v>0.91</x:v>
      </x:c>
      <x:c r="G514" s="74" t="n">
        <x:v>0.91</x:v>
      </x:c>
      <x:c r="H514" s="74" t="n">
        <x:v>0.9450000000000001</x:v>
      </x:c>
      <x:c r="I514" s="74" t="n">
        <x:f>IF(E514="YES",H514,1-H514)</x:f>
        <x:v>0.05499999999999994</x:v>
      </x:c>
      <x:c r="J514" s="76" t="n">
        <x:f>Assumptions!$C$12+Assumptions!$C$11*F514</x:f>
        <x:v>0.003</x:v>
      </x:c>
      <x:c r="K514" s="76" t="n">
        <x:f>I514-F514-J514</x:f>
        <x:v>-0.8580000000000001</x:v>
      </x:c>
      <x:c r="L514" s="74" t="n">
        <x:f>MAX(0,IFERROR(K514/(1-F514),0))</x:f>
        <x:v>0</x:v>
      </x:c>
      <x:c r="M514" s="74" t="n">
        <x:f>MIN(Assumptions!$C$8*L514,Assumptions!$C$5)</x:f>
        <x:v>0</x:v>
      </x:c>
      <x:c r="N514" s="78" t="n">
        <x:f>IF(ROW()=16,Assumptions!$C$4,V513)</x:f>
        <x:v>9857.062576191132</x:v>
      </x:c>
      <x:c r="O514" s="78" t="n">
        <x:f>IF(AND(K514&gt;IF(F514&gt;=Assumptions!$C$21,Assumptions!$C$10,Assumptions!$C$9),D514&gt;Assumptions!$C$23),N514*M514,0)</x:f>
        <x:v>0</x:v>
      </x:c>
      <x:c r="P514" s="78" t="n">
        <x:f>IFERROR(O514/F514,0)</x:f>
        <x:v>0</x:v>
      </x:c>
      <x:c r="Q514" s="78" t="n">
        <x:v>1</x:v>
      </x:c>
      <x:c r="R514" s="78" t="str">
        <x:v>Resolve</x:v>
      </x:c>
      <x:c r="S514" s="78" t="n">
        <x:f>IF(R514="Resolve",IF(IF(E514="YES",Q514,1-Q514)=1,P514*(1-F514),-O514),P514*(G514-F514))</x:f>
        <x:v>0</x:v>
      </x:c>
      <x:c r="T514" s="78" t="n">
        <x:f>P514*J514</x:f>
        <x:v>0</x:v>
      </x:c>
      <x:c r="U514" s="78" t="n">
        <x:f>S514-T514</x:f>
        <x:v>0</x:v>
      </x:c>
      <x:c r="V514" s="78" t="n">
        <x:f>N514+U514</x:f>
        <x:v>9857.062576191132</x:v>
      </x:c>
      <x:c r="W514" s="74" t="n">
        <x:f>IFERROR(V514/MAX($V$16:V514)-1,0)</x:f>
        <x:v>-0.024616477064126507</x:v>
      </x:c>
      <x:c r="X514" t="str">
        <x:f>IF(O514&gt;0,"TRADE","NO_TRADE")</x:f>
        <x:v>NO_TRADE</x:v>
      </x:c>
    </x:row>
    <x:row r="515">
      <x:c r="A515" s="66" t="n">
        <x:v>46167.52887731481</x:v>
      </x:c>
      <x:c r="B515" s="66" t="str">
        <x:v>MKT_1008</x:v>
      </x:c>
      <x:c r="C515" s="66" t="n">
        <x:v>46167.53125</x:v>
      </x:c>
      <x:c r="D515" t="n">
        <x:v>205</x:v>
      </x:c>
      <x:c r="E515" t="str">
        <x:v>YES</x:v>
      </x:c>
      <x:c r="F515" s="74" t="n">
        <x:v>0.83</x:v>
      </x:c>
      <x:c r="G515" s="74" t="n">
        <x:v>0.83</x:v>
      </x:c>
      <x:c r="H515" s="74" t="n">
        <x:v>0.82</x:v>
      </x:c>
      <x:c r="I515" s="74" t="n">
        <x:f>IF(E515="YES",H515,1-H515)</x:f>
        <x:v>0.82</x:v>
      </x:c>
      <x:c r="J515" s="76" t="n">
        <x:f>Assumptions!$C$12+Assumptions!$C$11*F515</x:f>
        <x:v>0.003</x:v>
      </x:c>
      <x:c r="K515" s="76" t="n">
        <x:f>I515-F515-J515</x:f>
        <x:v>-0.013000000000000008</x:v>
      </x:c>
      <x:c r="L515" s="74" t="n">
        <x:f>MAX(0,IFERROR(K515/(1-F515),0))</x:f>
        <x:v>0</x:v>
      </x:c>
      <x:c r="M515" s="74" t="n">
        <x:f>MIN(Assumptions!$C$8*L515,Assumptions!$C$5)</x:f>
        <x:v>0</x:v>
      </x:c>
      <x:c r="N515" s="78" t="n">
        <x:f>IF(ROW()=16,Assumptions!$C$4,V514)</x:f>
        <x:v>9857.062576191132</x:v>
      </x:c>
      <x:c r="O515" s="78" t="n">
        <x:f>IF(AND(K515&gt;IF(F515&gt;=Assumptions!$C$21,Assumptions!$C$10,Assumptions!$C$9),D515&gt;Assumptions!$C$23),N515*M515,0)</x:f>
        <x:v>0</x:v>
      </x:c>
      <x:c r="P515" s="78" t="n">
        <x:f>IFERROR(O515/F515,0)</x:f>
        <x:v>0</x:v>
      </x:c>
      <x:c r="Q515" s="78" t="n">
        <x:v>1</x:v>
      </x:c>
      <x:c r="R515" s="78" t="str">
        <x:v>Resolve</x:v>
      </x:c>
      <x:c r="S515" s="78" t="n">
        <x:f>IF(R515="Resolve",IF(IF(E515="YES",Q515,1-Q515)=1,P515*(1-F515),-O515),P515*(G515-F515))</x:f>
        <x:v>0</x:v>
      </x:c>
      <x:c r="T515" s="78" t="n">
        <x:f>P515*J515</x:f>
        <x:v>0</x:v>
      </x:c>
      <x:c r="U515" s="78" t="n">
        <x:f>S515-T515</x:f>
        <x:v>0</x:v>
      </x:c>
      <x:c r="V515" s="78" t="n">
        <x:f>N515+U515</x:f>
        <x:v>9857.062576191132</x:v>
      </x:c>
      <x:c r="W515" s="74" t="n">
        <x:f>IFERROR(V515/MAX($V$16:V515)-1,0)</x:f>
        <x:v>-0.024616477064126507</x:v>
      </x:c>
      <x:c r="X515" t="str">
        <x:f>IF(O515&gt;0,"TRADE","NO_TRADE")</x:f>
        <x:v>NO_TRADE</x:v>
      </x:c>
    </x:row>
  </x:sheetData>
  <x:mergeCells>
    <x:mergeCell ref="A1:W1"/>
  </x:mergeCells>
  <x:conditionalFormatting sqref="K16:K515">
    <x:cfRule type="expression" dxfId="8" priority="1">
      <x:formula>K16&lt;0</x:formula>
    </x:cfRule>
    <x:cfRule type="expression" dxfId="9" priority="2">
      <x:formula>K16&gt;0</x:formula>
    </x:cfRule>
  </x:conditionalFormatting>
  <x:conditionalFormatting sqref="X16:X515">
    <x:cfRule type="expression" dxfId="10" priority="3">
      <x:formula>X16="TRADE"</x:formula>
    </x:cfRule>
    <x:cfRule type="expression" dxfId="11" priority="4">
      <x:formula>X16="NO_TRADE"</x:formula>
    </x:cfRule>
  </x:conditionalFormatting>
  <x:pageMargins left="0.7" right="0.7" top="0.75" bottom="0.75" header="0.3" footer="0.3"/>
  <x:drawing xmlns:r="http://schemas.openxmlformats.org/officeDocument/2006/relationships" r:id="R3cf20d4fb88443c3"/>
  <x:tableParts count="1">
    <x:tablePart xmlns:r="http://schemas.openxmlformats.org/officeDocument/2006/relationships" r:id="R4672ea4318ac4cb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44" hidden="0" customWidth="1"/>
    <x:col min="11" max="11" width="14" hidden="0" customWidth="1"/>
  </x:cols>
  <x:sheetData>
    <x:row r="1" ht="28" customHeight="1">
      <x:c r="A1" s="5" t="str">
        <x:v>Asymmetry_Kelly｜高价位二元头寸的不对称风险与 Kelly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3" t="str">
        <x:v>YES price p</x:v>
      </x:c>
      <x:c r="B3" s="13" t="str">
        <x:v>Win profit/share</x:v>
      </x:c>
      <x:c r="C3" s="13" t="str">
        <x:v>Loss/share</x:v>
      </x:c>
      <x:c r="D3" s="13" t="str">
        <x:v>Loss/Win</x:v>
      </x:c>
      <x:c r="E3" s="13" t="str">
        <x:v>Break-even q</x:v>
      </x:c>
      <x:c r="F3" s="13" t="str">
        <x:v>Kelly @ q=p+1%</x:v>
      </x:c>
      <x:c r="G3" s="13" t="str">
        <x:v>Kelly @ q=p+3%</x:v>
      </x:c>
      <x:c r="H3" s="13" t="str">
        <x:v>Kelly @ q=p+5%</x:v>
      </x:c>
      <x:c r="I3" s="13" t="str">
        <x:v>Allowed stake @ q=p+3%</x:v>
      </x:c>
      <x:c r="J3" s="13" t="str">
        <x:v>Comment</x:v>
      </x:c>
      <x:c r="K3" s="13" t="str">
        <x:v>Flag</x:v>
      </x:c>
    </x:row>
    <x:row r="4">
      <x:c r="A4" s="80" t="n">
        <x:v>0.5</x:v>
      </x:c>
      <x:c r="B4" s="80" t="n">
        <x:f>1-A4</x:f>
        <x:v>0.5</x:v>
      </x:c>
      <x:c r="C4" s="80" t="n">
        <x:f>A4</x:f>
        <x:v>0.5</x:v>
      </x:c>
      <x:c r="D4" s="82" t="n">
        <x:f>IFERROR(C4/B4,0)</x:f>
        <x:v>1</x:v>
      </x:c>
      <x:c r="E4" s="74" t="n">
        <x:f>A4+Assumptions!$C$12+Assumptions!$C$11*A4</x:f>
        <x:v>0.503</x:v>
      </x:c>
      <x:c r="F4" s="74" t="n">
        <x:f>MAX(0,IFERROR((MIN(A4+0.01,0.999)-A4-Assumptions!$C$12-Assumptions!$C$11*A4)/(1-A4),0))</x:f>
        <x:v>0.014000000000000018</x:v>
      </x:c>
      <x:c r="G4" s="74" t="n">
        <x:f>MAX(0,IFERROR((MIN(A4+0.03,0.999)-A4-Assumptions!$C$12-Assumptions!$C$11*A4)/(1-A4),0))</x:f>
        <x:v>0.054000000000000055</x:v>
      </x:c>
      <x:c r="H4" s="74" t="n">
        <x:f>MAX(0,IFERROR((MIN(A4+0.05,0.999)-A4-Assumptions!$C$12-Assumptions!$C$11*A4)/(1-A4),0))</x:f>
        <x:v>0.09400000000000008</x:v>
      </x:c>
      <x:c r="I4" s="74" t="n">
        <x:f>MIN(Assumptions!$C$8*G4,Assumptions!$C$5)</x:f>
        <x:v>0.005</x:v>
      </x:c>
      <x:c r="J4" t="str">
        <x:f>IF(A4&gt;=0.95,"0.95区：必须有极强校准证据",IF(A4&gt;=0.9,"边界价：提高门槛/降仓位","正常价区"))</x:f>
        <x:v>正常价区</x:v>
      </x:c>
      <x:c r="K4" t="str">
        <x:f>IF(A4&gt;=0.9,"Boundary","Normal")</x:f>
        <x:v>Normal</x:v>
      </x:c>
    </x:row>
    <x:row r="5">
      <x:c r="A5" s="80" t="n">
        <x:v>0.51</x:v>
      </x:c>
      <x:c r="B5" s="80" t="n">
        <x:f>1-A5</x:f>
        <x:v>0.49</x:v>
      </x:c>
      <x:c r="C5" s="80" t="n">
        <x:f>A5</x:f>
        <x:v>0.51</x:v>
      </x:c>
      <x:c r="D5" s="82" t="n">
        <x:f>IFERROR(C5/B5,0)</x:f>
        <x:v>1.0408163265306123</x:v>
      </x:c>
      <x:c r="E5" s="74" t="n">
        <x:f>A5+Assumptions!$C$12+Assumptions!$C$11*A5</x:f>
        <x:v>0.513</x:v>
      </x:c>
      <x:c r="F5" s="74" t="n">
        <x:f>MAX(0,IFERROR((MIN(A5+0.01,0.999)-A5-Assumptions!$C$12-Assumptions!$C$11*A5)/(1-A5),0))</x:f>
        <x:v>0.014285714285714304</x:v>
      </x:c>
      <x:c r="G5" s="74" t="n">
        <x:f>MAX(0,IFERROR((MIN(A5+0.03,0.999)-A5-Assumptions!$C$12-Assumptions!$C$11*A5)/(1-A5),0))</x:f>
        <x:v>0.05510204081632659</x:v>
      </x:c>
      <x:c r="H5" s="74" t="n">
        <x:f>MAX(0,IFERROR((MIN(A5+0.05,0.999)-A5-Assumptions!$C$12-Assumptions!$C$11*A5)/(1-A5),0))</x:f>
        <x:v>0.09591836734693886</x:v>
      </x:c>
      <x:c r="I5" s="74" t="n">
        <x:f>MIN(Assumptions!$C$8*G5,Assumptions!$C$5)</x:f>
        <x:v>0.005</x:v>
      </x:c>
      <x:c r="J5" t="str">
        <x:f>IF(A5&gt;=0.95,"0.95区：必须有极强校准证据",IF(A5&gt;=0.9,"边界价：提高门槛/降仓位","正常价区"))</x:f>
        <x:v>正常价区</x:v>
      </x:c>
      <x:c r="K5" t="str">
        <x:f>IF(A5&gt;=0.9,"Boundary","Normal")</x:f>
        <x:v>Normal</x:v>
      </x:c>
    </x:row>
    <x:row r="6">
      <x:c r="A6" s="80" t="n">
        <x:v>0.52</x:v>
      </x:c>
      <x:c r="B6" s="80" t="n">
        <x:f>1-A6</x:f>
        <x:v>0.48</x:v>
      </x:c>
      <x:c r="C6" s="80" t="n">
        <x:f>A6</x:f>
        <x:v>0.52</x:v>
      </x:c>
      <x:c r="D6" s="82" t="n">
        <x:f>IFERROR(C6/B6,0)</x:f>
        <x:v>1.0833333333333335</x:v>
      </x:c>
      <x:c r="E6" s="74" t="n">
        <x:f>A6+Assumptions!$C$12+Assumptions!$C$11*A6</x:f>
        <x:v>0.523</x:v>
      </x:c>
      <x:c r="F6" s="74" t="n">
        <x:f>MAX(0,IFERROR((MIN(A6+0.01,0.999)-A6-Assumptions!$C$12-Assumptions!$C$11*A6)/(1-A6),0))</x:f>
        <x:v>0.014583333333333353</x:v>
      </x:c>
      <x:c r="G6" s="74" t="n">
        <x:f>MAX(0,IFERROR((MIN(A6+0.03,0.999)-A6-Assumptions!$C$12-Assumptions!$C$11*A6)/(1-A6),0))</x:f>
        <x:v>0.05625000000000006</x:v>
      </x:c>
      <x:c r="H6" s="74" t="n">
        <x:f>MAX(0,IFERROR((MIN(A6+0.05,0.999)-A6-Assumptions!$C$12-Assumptions!$C$11*A6)/(1-A6),0))</x:f>
        <x:v>0.09791666666666676</x:v>
      </x:c>
      <x:c r="I6" s="74" t="n">
        <x:f>MIN(Assumptions!$C$8*G6,Assumptions!$C$5)</x:f>
        <x:v>0.005</x:v>
      </x:c>
      <x:c r="J6" t="str">
        <x:f>IF(A6&gt;=0.95,"0.95区：必须有极强校准证据",IF(A6&gt;=0.9,"边界价：提高门槛/降仓位","正常价区"))</x:f>
        <x:v>正常价区</x:v>
      </x:c>
      <x:c r="K6" t="str">
        <x:f>IF(A6&gt;=0.9,"Boundary","Normal")</x:f>
        <x:v>Normal</x:v>
      </x:c>
    </x:row>
    <x:row r="7">
      <x:c r="A7" s="80" t="n">
        <x:v>0.53</x:v>
      </x:c>
      <x:c r="B7" s="80" t="n">
        <x:f>1-A7</x:f>
        <x:v>0.47</x:v>
      </x:c>
      <x:c r="C7" s="80" t="n">
        <x:f>A7</x:f>
        <x:v>0.53</x:v>
      </x:c>
      <x:c r="D7" s="82" t="n">
        <x:f>IFERROR(C7/B7,0)</x:f>
        <x:v>1.1276595744680853</x:v>
      </x:c>
      <x:c r="E7" s="74" t="n">
        <x:f>A7+Assumptions!$C$12+Assumptions!$C$11*A7</x:f>
        <x:v>0.533</x:v>
      </x:c>
      <x:c r="F7" s="74" t="n">
        <x:f>MAX(0,IFERROR((MIN(A7+0.01,0.999)-A7-Assumptions!$C$12-Assumptions!$C$11*A7)/(1-A7),0))</x:f>
        <x:v>0.014893617021276616</x:v>
      </x:c>
      <x:c r="G7" s="74" t="n">
        <x:f>MAX(0,IFERROR((MIN(A7+0.03,0.999)-A7-Assumptions!$C$12-Assumptions!$C$11*A7)/(1-A7),0))</x:f>
        <x:v>0.05744680851063836</x:v>
      </x:c>
      <x:c r="H7" s="74" t="n">
        <x:f>MAX(0,IFERROR((MIN(A7+0.05,0.999)-A7-Assumptions!$C$12-Assumptions!$C$11*A7)/(1-A7),0))</x:f>
        <x:v>0.10000000000000009</x:v>
      </x:c>
      <x:c r="I7" s="74" t="n">
        <x:f>MIN(Assumptions!$C$8*G7,Assumptions!$C$5)</x:f>
        <x:v>0.005</x:v>
      </x:c>
      <x:c r="J7" t="str">
        <x:f>IF(A7&gt;=0.95,"0.95区：必须有极强校准证据",IF(A7&gt;=0.9,"边界价：提高门槛/降仓位","正常价区"))</x:f>
        <x:v>正常价区</x:v>
      </x:c>
      <x:c r="K7" t="str">
        <x:f>IF(A7&gt;=0.9,"Boundary","Normal")</x:f>
        <x:v>Normal</x:v>
      </x:c>
    </x:row>
    <x:row r="8">
      <x:c r="A8" s="80" t="n">
        <x:v>0.54</x:v>
      </x:c>
      <x:c r="B8" s="80" t="n">
        <x:f>1-A8</x:f>
        <x:v>0.45999999999999996</x:v>
      </x:c>
      <x:c r="C8" s="80" t="n">
        <x:f>A8</x:f>
        <x:v>0.54</x:v>
      </x:c>
      <x:c r="D8" s="82" t="n">
        <x:f>IFERROR(C8/B8,0)</x:f>
        <x:v>1.173913043478261</x:v>
      </x:c>
      <x:c r="E8" s="74" t="n">
        <x:f>A8+Assumptions!$C$12+Assumptions!$C$11*A8</x:f>
        <x:v>0.543</x:v>
      </x:c>
      <x:c r="F8" s="74" t="n">
        <x:f>MAX(0,IFERROR((MIN(A8+0.01,0.999)-A8-Assumptions!$C$12-Assumptions!$C$11*A8)/(1-A8),0))</x:f>
        <x:v>0.015217391304347846</x:v>
      </x:c>
      <x:c r="G8" s="74" t="n">
        <x:f>MAX(0,IFERROR((MIN(A8+0.03,0.999)-A8-Assumptions!$C$12-Assumptions!$C$11*A8)/(1-A8),0))</x:f>
        <x:v>0.05869565217391311</x:v>
      </x:c>
      <x:c r="H8" s="74" t="n">
        <x:f>MAX(0,IFERROR((MIN(A8+0.05,0.999)-A8-Assumptions!$C$12-Assumptions!$C$11*A8)/(1-A8),0))</x:f>
        <x:v>0.10217391304347836</x:v>
      </x:c>
      <x:c r="I8" s="74" t="n">
        <x:f>MIN(Assumptions!$C$8*G8,Assumptions!$C$5)</x:f>
        <x:v>0.005</x:v>
      </x:c>
      <x:c r="J8" t="str">
        <x:f>IF(A8&gt;=0.95,"0.95区：必须有极强校准证据",IF(A8&gt;=0.9,"边界价：提高门槛/降仓位","正常价区"))</x:f>
        <x:v>正常价区</x:v>
      </x:c>
      <x:c r="K8" t="str">
        <x:f>IF(A8&gt;=0.9,"Boundary","Normal")</x:f>
        <x:v>Normal</x:v>
      </x:c>
    </x:row>
    <x:row r="9">
      <x:c r="A9" s="80" t="n">
        <x:v>0.55</x:v>
      </x:c>
      <x:c r="B9" s="80" t="n">
        <x:f>1-A9</x:f>
        <x:v>0.44999999999999996</x:v>
      </x:c>
      <x:c r="C9" s="80" t="n">
        <x:f>A9</x:f>
        <x:v>0.55</x:v>
      </x:c>
      <x:c r="D9" s="82" t="n">
        <x:f>IFERROR(C9/B9,0)</x:f>
        <x:v>1.2222222222222225</x:v>
      </x:c>
      <x:c r="E9" s="74" t="n">
        <x:f>A9+Assumptions!$C$12+Assumptions!$C$11*A9</x:f>
        <x:v>0.553</x:v>
      </x:c>
      <x:c r="F9" s="74" t="n">
        <x:f>MAX(0,IFERROR((MIN(A9+0.01,0.999)-A9-Assumptions!$C$12-Assumptions!$C$11*A9)/(1-A9),0))</x:f>
        <x:v>0.015555555555555576</x:v>
      </x:c>
      <x:c r="G9" s="74" t="n">
        <x:f>MAX(0,IFERROR((MIN(A9+0.03,0.999)-A9-Assumptions!$C$12-Assumptions!$C$11*A9)/(1-A9),0))</x:f>
        <x:v>0.06000000000000007</x:v>
      </x:c>
      <x:c r="H9" s="74" t="n">
        <x:f>MAX(0,IFERROR((MIN(A9+0.05,0.999)-A9-Assumptions!$C$12-Assumptions!$C$11*A9)/(1-A9),0))</x:f>
        <x:v>0.10444444444444455</x:v>
      </x:c>
      <x:c r="I9" s="74" t="n">
        <x:f>MIN(Assumptions!$C$8*G9,Assumptions!$C$5)</x:f>
        <x:v>0.005</x:v>
      </x:c>
      <x:c r="J9" t="str">
        <x:f>IF(A9&gt;=0.95,"0.95区：必须有极强校准证据",IF(A9&gt;=0.9,"边界价：提高门槛/降仓位","正常价区"))</x:f>
        <x:v>正常价区</x:v>
      </x:c>
      <x:c r="K9" t="str">
        <x:f>IF(A9&gt;=0.9,"Boundary","Normal")</x:f>
        <x:v>Normal</x:v>
      </x:c>
    </x:row>
    <x:row r="10">
      <x:c r="A10" s="80" t="n">
        <x:v>0.56</x:v>
      </x:c>
      <x:c r="B10" s="80" t="n">
        <x:f>1-A10</x:f>
        <x:v>0.43999999999999995</x:v>
      </x:c>
      <x:c r="C10" s="80" t="n">
        <x:f>A10</x:f>
        <x:v>0.56</x:v>
      </x:c>
      <x:c r="D10" s="82" t="n">
        <x:f>IFERROR(C10/B10,0)</x:f>
        <x:v>1.272727272727273</x:v>
      </x:c>
      <x:c r="E10" s="74" t="n">
        <x:f>A10+Assumptions!$C$12+Assumptions!$C$11*A10</x:f>
        <x:v>0.5630000000000001</x:v>
      </x:c>
      <x:c r="F10" s="74" t="n">
        <x:f>MAX(0,IFERROR((MIN(A10+0.01,0.999)-A10-Assumptions!$C$12-Assumptions!$C$11*A10)/(1-A10),0))</x:f>
        <x:v>0.015909090909090932</x:v>
      </x:c>
      <x:c r="G10" s="74" t="n">
        <x:f>MAX(0,IFERROR((MIN(A10+0.03,0.999)-A10-Assumptions!$C$12-Assumptions!$C$11*A10)/(1-A10),0))</x:f>
        <x:v>0.06136363636363643</x:v>
      </x:c>
      <x:c r="H10" s="74" t="n">
        <x:f>MAX(0,IFERROR((MIN(A10+0.05,0.999)-A10-Assumptions!$C$12-Assumptions!$C$11*A10)/(1-A10),0))</x:f>
        <x:v>0.10681818181818192</x:v>
      </x:c>
      <x:c r="I10" s="74" t="n">
        <x:f>MIN(Assumptions!$C$8*G10,Assumptions!$C$5)</x:f>
        <x:v>0.005</x:v>
      </x:c>
      <x:c r="J10" t="str">
        <x:f>IF(A10&gt;=0.95,"0.95区：必须有极强校准证据",IF(A10&gt;=0.9,"边界价：提高门槛/降仓位","正常价区"))</x:f>
        <x:v>正常价区</x:v>
      </x:c>
      <x:c r="K10" t="str">
        <x:f>IF(A10&gt;=0.9,"Boundary","Normal")</x:f>
        <x:v>Normal</x:v>
      </x:c>
    </x:row>
    <x:row r="11">
      <x:c r="A11" s="80" t="n">
        <x:v>0.57</x:v>
      </x:c>
      <x:c r="B11" s="80" t="n">
        <x:f>1-A11</x:f>
        <x:v>0.43000000000000005</x:v>
      </x:c>
      <x:c r="C11" s="80" t="n">
        <x:f>A11</x:f>
        <x:v>0.57</x:v>
      </x:c>
      <x:c r="D11" s="82" t="n">
        <x:f>IFERROR(C11/B11,0)</x:f>
        <x:v>1.325581395348837</x:v>
      </x:c>
      <x:c r="E11" s="74" t="n">
        <x:f>A11+Assumptions!$C$12+Assumptions!$C$11*A11</x:f>
        <x:v>0.573</x:v>
      </x:c>
      <x:c r="F11" s="74" t="n">
        <x:f>MAX(0,IFERROR((MIN(A11+0.01,0.999)-A11-Assumptions!$C$12-Assumptions!$C$11*A11)/(1-A11),0))</x:f>
        <x:v>0.016279069767441878</x:v>
      </x:c>
      <x:c r="G11" s="74" t="n">
        <x:f>MAX(0,IFERROR((MIN(A11+0.03,0.999)-A11-Assumptions!$C$12-Assumptions!$C$11*A11)/(1-A11),0))</x:f>
        <x:v>0.06279069767441867</x:v>
      </x:c>
      <x:c r="H11" s="74" t="n">
        <x:f>MAX(0,IFERROR((MIN(A11+0.05,0.999)-A11-Assumptions!$C$12-Assumptions!$C$11*A11)/(1-A11),0))</x:f>
        <x:v>0.10930232558139544</x:v>
      </x:c>
      <x:c r="I11" s="74" t="n">
        <x:f>MIN(Assumptions!$C$8*G11,Assumptions!$C$5)</x:f>
        <x:v>0.005</x:v>
      </x:c>
      <x:c r="J11" t="str">
        <x:f>IF(A11&gt;=0.95,"0.95区：必须有极强校准证据",IF(A11&gt;=0.9,"边界价：提高门槛/降仓位","正常价区"))</x:f>
        <x:v>正常价区</x:v>
      </x:c>
      <x:c r="K11" t="str">
        <x:f>IF(A11&gt;=0.9,"Boundary","Normal")</x:f>
        <x:v>Normal</x:v>
      </x:c>
    </x:row>
    <x:row r="12">
      <x:c r="A12" s="80" t="n">
        <x:v>0.58</x:v>
      </x:c>
      <x:c r="B12" s="80" t="n">
        <x:f>1-A12</x:f>
        <x:v>0.42000000000000004</x:v>
      </x:c>
      <x:c r="C12" s="80" t="n">
        <x:f>A12</x:f>
        <x:v>0.58</x:v>
      </x:c>
      <x:c r="D12" s="82" t="n">
        <x:f>IFERROR(C12/B12,0)</x:f>
        <x:v>1.3809523809523807</x:v>
      </x:c>
      <x:c r="E12" s="74" t="n">
        <x:f>A12+Assumptions!$C$12+Assumptions!$C$11*A12</x:f>
        <x:v>0.583</x:v>
      </x:c>
      <x:c r="F12" s="74" t="n">
        <x:f>MAX(0,IFERROR((MIN(A12+0.01,0.999)-A12-Assumptions!$C$12-Assumptions!$C$11*A12)/(1-A12),0))</x:f>
        <x:v>0.016666666666666687</x:v>
      </x:c>
      <x:c r="G12" s="74" t="n">
        <x:f>MAX(0,IFERROR((MIN(A12+0.03,0.999)-A12-Assumptions!$C$12-Assumptions!$C$11*A12)/(1-A12),0))</x:f>
        <x:v>0.06428571428571435</x:v>
      </x:c>
      <x:c r="H12" s="74" t="n">
        <x:f>MAX(0,IFERROR((MIN(A12+0.05,0.999)-A12-Assumptions!$C$12-Assumptions!$C$11*A12)/(1-A12),0))</x:f>
        <x:v>0.11190476190476199</x:v>
      </x:c>
      <x:c r="I12" s="74" t="n">
        <x:f>MIN(Assumptions!$C$8*G12,Assumptions!$C$5)</x:f>
        <x:v>0.005</x:v>
      </x:c>
      <x:c r="J12" t="str">
        <x:f>IF(A12&gt;=0.95,"0.95区：必须有极强校准证据",IF(A12&gt;=0.9,"边界价：提高门槛/降仓位","正常价区"))</x:f>
        <x:v>正常价区</x:v>
      </x:c>
      <x:c r="K12" t="str">
        <x:f>IF(A12&gt;=0.9,"Boundary","Normal")</x:f>
        <x:v>Normal</x:v>
      </x:c>
    </x:row>
    <x:row r="13">
      <x:c r="A13" s="80" t="n">
        <x:v>0.59</x:v>
      </x:c>
      <x:c r="B13" s="80" t="n">
        <x:f>1-A13</x:f>
        <x:v>0.41000000000000003</x:v>
      </x:c>
      <x:c r="C13" s="80" t="n">
        <x:f>A13</x:f>
        <x:v>0.59</x:v>
      </x:c>
      <x:c r="D13" s="82" t="n">
        <x:f>IFERROR(C13/B13,0)</x:f>
        <x:v>1.4390243902439022</x:v>
      </x:c>
      <x:c r="E13" s="74" t="n">
        <x:f>A13+Assumptions!$C$12+Assumptions!$C$11*A13</x:f>
        <x:v>0.593</x:v>
      </x:c>
      <x:c r="F13" s="74" t="n">
        <x:f>MAX(0,IFERROR((MIN(A13+0.01,0.999)-A13-Assumptions!$C$12-Assumptions!$C$11*A13)/(1-A13),0))</x:f>
        <x:v>0.017073170731707336</x:v>
      </x:c>
      <x:c r="G13" s="74" t="n">
        <x:f>MAX(0,IFERROR((MIN(A13+0.03,0.999)-A13-Assumptions!$C$12-Assumptions!$C$11*A13)/(1-A13),0))</x:f>
        <x:v>0.06585365853658542</x:v>
      </x:c>
      <x:c r="H13" s="74" t="n">
        <x:f>MAX(0,IFERROR((MIN(A13+0.05,0.999)-A13-Assumptions!$C$12-Assumptions!$C$11*A13)/(1-A13),0))</x:f>
        <x:v>0.1146341463414635</x:v>
      </x:c>
      <x:c r="I13" s="74" t="n">
        <x:f>MIN(Assumptions!$C$8*G13,Assumptions!$C$5)</x:f>
        <x:v>0.005</x:v>
      </x:c>
      <x:c r="J13" t="str">
        <x:f>IF(A13&gt;=0.95,"0.95区：必须有极强校准证据",IF(A13&gt;=0.9,"边界价：提高门槛/降仓位","正常价区"))</x:f>
        <x:v>正常价区</x:v>
      </x:c>
      <x:c r="K13" t="str">
        <x:f>IF(A13&gt;=0.9,"Boundary","Normal")</x:f>
        <x:v>Normal</x:v>
      </x:c>
    </x:row>
    <x:row r="14">
      <x:c r="A14" s="80" t="n">
        <x:v>0.6</x:v>
      </x:c>
      <x:c r="B14" s="80" t="n">
        <x:f>1-A14</x:f>
        <x:v>0.4</x:v>
      </x:c>
      <x:c r="C14" s="80" t="n">
        <x:f>A14</x:f>
        <x:v>0.6</x:v>
      </x:c>
      <x:c r="D14" s="82" t="n">
        <x:f>IFERROR(C14/B14,0)</x:f>
        <x:v>1.4999999999999998</x:v>
      </x:c>
      <x:c r="E14" s="74" t="n">
        <x:f>A14+Assumptions!$C$12+Assumptions!$C$11*A14</x:f>
        <x:v>0.603</x:v>
      </x:c>
      <x:c r="F14" s="74" t="n">
        <x:f>MAX(0,IFERROR((MIN(A14+0.01,0.999)-A14-Assumptions!$C$12-Assumptions!$C$11*A14)/(1-A14),0))</x:f>
        <x:v>0.017500000000000022</x:v>
      </x:c>
      <x:c r="G14" s="74" t="n">
        <x:f>MAX(0,IFERROR((MIN(A14+0.03,0.999)-A14-Assumptions!$C$12-Assumptions!$C$11*A14)/(1-A14),0))</x:f>
        <x:v>0.06750000000000006</x:v>
      </x:c>
      <x:c r="H14" s="74" t="n">
        <x:f>MAX(0,IFERROR((MIN(A14+0.05,0.999)-A14-Assumptions!$C$12-Assumptions!$C$11*A14)/(1-A14),0))</x:f>
        <x:v>0.1175000000000001</x:v>
      </x:c>
      <x:c r="I14" s="74" t="n">
        <x:f>MIN(Assumptions!$C$8*G14,Assumptions!$C$5)</x:f>
        <x:v>0.005</x:v>
      </x:c>
      <x:c r="J14" t="str">
        <x:f>IF(A14&gt;=0.95,"0.95区：必须有极强校准证据",IF(A14&gt;=0.9,"边界价：提高门槛/降仓位","正常价区"))</x:f>
        <x:v>正常价区</x:v>
      </x:c>
      <x:c r="K14" t="str">
        <x:f>IF(A14&gt;=0.9,"Boundary","Normal")</x:f>
        <x:v>Normal</x:v>
      </x:c>
    </x:row>
    <x:row r="15">
      <x:c r="A15" s="80" t="n">
        <x:v>0.61</x:v>
      </x:c>
      <x:c r="B15" s="80" t="n">
        <x:f>1-A15</x:f>
        <x:v>0.39</x:v>
      </x:c>
      <x:c r="C15" s="80" t="n">
        <x:f>A15</x:f>
        <x:v>0.61</x:v>
      </x:c>
      <x:c r="D15" s="82" t="n">
        <x:f>IFERROR(C15/B15,0)</x:f>
        <x:v>1.564102564102564</x:v>
      </x:c>
      <x:c r="E15" s="74" t="n">
        <x:f>A15+Assumptions!$C$12+Assumptions!$C$11*A15</x:f>
        <x:v>0.613</x:v>
      </x:c>
      <x:c r="F15" s="74" t="n">
        <x:f>MAX(0,IFERROR((MIN(A15+0.01,0.999)-A15-Assumptions!$C$12-Assumptions!$C$11*A15)/(1-A15),0))</x:f>
        <x:v>0.01794871794871797</x:v>
      </x:c>
      <x:c r="G15" s="74" t="n">
        <x:f>MAX(0,IFERROR((MIN(A15+0.03,0.999)-A15-Assumptions!$C$12-Assumptions!$C$11*A15)/(1-A15),0))</x:f>
        <x:v>0.0692307692307693</x:v>
      </x:c>
      <x:c r="H15" s="74" t="n">
        <x:f>MAX(0,IFERROR((MIN(A15+0.05,0.999)-A15-Assumptions!$C$12-Assumptions!$C$11*A15)/(1-A15),0))</x:f>
        <x:v>0.12051282051282061</x:v>
      </x:c>
      <x:c r="I15" s="74" t="n">
        <x:f>MIN(Assumptions!$C$8*G15,Assumptions!$C$5)</x:f>
        <x:v>0.005</x:v>
      </x:c>
      <x:c r="J15" t="str">
        <x:f>IF(A15&gt;=0.95,"0.95区：必须有极强校准证据",IF(A15&gt;=0.9,"边界价：提高门槛/降仓位","正常价区"))</x:f>
        <x:v>正常价区</x:v>
      </x:c>
      <x:c r="K15" t="str">
        <x:f>IF(A15&gt;=0.9,"Boundary","Normal")</x:f>
        <x:v>Normal</x:v>
      </x:c>
    </x:row>
    <x:row r="16">
      <x:c r="A16" s="80" t="n">
        <x:v>0.62</x:v>
      </x:c>
      <x:c r="B16" s="80" t="n">
        <x:f>1-A16</x:f>
        <x:v>0.38</x:v>
      </x:c>
      <x:c r="C16" s="80" t="n">
        <x:f>A16</x:f>
        <x:v>0.62</x:v>
      </x:c>
      <x:c r="D16" s="82" t="n">
        <x:f>IFERROR(C16/B16,0)</x:f>
        <x:v>1.631578947368421</x:v>
      </x:c>
      <x:c r="E16" s="74" t="n">
        <x:f>A16+Assumptions!$C$12+Assumptions!$C$11*A16</x:f>
        <x:v>0.623</x:v>
      </x:c>
      <x:c r="F16" s="74" t="n">
        <x:f>MAX(0,IFERROR((MIN(A16+0.01,0.999)-A16-Assumptions!$C$12-Assumptions!$C$11*A16)/(1-A16),0))</x:f>
        <x:v>0.01842105263157897</x:v>
      </x:c>
      <x:c r="G16" s="74" t="n">
        <x:f>MAX(0,IFERROR((MIN(A16+0.03,0.999)-A16-Assumptions!$C$12-Assumptions!$C$11*A16)/(1-A16),0))</x:f>
        <x:v>0.07105263157894744</x:v>
      </x:c>
      <x:c r="H16" s="74" t="n">
        <x:f>MAX(0,IFERROR((MIN(A16+0.05,0.999)-A16-Assumptions!$C$12-Assumptions!$C$11*A16)/(1-A16),0))</x:f>
        <x:v>0.1236842105263159</x:v>
      </x:c>
      <x:c r="I16" s="74" t="n">
        <x:f>MIN(Assumptions!$C$8*G16,Assumptions!$C$5)</x:f>
        <x:v>0.005</x:v>
      </x:c>
      <x:c r="J16" t="str">
        <x:f>IF(A16&gt;=0.95,"0.95区：必须有极强校准证据",IF(A16&gt;=0.9,"边界价：提高门槛/降仓位","正常价区"))</x:f>
        <x:v>正常价区</x:v>
      </x:c>
      <x:c r="K16" t="str">
        <x:f>IF(A16&gt;=0.9,"Boundary","Normal")</x:f>
        <x:v>Normal</x:v>
      </x:c>
    </x:row>
    <x:row r="17">
      <x:c r="A17" s="80" t="n">
        <x:v>0.63</x:v>
      </x:c>
      <x:c r="B17" s="80" t="n">
        <x:f>1-A17</x:f>
        <x:v>0.37</x:v>
      </x:c>
      <x:c r="C17" s="80" t="n">
        <x:f>A17</x:f>
        <x:v>0.63</x:v>
      </x:c>
      <x:c r="D17" s="82" t="n">
        <x:f>IFERROR(C17/B17,0)</x:f>
        <x:v>1.7027027027027026</x:v>
      </x:c>
      <x:c r="E17" s="74" t="n">
        <x:f>A17+Assumptions!$C$12+Assumptions!$C$11*A17</x:f>
        <x:v>0.633</x:v>
      </x:c>
      <x:c r="F17" s="74" t="n">
        <x:f>MAX(0,IFERROR((MIN(A17+0.01,0.999)-A17-Assumptions!$C$12-Assumptions!$C$11*A17)/(1-A17),0))</x:f>
        <x:v>0.018918918918918944</x:v>
      </x:c>
      <x:c r="G17" s="74" t="n">
        <x:f>MAX(0,IFERROR((MIN(A17+0.03,0.999)-A17-Assumptions!$C$12-Assumptions!$C$11*A17)/(1-A17),0))</x:f>
        <x:v>0.07297297297297305</x:v>
      </x:c>
      <x:c r="H17" s="74" t="n">
        <x:f>MAX(0,IFERROR((MIN(A17+0.05,0.999)-A17-Assumptions!$C$12-Assumptions!$C$11*A17)/(1-A17),0))</x:f>
        <x:v>0.12702702702702715</x:v>
      </x:c>
      <x:c r="I17" s="74" t="n">
        <x:f>MIN(Assumptions!$C$8*G17,Assumptions!$C$5)</x:f>
        <x:v>0.005</x:v>
      </x:c>
      <x:c r="J17" t="str">
        <x:f>IF(A17&gt;=0.95,"0.95区：必须有极强校准证据",IF(A17&gt;=0.9,"边界价：提高门槛/降仓位","正常价区"))</x:f>
        <x:v>正常价区</x:v>
      </x:c>
      <x:c r="K17" t="str">
        <x:f>IF(A17&gt;=0.9,"Boundary","Normal")</x:f>
        <x:v>Normal</x:v>
      </x:c>
    </x:row>
    <x:row r="18">
      <x:c r="A18" s="80" t="n">
        <x:v>0.64</x:v>
      </x:c>
      <x:c r="B18" s="80" t="n">
        <x:f>1-A18</x:f>
        <x:v>0.36</x:v>
      </x:c>
      <x:c r="C18" s="80" t="n">
        <x:f>A18</x:f>
        <x:v>0.64</x:v>
      </x:c>
      <x:c r="D18" s="82" t="n">
        <x:f>IFERROR(C18/B18,0)</x:f>
        <x:v>1.777777777777778</x:v>
      </x:c>
      <x:c r="E18" s="74" t="n">
        <x:f>A18+Assumptions!$C$12+Assumptions!$C$11*A18</x:f>
        <x:v>0.643</x:v>
      </x:c>
      <x:c r="F18" s="74" t="n">
        <x:f>MAX(0,IFERROR((MIN(A18+0.01,0.999)-A18-Assumptions!$C$12-Assumptions!$C$11*A18)/(1-A18),0))</x:f>
        <x:v>0.01944444444444447</x:v>
      </x:c>
      <x:c r="G18" s="74" t="n">
        <x:f>MAX(0,IFERROR((MIN(A18+0.03,0.999)-A18-Assumptions!$C$12-Assumptions!$C$11*A18)/(1-A18),0))</x:f>
        <x:v>0.07500000000000008</x:v>
      </x:c>
      <x:c r="H18" s="74" t="n">
        <x:f>MAX(0,IFERROR((MIN(A18+0.05,0.999)-A18-Assumptions!$C$12-Assumptions!$C$11*A18)/(1-A18),0))</x:f>
        <x:v>0.13055555555555567</x:v>
      </x:c>
      <x:c r="I18" s="74" t="n">
        <x:f>MIN(Assumptions!$C$8*G18,Assumptions!$C$5)</x:f>
        <x:v>0.005</x:v>
      </x:c>
      <x:c r="J18" t="str">
        <x:f>IF(A18&gt;=0.95,"0.95区：必须有极强校准证据",IF(A18&gt;=0.9,"边界价：提高门槛/降仓位","正常价区"))</x:f>
        <x:v>正常价区</x:v>
      </x:c>
      <x:c r="K18" t="str">
        <x:f>IF(A18&gt;=0.9,"Boundary","Normal")</x:f>
        <x:v>Normal</x:v>
      </x:c>
    </x:row>
    <x:row r="19">
      <x:c r="A19" s="80" t="n">
        <x:v>0.65</x:v>
      </x:c>
      <x:c r="B19" s="80" t="n">
        <x:f>1-A19</x:f>
        <x:v>0.35</x:v>
      </x:c>
      <x:c r="C19" s="80" t="n">
        <x:f>A19</x:f>
        <x:v>0.65</x:v>
      </x:c>
      <x:c r="D19" s="82" t="n">
        <x:f>IFERROR(C19/B19,0)</x:f>
        <x:v>1.8571428571428574</x:v>
      </x:c>
      <x:c r="E19" s="74" t="n">
        <x:f>A19+Assumptions!$C$12+Assumptions!$C$11*A19</x:f>
        <x:v>0.653</x:v>
      </x:c>
      <x:c r="F19" s="74" t="n">
        <x:f>MAX(0,IFERROR((MIN(A19+0.01,0.999)-A19-Assumptions!$C$12-Assumptions!$C$11*A19)/(1-A19),0))</x:f>
        <x:v>0.020000000000000028</x:v>
      </x:c>
      <x:c r="G19" s="74" t="n">
        <x:f>MAX(0,IFERROR((MIN(A19+0.03,0.999)-A19-Assumptions!$C$12-Assumptions!$C$11*A19)/(1-A19),0))</x:f>
        <x:v>0.07714285714285722</x:v>
      </x:c>
      <x:c r="H19" s="74" t="n">
        <x:f>MAX(0,IFERROR((MIN(A19+0.05,0.999)-A19-Assumptions!$C$12-Assumptions!$C$11*A19)/(1-A19),0))</x:f>
        <x:v>0.13428571428571442</x:v>
      </x:c>
      <x:c r="I19" s="74" t="n">
        <x:f>MIN(Assumptions!$C$8*G19,Assumptions!$C$5)</x:f>
        <x:v>0.005</x:v>
      </x:c>
      <x:c r="J19" t="str">
        <x:f>IF(A19&gt;=0.95,"0.95区：必须有极强校准证据",IF(A19&gt;=0.9,"边界价：提高门槛/降仓位","正常价区"))</x:f>
        <x:v>正常价区</x:v>
      </x:c>
      <x:c r="K19" t="str">
        <x:f>IF(A19&gt;=0.9,"Boundary","Normal")</x:f>
        <x:v>Normal</x:v>
      </x:c>
    </x:row>
    <x:row r="20">
      <x:c r="A20" s="80" t="n">
        <x:v>0.66</x:v>
      </x:c>
      <x:c r="B20" s="80" t="n">
        <x:f>1-A20</x:f>
        <x:v>0.33999999999999997</x:v>
      </x:c>
      <x:c r="C20" s="80" t="n">
        <x:f>A20</x:f>
        <x:v>0.66</x:v>
      </x:c>
      <x:c r="D20" s="82" t="n">
        <x:f>IFERROR(C20/B20,0)</x:f>
        <x:v>1.9411764705882355</x:v>
      </x:c>
      <x:c r="E20" s="74" t="n">
        <x:f>A20+Assumptions!$C$12+Assumptions!$C$11*A20</x:f>
        <x:v>0.663</x:v>
      </x:c>
      <x:c r="F20" s="74" t="n">
        <x:f>MAX(0,IFERROR((MIN(A20+0.01,0.999)-A20-Assumptions!$C$12-Assumptions!$C$11*A20)/(1-A20),0))</x:f>
        <x:v>0.020588235294117675</x:v>
      </x:c>
      <x:c r="G20" s="74" t="n">
        <x:f>MAX(0,IFERROR((MIN(A20+0.03,0.999)-A20-Assumptions!$C$12-Assumptions!$C$11*A20)/(1-A20),0))</x:f>
        <x:v>0.07941176470588245</x:v>
      </x:c>
      <x:c r="H20" s="74" t="n">
        <x:f>MAX(0,IFERROR((MIN(A20+0.05,0.999)-A20-Assumptions!$C$12-Assumptions!$C$11*A20)/(1-A20),0))</x:f>
        <x:v>0.1382352941176472</x:v>
      </x:c>
      <x:c r="I20" s="74" t="n">
        <x:f>MIN(Assumptions!$C$8*G20,Assumptions!$C$5)</x:f>
        <x:v>0.005</x:v>
      </x:c>
      <x:c r="J20" t="str">
        <x:f>IF(A20&gt;=0.95,"0.95区：必须有极强校准证据",IF(A20&gt;=0.9,"边界价：提高门槛/降仓位","正常价区"))</x:f>
        <x:v>正常价区</x:v>
      </x:c>
      <x:c r="K20" t="str">
        <x:f>IF(A20&gt;=0.9,"Boundary","Normal")</x:f>
        <x:v>Normal</x:v>
      </x:c>
    </x:row>
    <x:row r="21">
      <x:c r="A21" s="80" t="n">
        <x:v>0.67</x:v>
      </x:c>
      <x:c r="B21" s="80" t="n">
        <x:f>1-A21</x:f>
        <x:v>0.32999999999999996</x:v>
      </x:c>
      <x:c r="C21" s="80" t="n">
        <x:f>A21</x:f>
        <x:v>0.67</x:v>
      </x:c>
      <x:c r="D21" s="82" t="n">
        <x:f>IFERROR(C21/B21,0)</x:f>
        <x:v>2.0303030303030307</x:v>
      </x:c>
      <x:c r="E21" s="74" t="n">
        <x:f>A21+Assumptions!$C$12+Assumptions!$C$11*A21</x:f>
        <x:v>0.673</x:v>
      </x:c>
      <x:c r="F21" s="74" t="n">
        <x:f>MAX(0,IFERROR((MIN(A21+0.01,0.999)-A21-Assumptions!$C$12-Assumptions!$C$11*A21)/(1-A21),0))</x:f>
        <x:v>0.02121212121212124</x:v>
      </x:c>
      <x:c r="G21" s="74" t="n">
        <x:f>MAX(0,IFERROR((MIN(A21+0.03,0.999)-A21-Assumptions!$C$12-Assumptions!$C$11*A21)/(1-A21),0))</x:f>
        <x:v>0.08181818181818191</x:v>
      </x:c>
      <x:c r="H21" s="74" t="n">
        <x:f>MAX(0,IFERROR((MIN(A21+0.05,0.999)-A21-Assumptions!$C$12-Assumptions!$C$11*A21)/(1-A21),0))</x:f>
        <x:v>0.14242424242424256</x:v>
      </x:c>
      <x:c r="I21" s="74" t="n">
        <x:f>MIN(Assumptions!$C$8*G21,Assumptions!$C$5)</x:f>
        <x:v>0.005</x:v>
      </x:c>
      <x:c r="J21" t="str">
        <x:f>IF(A21&gt;=0.95,"0.95区：必须有极强校准证据",IF(A21&gt;=0.9,"边界价：提高门槛/降仓位","正常价区"))</x:f>
        <x:v>正常价区</x:v>
      </x:c>
      <x:c r="K21" t="str">
        <x:f>IF(A21&gt;=0.9,"Boundary","Normal")</x:f>
        <x:v>Normal</x:v>
      </x:c>
    </x:row>
    <x:row r="22">
      <x:c r="A22" s="80" t="n">
        <x:v>0.68</x:v>
      </x:c>
      <x:c r="B22" s="80" t="n">
        <x:f>1-A22</x:f>
        <x:v>0.31999999999999995</x:v>
      </x:c>
      <x:c r="C22" s="80" t="n">
        <x:f>A22</x:f>
        <x:v>0.68</x:v>
      </x:c>
      <x:c r="D22" s="82" t="n">
        <x:f>IFERROR(C22/B22,0)</x:f>
        <x:v>2.1250000000000004</x:v>
      </x:c>
      <x:c r="E22" s="74" t="n">
        <x:f>A22+Assumptions!$C$12+Assumptions!$C$11*A22</x:f>
        <x:v>0.683</x:v>
      </x:c>
      <x:c r="F22" s="74" t="n">
        <x:f>MAX(0,IFERROR((MIN(A22+0.01,0.999)-A22-Assumptions!$C$12-Assumptions!$C$11*A22)/(1-A22),0))</x:f>
        <x:v>0.02187500000000003</x:v>
      </x:c>
      <x:c r="G22" s="74" t="n">
        <x:f>MAX(0,IFERROR((MIN(A22+0.03,0.999)-A22-Assumptions!$C$12-Assumptions!$C$11*A22)/(1-A22),0))</x:f>
        <x:v>0.0843750000000001</x:v>
      </x:c>
      <x:c r="H22" s="74" t="n">
        <x:f>MAX(0,IFERROR((MIN(A22+0.05,0.999)-A22-Assumptions!$C$12-Assumptions!$C$11*A22)/(1-A22),0))</x:f>
        <x:v>0.14687500000000014</x:v>
      </x:c>
      <x:c r="I22" s="74" t="n">
        <x:f>MIN(Assumptions!$C$8*G22,Assumptions!$C$5)</x:f>
        <x:v>0.005</x:v>
      </x:c>
      <x:c r="J22" t="str">
        <x:f>IF(A22&gt;=0.95,"0.95区：必须有极强校准证据",IF(A22&gt;=0.9,"边界价：提高门槛/降仓位","正常价区"))</x:f>
        <x:v>正常价区</x:v>
      </x:c>
      <x:c r="K22" t="str">
        <x:f>IF(A22&gt;=0.9,"Boundary","Normal")</x:f>
        <x:v>Normal</x:v>
      </x:c>
    </x:row>
    <x:row r="23">
      <x:c r="A23" s="80" t="n">
        <x:v>0.69</x:v>
      </x:c>
      <x:c r="B23" s="80" t="n">
        <x:f>1-A23</x:f>
        <x:v>0.31000000000000005</x:v>
      </x:c>
      <x:c r="C23" s="80" t="n">
        <x:f>A23</x:f>
        <x:v>0.69</x:v>
      </x:c>
      <x:c r="D23" s="82" t="n">
        <x:f>IFERROR(C23/B23,0)</x:f>
        <x:v>2.2258064516129026</x:v>
      </x:c>
      <x:c r="E23" s="74" t="n">
        <x:f>A23+Assumptions!$C$12+Assumptions!$C$11*A23</x:f>
        <x:v>0.693</x:v>
      </x:c>
      <x:c r="F23" s="74" t="n">
        <x:f>MAX(0,IFERROR((MIN(A23+0.01,0.999)-A23-Assumptions!$C$12-Assumptions!$C$11*A23)/(1-A23),0))</x:f>
        <x:v>0.022580645161290346</x:v>
      </x:c>
      <x:c r="G23" s="74" t="n">
        <x:f>MAX(0,IFERROR((MIN(A23+0.03,0.999)-A23-Assumptions!$C$12-Assumptions!$C$11*A23)/(1-A23),0))</x:f>
        <x:v>0.08709677419354846</x:v>
      </x:c>
      <x:c r="H23" s="74" t="n">
        <x:f>MAX(0,IFERROR((MIN(A23+0.05,0.999)-A23-Assumptions!$C$12-Assumptions!$C$11*A23)/(1-A23),0))</x:f>
        <x:v>0.15161290322580656</x:v>
      </x:c>
      <x:c r="I23" s="74" t="n">
        <x:f>MIN(Assumptions!$C$8*G23,Assumptions!$C$5)</x:f>
        <x:v>0.005</x:v>
      </x:c>
      <x:c r="J23" t="str">
        <x:f>IF(A23&gt;=0.95,"0.95区：必须有极强校准证据",IF(A23&gt;=0.9,"边界价：提高门槛/降仓位","正常价区"))</x:f>
        <x:v>正常价区</x:v>
      </x:c>
      <x:c r="K23" t="str">
        <x:f>IF(A23&gt;=0.9,"Boundary","Normal")</x:f>
        <x:v>Normal</x:v>
      </x:c>
    </x:row>
    <x:row r="24">
      <x:c r="A24" s="80" t="n">
        <x:v>0.7</x:v>
      </x:c>
      <x:c r="B24" s="80" t="n">
        <x:f>1-A24</x:f>
        <x:v>0.30000000000000004</x:v>
      </x:c>
      <x:c r="C24" s="80" t="n">
        <x:f>A24</x:f>
        <x:v>0.7</x:v>
      </x:c>
      <x:c r="D24" s="82" t="n">
        <x:f>IFERROR(C24/B24,0)</x:f>
        <x:v>2.333333333333333</x:v>
      </x:c>
      <x:c r="E24" s="74" t="n">
        <x:f>A24+Assumptions!$C$12+Assumptions!$C$11*A24</x:f>
        <x:v>0.703</x:v>
      </x:c>
      <x:c r="F24" s="74" t="n">
        <x:f>MAX(0,IFERROR((MIN(A24+0.01,0.999)-A24-Assumptions!$C$12-Assumptions!$C$11*A24)/(1-A24),0))</x:f>
        <x:v>0.02333333333333336</x:v>
      </x:c>
      <x:c r="G24" s="74" t="n">
        <x:f>MAX(0,IFERROR((MIN(A24+0.03,0.999)-A24-Assumptions!$C$12-Assumptions!$C$11*A24)/(1-A24),0))</x:f>
        <x:v>0.09000000000000008</x:v>
      </x:c>
      <x:c r="H24" s="74" t="n">
        <x:f>MAX(0,IFERROR((MIN(A24+0.05,0.999)-A24-Assumptions!$C$12-Assumptions!$C$11*A24)/(1-A24),0))</x:f>
        <x:v>0.1566666666666668</x:v>
      </x:c>
      <x:c r="I24" s="74" t="n">
        <x:f>MIN(Assumptions!$C$8*G24,Assumptions!$C$5)</x:f>
        <x:v>0.005</x:v>
      </x:c>
      <x:c r="J24" t="str">
        <x:f>IF(A24&gt;=0.95,"0.95区：必须有极强校准证据",IF(A24&gt;=0.9,"边界价：提高门槛/降仓位","正常价区"))</x:f>
        <x:v>正常价区</x:v>
      </x:c>
      <x:c r="K24" t="str">
        <x:f>IF(A24&gt;=0.9,"Boundary","Normal")</x:f>
        <x:v>Normal</x:v>
      </x:c>
    </x:row>
    <x:row r="25">
      <x:c r="A25" s="80" t="n">
        <x:v>0.71</x:v>
      </x:c>
      <x:c r="B25" s="80" t="n">
        <x:f>1-A25</x:f>
        <x:v>0.29000000000000004</x:v>
      </x:c>
      <x:c r="C25" s="80" t="n">
        <x:f>A25</x:f>
        <x:v>0.71</x:v>
      </x:c>
      <x:c r="D25" s="82" t="n">
        <x:f>IFERROR(C25/B25,0)</x:f>
        <x:v>2.4482758620689653</x:v>
      </x:c>
      <x:c r="E25" s="74" t="n">
        <x:f>A25+Assumptions!$C$12+Assumptions!$C$11*A25</x:f>
        <x:v>0.713</x:v>
      </x:c>
      <x:c r="F25" s="74" t="n">
        <x:f>MAX(0,IFERROR((MIN(A25+0.01,0.999)-A25-Assumptions!$C$12-Assumptions!$C$11*A25)/(1-A25),0))</x:f>
        <x:v>0.024137931034482786</x:v>
      </x:c>
      <x:c r="G25" s="74" t="n">
        <x:f>MAX(0,IFERROR((MIN(A25+0.03,0.999)-A25-Assumptions!$C$12-Assumptions!$C$11*A25)/(1-A25),0))</x:f>
        <x:v>0.09310344827586216</x:v>
      </x:c>
      <x:c r="H25" s="74" t="n">
        <x:f>MAX(0,IFERROR((MIN(A25+0.05,0.999)-A25-Assumptions!$C$12-Assumptions!$C$11*A25)/(1-A25),0))</x:f>
        <x:v>0.1620689655172415</x:v>
      </x:c>
      <x:c r="I25" s="74" t="n">
        <x:f>MIN(Assumptions!$C$8*G25,Assumptions!$C$5)</x:f>
        <x:v>0.005</x:v>
      </x:c>
      <x:c r="J25" t="str">
        <x:f>IF(A25&gt;=0.95,"0.95区：必须有极强校准证据",IF(A25&gt;=0.9,"边界价：提高门槛/降仓位","正常价区"))</x:f>
        <x:v>正常价区</x:v>
      </x:c>
      <x:c r="K25" t="str">
        <x:f>IF(A25&gt;=0.9,"Boundary","Normal")</x:f>
        <x:v>Normal</x:v>
      </x:c>
    </x:row>
    <x:row r="26">
      <x:c r="A26" s="80" t="n">
        <x:v>0.72</x:v>
      </x:c>
      <x:c r="B26" s="80" t="n">
        <x:f>1-A26</x:f>
        <x:v>0.28</x:v>
      </x:c>
      <x:c r="C26" s="80" t="n">
        <x:f>A26</x:f>
        <x:v>0.72</x:v>
      </x:c>
      <x:c r="D26" s="82" t="n">
        <x:f>IFERROR(C26/B26,0)</x:f>
        <x:v>2.571428571428571</x:v>
      </x:c>
      <x:c r="E26" s="74" t="n">
        <x:f>A26+Assumptions!$C$12+Assumptions!$C$11*A26</x:f>
        <x:v>0.723</x:v>
      </x:c>
      <x:c r="F26" s="74" t="n">
        <x:f>MAX(0,IFERROR((MIN(A26+0.01,0.999)-A26-Assumptions!$C$12-Assumptions!$C$11*A26)/(1-A26),0))</x:f>
        <x:v>0.02500000000000003</x:v>
      </x:c>
      <x:c r="G26" s="74" t="n">
        <x:f>MAX(0,IFERROR((MIN(A26+0.03,0.999)-A26-Assumptions!$C$12-Assumptions!$C$11*A26)/(1-A26),0))</x:f>
        <x:v>0.09642857142857152</x:v>
      </x:c>
      <x:c r="H26" s="74" t="n">
        <x:f>MAX(0,IFERROR((MIN(A26+0.05,0.999)-A26-Assumptions!$C$12-Assumptions!$C$11*A26)/(1-A26),0))</x:f>
        <x:v>0.16785714285714298</x:v>
      </x:c>
      <x:c r="I26" s="74" t="n">
        <x:f>MIN(Assumptions!$C$8*G26,Assumptions!$C$5)</x:f>
        <x:v>0.005</x:v>
      </x:c>
      <x:c r="J26" t="str">
        <x:f>IF(A26&gt;=0.95,"0.95区：必须有极强校准证据",IF(A26&gt;=0.9,"边界价：提高门槛/降仓位","正常价区"))</x:f>
        <x:v>正常价区</x:v>
      </x:c>
      <x:c r="K26" t="str">
        <x:f>IF(A26&gt;=0.9,"Boundary","Normal")</x:f>
        <x:v>Normal</x:v>
      </x:c>
    </x:row>
    <x:row r="27">
      <x:c r="A27" s="80" t="n">
        <x:v>0.73</x:v>
      </x:c>
      <x:c r="B27" s="80" t="n">
        <x:f>1-A27</x:f>
        <x:v>0.27</x:v>
      </x:c>
      <x:c r="C27" s="80" t="n">
        <x:f>A27</x:f>
        <x:v>0.73</x:v>
      </x:c>
      <x:c r="D27" s="82" t="n">
        <x:f>IFERROR(C27/B27,0)</x:f>
        <x:v>2.7037037037037033</x:v>
      </x:c>
      <x:c r="E27" s="74" t="n">
        <x:f>A27+Assumptions!$C$12+Assumptions!$C$11*A27</x:f>
        <x:v>0.733</x:v>
      </x:c>
      <x:c r="F27" s="74" t="n">
        <x:f>MAX(0,IFERROR((MIN(A27+0.01,0.999)-A27-Assumptions!$C$12-Assumptions!$C$11*A27)/(1-A27),0))</x:f>
        <x:v>0.025925925925925956</x:v>
      </x:c>
      <x:c r="G27" s="74" t="n">
        <x:f>MAX(0,IFERROR((MIN(A27+0.03,0.999)-A27-Assumptions!$C$12-Assumptions!$C$11*A27)/(1-A27),0))</x:f>
        <x:v>0.10000000000000009</x:v>
      </x:c>
      <x:c r="H27" s="74" t="n">
        <x:f>MAX(0,IFERROR((MIN(A27+0.05,0.999)-A27-Assumptions!$C$12-Assumptions!$C$11*A27)/(1-A27),0))</x:f>
        <x:v>0.17407407407407421</x:v>
      </x:c>
      <x:c r="I27" s="74" t="n">
        <x:f>MIN(Assumptions!$C$8*G27,Assumptions!$C$5)</x:f>
        <x:v>0.005</x:v>
      </x:c>
      <x:c r="J27" t="str">
        <x:f>IF(A27&gt;=0.95,"0.95区：必须有极强校准证据",IF(A27&gt;=0.9,"边界价：提高门槛/降仓位","正常价区"))</x:f>
        <x:v>正常价区</x:v>
      </x:c>
      <x:c r="K27" t="str">
        <x:f>IF(A27&gt;=0.9,"Boundary","Normal")</x:f>
        <x:v>Normal</x:v>
      </x:c>
    </x:row>
    <x:row r="28">
      <x:c r="A28" s="80" t="n">
        <x:v>0.74</x:v>
      </x:c>
      <x:c r="B28" s="80" t="n">
        <x:f>1-A28</x:f>
        <x:v>0.26</x:v>
      </x:c>
      <x:c r="C28" s="80" t="n">
        <x:f>A28</x:f>
        <x:v>0.74</x:v>
      </x:c>
      <x:c r="D28" s="82" t="n">
        <x:f>IFERROR(C28/B28,0)</x:f>
        <x:v>2.846153846153846</x:v>
      </x:c>
      <x:c r="E28" s="74" t="n">
        <x:f>A28+Assumptions!$C$12+Assumptions!$C$11*A28</x:f>
        <x:v>0.743</x:v>
      </x:c>
      <x:c r="F28" s="74" t="n">
        <x:f>MAX(0,IFERROR((MIN(A28+0.01,0.999)-A28-Assumptions!$C$12-Assumptions!$C$11*A28)/(1-A28),0))</x:f>
        <x:v>0.026923076923076956</x:v>
      </x:c>
      <x:c r="G28" s="74" t="n">
        <x:f>MAX(0,IFERROR((MIN(A28+0.03,0.999)-A28-Assumptions!$C$12-Assumptions!$C$11*A28)/(1-A28),0))</x:f>
        <x:v>0.10384615384615395</x:v>
      </x:c>
      <x:c r="H28" s="74" t="n">
        <x:f>MAX(0,IFERROR((MIN(A28+0.05,0.999)-A28-Assumptions!$C$12-Assumptions!$C$11*A28)/(1-A28),0))</x:f>
        <x:v>0.18076923076923093</x:v>
      </x:c>
      <x:c r="I28" s="74" t="n">
        <x:f>MIN(Assumptions!$C$8*G28,Assumptions!$C$5)</x:f>
        <x:v>0.005</x:v>
      </x:c>
      <x:c r="J28" t="str">
        <x:f>IF(A28&gt;=0.95,"0.95区：必须有极强校准证据",IF(A28&gt;=0.9,"边界价：提高门槛/降仓位","正常价区"))</x:f>
        <x:v>正常价区</x:v>
      </x:c>
      <x:c r="K28" t="str">
        <x:f>IF(A28&gt;=0.9,"Boundary","Normal")</x:f>
        <x:v>Normal</x:v>
      </x:c>
    </x:row>
    <x:row r="29">
      <x:c r="A29" s="80" t="n">
        <x:v>0.75</x:v>
      </x:c>
      <x:c r="B29" s="80" t="n">
        <x:f>1-A29</x:f>
        <x:v>0.25</x:v>
      </x:c>
      <x:c r="C29" s="80" t="n">
        <x:f>A29</x:f>
        <x:v>0.75</x:v>
      </x:c>
      <x:c r="D29" s="82" t="n">
        <x:f>IFERROR(C29/B29,0)</x:f>
        <x:v>3</x:v>
      </x:c>
      <x:c r="E29" s="74" t="n">
        <x:f>A29+Assumptions!$C$12+Assumptions!$C$11*A29</x:f>
        <x:v>0.753</x:v>
      </x:c>
      <x:c r="F29" s="74" t="n">
        <x:f>MAX(0,IFERROR((MIN(A29+0.01,0.999)-A29-Assumptions!$C$12-Assumptions!$C$11*A29)/(1-A29),0))</x:f>
        <x:v>0.028000000000000035</x:v>
      </x:c>
      <x:c r="G29" s="74" t="n">
        <x:f>MAX(0,IFERROR((MIN(A29+0.03,0.999)-A29-Assumptions!$C$12-Assumptions!$C$11*A29)/(1-A29),0))</x:f>
        <x:v>0.10800000000000011</x:v>
      </x:c>
      <x:c r="H29" s="74" t="n">
        <x:f>MAX(0,IFERROR((MIN(A29+0.05,0.999)-A29-Assumptions!$C$12-Assumptions!$C$11*A29)/(1-A29),0))</x:f>
        <x:v>0.18800000000000017</x:v>
      </x:c>
      <x:c r="I29" s="74" t="n">
        <x:f>MIN(Assumptions!$C$8*G29,Assumptions!$C$5)</x:f>
        <x:v>0.005</x:v>
      </x:c>
      <x:c r="J29" t="str">
        <x:f>IF(A29&gt;=0.95,"0.95区：必须有极强校准证据",IF(A29&gt;=0.9,"边界价：提高门槛/降仓位","正常价区"))</x:f>
        <x:v>正常价区</x:v>
      </x:c>
      <x:c r="K29" t="str">
        <x:f>IF(A29&gt;=0.9,"Boundary","Normal")</x:f>
        <x:v>Normal</x:v>
      </x:c>
    </x:row>
    <x:row r="30">
      <x:c r="A30" s="80" t="n">
        <x:v>0.76</x:v>
      </x:c>
      <x:c r="B30" s="80" t="n">
        <x:f>1-A30</x:f>
        <x:v>0.24</x:v>
      </x:c>
      <x:c r="C30" s="80" t="n">
        <x:f>A30</x:f>
        <x:v>0.76</x:v>
      </x:c>
      <x:c r="D30" s="82" t="n">
        <x:f>IFERROR(C30/B30,0)</x:f>
        <x:v>3.166666666666667</x:v>
      </x:c>
      <x:c r="E30" s="74" t="n">
        <x:f>A30+Assumptions!$C$12+Assumptions!$C$11*A30</x:f>
        <x:v>0.763</x:v>
      </x:c>
      <x:c r="F30" s="74" t="n">
        <x:f>MAX(0,IFERROR((MIN(A30+0.01,0.999)-A30-Assumptions!$C$12-Assumptions!$C$11*A30)/(1-A30),0))</x:f>
        <x:v>0.029166666666666705</x:v>
      </x:c>
      <x:c r="G30" s="74" t="n">
        <x:f>MAX(0,IFERROR((MIN(A30+0.03,0.999)-A30-Assumptions!$C$12-Assumptions!$C$11*A30)/(1-A30),0))</x:f>
        <x:v>0.11250000000000011</x:v>
      </x:c>
      <x:c r="H30" s="74" t="n">
        <x:f>MAX(0,IFERROR((MIN(A30+0.05,0.999)-A30-Assumptions!$C$12-Assumptions!$C$11*A30)/(1-A30),0))</x:f>
        <x:v>0.19583333333333353</x:v>
      </x:c>
      <x:c r="I30" s="74" t="n">
        <x:f>MIN(Assumptions!$C$8*G30,Assumptions!$C$5)</x:f>
        <x:v>0.005</x:v>
      </x:c>
      <x:c r="J30" t="str">
        <x:f>IF(A30&gt;=0.95,"0.95区：必须有极强校准证据",IF(A30&gt;=0.9,"边界价：提高门槛/降仓位","正常价区"))</x:f>
        <x:v>正常价区</x:v>
      </x:c>
      <x:c r="K30" t="str">
        <x:f>IF(A30&gt;=0.9,"Boundary","Normal")</x:f>
        <x:v>Normal</x:v>
      </x:c>
    </x:row>
    <x:row r="31">
      <x:c r="A31" s="80" t="n">
        <x:v>0.77</x:v>
      </x:c>
      <x:c r="B31" s="80" t="n">
        <x:f>1-A31</x:f>
        <x:v>0.22999999999999998</x:v>
      </x:c>
      <x:c r="C31" s="80" t="n">
        <x:f>A31</x:f>
        <x:v>0.77</x:v>
      </x:c>
      <x:c r="D31" s="82" t="n">
        <x:f>IFERROR(C31/B31,0)</x:f>
        <x:v>3.347826086956522</x:v>
      </x:c>
      <x:c r="E31" s="74" t="n">
        <x:f>A31+Assumptions!$C$12+Assumptions!$C$11*A31</x:f>
        <x:v>0.773</x:v>
      </x:c>
      <x:c r="F31" s="74" t="n">
        <x:f>MAX(0,IFERROR((MIN(A31+0.01,0.999)-A31-Assumptions!$C$12-Assumptions!$C$11*A31)/(1-A31),0))</x:f>
        <x:v>0.03043478260869569</x:v>
      </x:c>
      <x:c r="G31" s="74" t="n">
        <x:f>MAX(0,IFERROR((MIN(A31+0.03,0.999)-A31-Assumptions!$C$12-Assumptions!$C$11*A31)/(1-A31),0))</x:f>
        <x:v>0.11739130434782621</x:v>
      </x:c>
      <x:c r="H31" s="74" t="n">
        <x:f>MAX(0,IFERROR((MIN(A31+0.05,0.999)-A31-Assumptions!$C$12-Assumptions!$C$11*A31)/(1-A31),0))</x:f>
        <x:v>0.20434782608695673</x:v>
      </x:c>
      <x:c r="I31" s="74" t="n">
        <x:f>MIN(Assumptions!$C$8*G31,Assumptions!$C$5)</x:f>
        <x:v>0.005</x:v>
      </x:c>
      <x:c r="J31" t="str">
        <x:f>IF(A31&gt;=0.95,"0.95区：必须有极强校准证据",IF(A31&gt;=0.9,"边界价：提高门槛/降仓位","正常价区"))</x:f>
        <x:v>正常价区</x:v>
      </x:c>
      <x:c r="K31" t="str">
        <x:f>IF(A31&gt;=0.9,"Boundary","Normal")</x:f>
        <x:v>Normal</x:v>
      </x:c>
    </x:row>
    <x:row r="32">
      <x:c r="A32" s="80" t="n">
        <x:v>0.78</x:v>
      </x:c>
      <x:c r="B32" s="80" t="n">
        <x:f>1-A32</x:f>
        <x:v>0.21999999999999997</x:v>
      </x:c>
      <x:c r="C32" s="80" t="n">
        <x:f>A32</x:f>
        <x:v>0.78</x:v>
      </x:c>
      <x:c r="D32" s="82" t="n">
        <x:f>IFERROR(C32/B32,0)</x:f>
        <x:v>3.545454545454546</x:v>
      </x:c>
      <x:c r="E32" s="74" t="n">
        <x:f>A32+Assumptions!$C$12+Assumptions!$C$11*A32</x:f>
        <x:v>0.783</x:v>
      </x:c>
      <x:c r="F32" s="74" t="n">
        <x:f>MAX(0,IFERROR((MIN(A32+0.01,0.999)-A32-Assumptions!$C$12-Assumptions!$C$11*A32)/(1-A32),0))</x:f>
        <x:v>0.031818181818181863</x:v>
      </x:c>
      <x:c r="G32" s="74" t="n">
        <x:f>MAX(0,IFERROR((MIN(A32+0.03,0.999)-A32-Assumptions!$C$12-Assumptions!$C$11*A32)/(1-A32),0))</x:f>
        <x:v>0.12272727272727287</x:v>
      </x:c>
      <x:c r="H32" s="74" t="n">
        <x:f>MAX(0,IFERROR((MIN(A32+0.05,0.999)-A32-Assumptions!$C$12-Assumptions!$C$11*A32)/(1-A32),0))</x:f>
        <x:v>0.21363636363636385</x:v>
      </x:c>
      <x:c r="I32" s="74" t="n">
        <x:f>MIN(Assumptions!$C$8*G32,Assumptions!$C$5)</x:f>
        <x:v>0.005</x:v>
      </x:c>
      <x:c r="J32" t="str">
        <x:f>IF(A32&gt;=0.95,"0.95区：必须有极强校准证据",IF(A32&gt;=0.9,"边界价：提高门槛/降仓位","正常价区"))</x:f>
        <x:v>正常价区</x:v>
      </x:c>
      <x:c r="K32" t="str">
        <x:f>IF(A32&gt;=0.9,"Boundary","Normal")</x:f>
        <x:v>Normal</x:v>
      </x:c>
    </x:row>
    <x:row r="33">
      <x:c r="A33" s="80" t="n">
        <x:v>0.79</x:v>
      </x:c>
      <x:c r="B33" s="80" t="n">
        <x:f>1-A33</x:f>
        <x:v>0.20999999999999996</x:v>
      </x:c>
      <x:c r="C33" s="80" t="n">
        <x:f>A33</x:f>
        <x:v>0.79</x:v>
      </x:c>
      <x:c r="D33" s="82" t="n">
        <x:f>IFERROR(C33/B33,0)</x:f>
        <x:v>3.7619047619047628</x:v>
      </x:c>
      <x:c r="E33" s="74" t="n">
        <x:f>A33+Assumptions!$C$12+Assumptions!$C$11*A33</x:f>
        <x:v>0.793</x:v>
      </x:c>
      <x:c r="F33" s="74" t="n">
        <x:f>MAX(0,IFERROR((MIN(A33+0.01,0.999)-A33-Assumptions!$C$12-Assumptions!$C$11*A33)/(1-A33),0))</x:f>
        <x:v>0.03333333333333338</x:v>
      </x:c>
      <x:c r="G33" s="74" t="n">
        <x:f>MAX(0,IFERROR((MIN(A33+0.03,0.999)-A33-Assumptions!$C$12-Assumptions!$C$11*A33)/(1-A33),0))</x:f>
        <x:v>0.12857142857142873</x:v>
      </x:c>
      <x:c r="H33" s="74" t="n">
        <x:f>MAX(0,IFERROR((MIN(A33+0.05,0.999)-A33-Assumptions!$C$12-Assumptions!$C$11*A33)/(1-A33),0))</x:f>
        <x:v>0.22380952380952404</x:v>
      </x:c>
      <x:c r="I33" s="74" t="n">
        <x:f>MIN(Assumptions!$C$8*G33,Assumptions!$C$5)</x:f>
        <x:v>0.005</x:v>
      </x:c>
      <x:c r="J33" t="str">
        <x:f>IF(A33&gt;=0.95,"0.95区：必须有极强校准证据",IF(A33&gt;=0.9,"边界价：提高门槛/降仓位","正常价区"))</x:f>
        <x:v>正常价区</x:v>
      </x:c>
      <x:c r="K33" t="str">
        <x:f>IF(A33&gt;=0.9,"Boundary","Normal")</x:f>
        <x:v>Normal</x:v>
      </x:c>
    </x:row>
    <x:row r="34">
      <x:c r="A34" s="80" t="n">
        <x:v>0.8</x:v>
      </x:c>
      <x:c r="B34" s="80" t="n">
        <x:f>1-A34</x:f>
        <x:v>0.19999999999999996</x:v>
      </x:c>
      <x:c r="C34" s="80" t="n">
        <x:f>A34</x:f>
        <x:v>0.8</x:v>
      </x:c>
      <x:c r="D34" s="82" t="n">
        <x:f>IFERROR(C34/B34,0)</x:f>
        <x:v>4.000000000000001</x:v>
      </x:c>
      <x:c r="E34" s="74" t="n">
        <x:f>A34+Assumptions!$C$12+Assumptions!$C$11*A34</x:f>
        <x:v>0.803</x:v>
      </x:c>
      <x:c r="F34" s="74" t="n">
        <x:f>MAX(0,IFERROR((MIN(A34+0.01,0.999)-A34-Assumptions!$C$12-Assumptions!$C$11*A34)/(1-A34),0))</x:f>
        <x:v>0.03500000000000005</x:v>
      </x:c>
      <x:c r="G34" s="74" t="n">
        <x:f>MAX(0,IFERROR((MIN(A34+0.03,0.999)-A34-Assumptions!$C$12-Assumptions!$C$11*A34)/(1-A34),0))</x:f>
        <x:v>0.13500000000000018</x:v>
      </x:c>
      <x:c r="H34" s="74" t="n">
        <x:f>MAX(0,IFERROR((MIN(A34+0.05,0.999)-A34-Assumptions!$C$12-Assumptions!$C$11*A34)/(1-A34),0))</x:f>
        <x:v>0.23500000000000026</x:v>
      </x:c>
      <x:c r="I34" s="74" t="n">
        <x:f>MIN(Assumptions!$C$8*G34,Assumptions!$C$5)</x:f>
        <x:v>0.005</x:v>
      </x:c>
      <x:c r="J34" t="str">
        <x:f>IF(A34&gt;=0.95,"0.95区：必须有极强校准证据",IF(A34&gt;=0.9,"边界价：提高门槛/降仓位","正常价区"))</x:f>
        <x:v>正常价区</x:v>
      </x:c>
      <x:c r="K34" t="str">
        <x:f>IF(A34&gt;=0.9,"Boundary","Normal")</x:f>
        <x:v>Normal</x:v>
      </x:c>
    </x:row>
    <x:row r="35">
      <x:c r="A35" s="80" t="n">
        <x:v>0.81</x:v>
      </x:c>
      <x:c r="B35" s="80" t="n">
        <x:f>1-A35</x:f>
        <x:v>0.18999999999999995</x:v>
      </x:c>
      <x:c r="C35" s="80" t="n">
        <x:f>A35</x:f>
        <x:v>0.81</x:v>
      </x:c>
      <x:c r="D35" s="82" t="n">
        <x:f>IFERROR(C35/B35,0)</x:f>
        <x:v>4.263157894736843</x:v>
      </x:c>
      <x:c r="E35" s="74" t="n">
        <x:f>A35+Assumptions!$C$12+Assumptions!$C$11*A35</x:f>
        <x:v>0.8130000000000001</x:v>
      </x:c>
      <x:c r="F35" s="74" t="n">
        <x:f>MAX(0,IFERROR((MIN(A35+0.01,0.999)-A35-Assumptions!$C$12-Assumptions!$C$11*A35)/(1-A35),0))</x:f>
        <x:v>0.036842105263157954</x:v>
      </x:c>
      <x:c r="G35" s="74" t="n">
        <x:f>MAX(0,IFERROR((MIN(A35+0.03,0.999)-A35-Assumptions!$C$12-Assumptions!$C$11*A35)/(1-A35),0))</x:f>
        <x:v>0.14210526315789493</x:v>
      </x:c>
      <x:c r="H35" s="74" t="n">
        <x:f>MAX(0,IFERROR((MIN(A35+0.05,0.999)-A35-Assumptions!$C$12-Assumptions!$C$11*A35)/(1-A35),0))</x:f>
        <x:v>0.24736842105263188</x:v>
      </x:c>
      <x:c r="I35" s="74" t="n">
        <x:f>MIN(Assumptions!$C$8*G35,Assumptions!$C$5)</x:f>
        <x:v>0.005</x:v>
      </x:c>
      <x:c r="J35" t="str">
        <x:f>IF(A35&gt;=0.95,"0.95区：必须有极强校准证据",IF(A35&gt;=0.9,"边界价：提高门槛/降仓位","正常价区"))</x:f>
        <x:v>正常价区</x:v>
      </x:c>
      <x:c r="K35" t="str">
        <x:f>IF(A35&gt;=0.9,"Boundary","Normal")</x:f>
        <x:v>Normal</x:v>
      </x:c>
    </x:row>
    <x:row r="36">
      <x:c r="A36" s="80" t="n">
        <x:v>0.82</x:v>
      </x:c>
      <x:c r="B36" s="80" t="n">
        <x:f>1-A36</x:f>
        <x:v>0.18000000000000005</x:v>
      </x:c>
      <x:c r="C36" s="80" t="n">
        <x:f>A36</x:f>
        <x:v>0.82</x:v>
      </x:c>
      <x:c r="D36" s="82" t="n">
        <x:f>IFERROR(C36/B36,0)</x:f>
        <x:v>4.5555555555555545</x:v>
      </x:c>
      <x:c r="E36" s="74" t="n">
        <x:f>A36+Assumptions!$C$12+Assumptions!$C$11*A36</x:f>
        <x:v>0.823</x:v>
      </x:c>
      <x:c r="F36" s="74" t="n">
        <x:f>MAX(0,IFERROR((MIN(A36+0.01,0.999)-A36-Assumptions!$C$12-Assumptions!$C$11*A36)/(1-A36),0))</x:f>
        <x:v>0.038888888888888924</x:v>
      </x:c>
      <x:c r="G36" s="74" t="n">
        <x:f>MAX(0,IFERROR((MIN(A36+0.03,0.999)-A36-Assumptions!$C$12-Assumptions!$C$11*A36)/(1-A36),0))</x:f>
        <x:v>0.1500000000000001</x:v>
      </x:c>
      <x:c r="H36" s="74" t="n">
        <x:f>MAX(0,IFERROR((MIN(A36+0.05,0.999)-A36-Assumptions!$C$12-Assumptions!$C$11*A36)/(1-A36),0))</x:f>
        <x:v>0.2611111111111113</x:v>
      </x:c>
      <x:c r="I36" s="74" t="n">
        <x:f>MIN(Assumptions!$C$8*G36,Assumptions!$C$5)</x:f>
        <x:v>0.005</x:v>
      </x:c>
      <x:c r="J36" t="str">
        <x:f>IF(A36&gt;=0.95,"0.95区：必须有极强校准证据",IF(A36&gt;=0.9,"边界价：提高门槛/降仓位","正常价区"))</x:f>
        <x:v>正常价区</x:v>
      </x:c>
      <x:c r="K36" t="str">
        <x:f>IF(A36&gt;=0.9,"Boundary","Normal")</x:f>
        <x:v>Normal</x:v>
      </x:c>
    </x:row>
    <x:row r="37">
      <x:c r="A37" s="80" t="n">
        <x:v>0.83</x:v>
      </x:c>
      <x:c r="B37" s="80" t="n">
        <x:f>1-A37</x:f>
        <x:v>0.17000000000000004</x:v>
      </x:c>
      <x:c r="C37" s="80" t="n">
        <x:f>A37</x:f>
        <x:v>0.83</x:v>
      </x:c>
      <x:c r="D37" s="82" t="n">
        <x:f>IFERROR(C37/B37,0)</x:f>
        <x:v>4.882352941176469</x:v>
      </x:c>
      <x:c r="E37" s="74" t="n">
        <x:f>A37+Assumptions!$C$12+Assumptions!$C$11*A37</x:f>
        <x:v>0.833</x:v>
      </x:c>
      <x:c r="F37" s="74" t="n">
        <x:f>MAX(0,IFERROR((MIN(A37+0.01,0.999)-A37-Assumptions!$C$12-Assumptions!$C$11*A37)/(1-A37),0))</x:f>
        <x:v>0.041176470588235335</x:v>
      </x:c>
      <x:c r="G37" s="74" t="n">
        <x:f>MAX(0,IFERROR((MIN(A37+0.03,0.999)-A37-Assumptions!$C$12-Assumptions!$C$11*A37)/(1-A37),0))</x:f>
        <x:v>0.15882352941176484</x:v>
      </x:c>
      <x:c r="H37" s="74" t="n">
        <x:f>MAX(0,IFERROR((MIN(A37+0.05,0.999)-A37-Assumptions!$C$12-Assumptions!$C$11*A37)/(1-A37),0))</x:f>
        <x:v>0.2764705882352943</x:v>
      </x:c>
      <x:c r="I37" s="74" t="n">
        <x:f>MIN(Assumptions!$C$8*G37,Assumptions!$C$5)</x:f>
        <x:v>0.005</x:v>
      </x:c>
      <x:c r="J37" t="str">
        <x:f>IF(A37&gt;=0.95,"0.95区：必须有极强校准证据",IF(A37&gt;=0.9,"边界价：提高门槛/降仓位","正常价区"))</x:f>
        <x:v>正常价区</x:v>
      </x:c>
      <x:c r="K37" t="str">
        <x:f>IF(A37&gt;=0.9,"Boundary","Normal")</x:f>
        <x:v>Normal</x:v>
      </x:c>
    </x:row>
    <x:row r="38">
      <x:c r="A38" s="80" t="n">
        <x:v>0.84</x:v>
      </x:c>
      <x:c r="B38" s="80" t="n">
        <x:f>1-A38</x:f>
        <x:v>0.16000000000000003</x:v>
      </x:c>
      <x:c r="C38" s="80" t="n">
        <x:f>A38</x:f>
        <x:v>0.84</x:v>
      </x:c>
      <x:c r="D38" s="82" t="n">
        <x:f>IFERROR(C38/B38,0)</x:f>
        <x:v>5.249999999999999</x:v>
      </x:c>
      <x:c r="E38" s="74" t="n">
        <x:f>A38+Assumptions!$C$12+Assumptions!$C$11*A38</x:f>
        <x:v>0.843</x:v>
      </x:c>
      <x:c r="F38" s="74" t="n">
        <x:f>MAX(0,IFERROR((MIN(A38+0.01,0.999)-A38-Assumptions!$C$12-Assumptions!$C$11*A38)/(1-A38),0))</x:f>
        <x:v>0.043750000000000046</x:v>
      </x:c>
      <x:c r="G38" s="74" t="n">
        <x:f>MAX(0,IFERROR((MIN(A38+0.03,0.999)-A38-Assumptions!$C$12-Assumptions!$C$11*A38)/(1-A38),0))</x:f>
        <x:v>0.16875000000000015</x:v>
      </x:c>
      <x:c r="H38" s="74" t="n">
        <x:f>MAX(0,IFERROR((MIN(A38+0.05,0.999)-A38-Assumptions!$C$12-Assumptions!$C$11*A38)/(1-A38),0))</x:f>
        <x:v>0.2937500000000002</x:v>
      </x:c>
      <x:c r="I38" s="74" t="n">
        <x:f>MIN(Assumptions!$C$8*G38,Assumptions!$C$5)</x:f>
        <x:v>0.005</x:v>
      </x:c>
      <x:c r="J38" t="str">
        <x:f>IF(A38&gt;=0.95,"0.95区：必须有极强校准证据",IF(A38&gt;=0.9,"边界价：提高门槛/降仓位","正常价区"))</x:f>
        <x:v>正常价区</x:v>
      </x:c>
      <x:c r="K38" t="str">
        <x:f>IF(A38&gt;=0.9,"Boundary","Normal")</x:f>
        <x:v>Normal</x:v>
      </x:c>
    </x:row>
    <x:row r="39">
      <x:c r="A39" s="80" t="n">
        <x:v>0.85</x:v>
      </x:c>
      <x:c r="B39" s="80" t="n">
        <x:f>1-A39</x:f>
        <x:v>0.15000000000000002</x:v>
      </x:c>
      <x:c r="C39" s="80" t="n">
        <x:f>A39</x:f>
        <x:v>0.85</x:v>
      </x:c>
      <x:c r="D39" s="82" t="n">
        <x:f>IFERROR(C39/B39,0)</x:f>
        <x:v>5.666666666666666</x:v>
      </x:c>
      <x:c r="E39" s="74" t="n">
        <x:f>A39+Assumptions!$C$12+Assumptions!$C$11*A39</x:f>
        <x:v>0.853</x:v>
      </x:c>
      <x:c r="F39" s="74" t="n">
        <x:f>MAX(0,IFERROR((MIN(A39+0.01,0.999)-A39-Assumptions!$C$12-Assumptions!$C$11*A39)/(1-A39),0))</x:f>
        <x:v>0.04666666666666672</x:v>
      </x:c>
      <x:c r="G39" s="74" t="n">
        <x:f>MAX(0,IFERROR((MIN(A39+0.03,0.999)-A39-Assumptions!$C$12-Assumptions!$C$11*A39)/(1-A39),0))</x:f>
        <x:v>0.18000000000000016</x:v>
      </x:c>
      <x:c r="H39" s="74" t="n">
        <x:f>MAX(0,IFERROR((MIN(A39+0.05,0.999)-A39-Assumptions!$C$12-Assumptions!$C$11*A39)/(1-A39),0))</x:f>
        <x:v>0.3133333333333336</x:v>
      </x:c>
      <x:c r="I39" s="74" t="n">
        <x:f>MIN(Assumptions!$C$8*G39,Assumptions!$C$5)</x:f>
        <x:v>0.005</x:v>
      </x:c>
      <x:c r="J39" t="str">
        <x:f>IF(A39&gt;=0.95,"0.95区：必须有极强校准证据",IF(A39&gt;=0.9,"边界价：提高门槛/降仓位","正常价区"))</x:f>
        <x:v>正常价区</x:v>
      </x:c>
      <x:c r="K39" t="str">
        <x:f>IF(A39&gt;=0.9,"Boundary","Normal")</x:f>
        <x:v>Normal</x:v>
      </x:c>
    </x:row>
    <x:row r="40">
      <x:c r="A40" s="80" t="n">
        <x:v>0.86</x:v>
      </x:c>
      <x:c r="B40" s="80" t="n">
        <x:f>1-A40</x:f>
        <x:v>0.14</x:v>
      </x:c>
      <x:c r="C40" s="80" t="n">
        <x:f>A40</x:f>
        <x:v>0.86</x:v>
      </x:c>
      <x:c r="D40" s="82" t="n">
        <x:f>IFERROR(C40/B40,0)</x:f>
        <x:v>6.142857142857142</x:v>
      </x:c>
      <x:c r="E40" s="74" t="n">
        <x:f>A40+Assumptions!$C$12+Assumptions!$C$11*A40</x:f>
        <x:v>0.863</x:v>
      </x:c>
      <x:c r="F40" s="74" t="n">
        <x:f>MAX(0,IFERROR((MIN(A40+0.01,0.999)-A40-Assumptions!$C$12-Assumptions!$C$11*A40)/(1-A40),0))</x:f>
        <x:v>0.05000000000000006</x:v>
      </x:c>
      <x:c r="G40" s="74" t="n">
        <x:f>MAX(0,IFERROR((MIN(A40+0.03,0.999)-A40-Assumptions!$C$12-Assumptions!$C$11*A40)/(1-A40),0))</x:f>
        <x:v>0.19285714285714303</x:v>
      </x:c>
      <x:c r="H40" s="74" t="n">
        <x:f>MAX(0,IFERROR((MIN(A40+0.05,0.999)-A40-Assumptions!$C$12-Assumptions!$C$11*A40)/(1-A40),0))</x:f>
        <x:v>0.33571428571428596</x:v>
      </x:c>
      <x:c r="I40" s="74" t="n">
        <x:f>MIN(Assumptions!$C$8*G40,Assumptions!$C$5)</x:f>
        <x:v>0.005</x:v>
      </x:c>
      <x:c r="J40" t="str">
        <x:f>IF(A40&gt;=0.95,"0.95区：必须有极强校准证据",IF(A40&gt;=0.9,"边界价：提高门槛/降仓位","正常价区"))</x:f>
        <x:v>正常价区</x:v>
      </x:c>
      <x:c r="K40" t="str">
        <x:f>IF(A40&gt;=0.9,"Boundary","Normal")</x:f>
        <x:v>Normal</x:v>
      </x:c>
    </x:row>
    <x:row r="41">
      <x:c r="A41" s="80" t="n">
        <x:v>0.87</x:v>
      </x:c>
      <x:c r="B41" s="80" t="n">
        <x:f>1-A41</x:f>
        <x:v>0.13</x:v>
      </x:c>
      <x:c r="C41" s="80" t="n">
        <x:f>A41</x:f>
        <x:v>0.87</x:v>
      </x:c>
      <x:c r="D41" s="82" t="n">
        <x:f>IFERROR(C41/B41,0)</x:f>
        <x:v>6.692307692307692</x:v>
      </x:c>
      <x:c r="E41" s="74" t="n">
        <x:f>A41+Assumptions!$C$12+Assumptions!$C$11*A41</x:f>
        <x:v>0.873</x:v>
      </x:c>
      <x:c r="F41" s="74" t="n">
        <x:f>MAX(0,IFERROR((MIN(A41+0.01,0.999)-A41-Assumptions!$C$12-Assumptions!$C$11*A41)/(1-A41),0))</x:f>
        <x:v>0.05384615384615391</x:v>
      </x:c>
      <x:c r="G41" s="74" t="n">
        <x:f>MAX(0,IFERROR((MIN(A41+0.03,0.999)-A41-Assumptions!$C$12-Assumptions!$C$11*A41)/(1-A41),0))</x:f>
        <x:v>0.2076923076923079</x:v>
      </x:c>
      <x:c r="H41" s="74" t="n">
        <x:f>MAX(0,IFERROR((MIN(A41+0.05,0.999)-A41-Assumptions!$C$12-Assumptions!$C$11*A41)/(1-A41),0))</x:f>
        <x:v>0.36153846153846186</x:v>
      </x:c>
      <x:c r="I41" s="74" t="n">
        <x:f>MIN(Assumptions!$C$8*G41,Assumptions!$C$5)</x:f>
        <x:v>0.005</x:v>
      </x:c>
      <x:c r="J41" t="str">
        <x:f>IF(A41&gt;=0.95,"0.95区：必须有极强校准证据",IF(A41&gt;=0.9,"边界价：提高门槛/降仓位","正常价区"))</x:f>
        <x:v>正常价区</x:v>
      </x:c>
      <x:c r="K41" t="str">
        <x:f>IF(A41&gt;=0.9,"Boundary","Normal")</x:f>
        <x:v>Normal</x:v>
      </x:c>
    </x:row>
    <x:row r="42">
      <x:c r="A42" s="80" t="n">
        <x:v>0.88</x:v>
      </x:c>
      <x:c r="B42" s="80" t="n">
        <x:f>1-A42</x:f>
        <x:v>0.12</x:v>
      </x:c>
      <x:c r="C42" s="80" t="n">
        <x:f>A42</x:f>
        <x:v>0.88</x:v>
      </x:c>
      <x:c r="D42" s="82" t="n">
        <x:f>IFERROR(C42/B42,0)</x:f>
        <x:v>7.333333333333334</x:v>
      </x:c>
      <x:c r="E42" s="74" t="n">
        <x:f>A42+Assumptions!$C$12+Assumptions!$C$11*A42</x:f>
        <x:v>0.883</x:v>
      </x:c>
      <x:c r="F42" s="74" t="n">
        <x:f>MAX(0,IFERROR((MIN(A42+0.01,0.999)-A42-Assumptions!$C$12-Assumptions!$C$11*A42)/(1-A42),0))</x:f>
        <x:v>0.05833333333333341</x:v>
      </x:c>
      <x:c r="G42" s="74" t="n">
        <x:f>MAX(0,IFERROR((MIN(A42+0.03,0.999)-A42-Assumptions!$C$12-Assumptions!$C$11*A42)/(1-A42),0))</x:f>
        <x:v>0.22500000000000023</x:v>
      </x:c>
      <x:c r="H42" s="74" t="n">
        <x:f>MAX(0,IFERROR((MIN(A42+0.05,0.999)-A42-Assumptions!$C$12-Assumptions!$C$11*A42)/(1-A42),0))</x:f>
        <x:v>0.39166666666666705</x:v>
      </x:c>
      <x:c r="I42" s="74" t="n">
        <x:f>MIN(Assumptions!$C$8*G42,Assumptions!$C$5)</x:f>
        <x:v>0.005</x:v>
      </x:c>
      <x:c r="J42" t="str">
        <x:f>IF(A42&gt;=0.95,"0.95区：必须有极强校准证据",IF(A42&gt;=0.9,"边界价：提高门槛/降仓位","正常价区"))</x:f>
        <x:v>正常价区</x:v>
      </x:c>
      <x:c r="K42" t="str">
        <x:f>IF(A42&gt;=0.9,"Boundary","Normal")</x:f>
        <x:v>Normal</x:v>
      </x:c>
    </x:row>
    <x:row r="43">
      <x:c r="A43" s="80" t="n">
        <x:v>0.89</x:v>
      </x:c>
      <x:c r="B43" s="80" t="n">
        <x:f>1-A43</x:f>
        <x:v>0.10999999999999999</x:v>
      </x:c>
      <x:c r="C43" s="80" t="n">
        <x:f>A43</x:f>
        <x:v>0.89</x:v>
      </x:c>
      <x:c r="D43" s="82" t="n">
        <x:f>IFERROR(C43/B43,0)</x:f>
        <x:v>8.090909090909092</x:v>
      </x:c>
      <x:c r="E43" s="74" t="n">
        <x:f>A43+Assumptions!$C$12+Assumptions!$C$11*A43</x:f>
        <x:v>0.893</x:v>
      </x:c>
      <x:c r="F43" s="74" t="n">
        <x:f>MAX(0,IFERROR((MIN(A43+0.01,0.999)-A43-Assumptions!$C$12-Assumptions!$C$11*A43)/(1-A43),0))</x:f>
        <x:v>0.06363636363636373</x:v>
      </x:c>
      <x:c r="G43" s="74" t="n">
        <x:f>MAX(0,IFERROR((MIN(A43+0.03,0.999)-A43-Assumptions!$C$12-Assumptions!$C$11*A43)/(1-A43),0))</x:f>
        <x:v>0.24545454545454573</x:v>
      </x:c>
      <x:c r="H43" s="74" t="n">
        <x:f>MAX(0,IFERROR((MIN(A43+0.05,0.999)-A43-Assumptions!$C$12-Assumptions!$C$11*A43)/(1-A43),0))</x:f>
        <x:v>0.4272727272727277</x:v>
      </x:c>
      <x:c r="I43" s="74" t="n">
        <x:f>MIN(Assumptions!$C$8*G43,Assumptions!$C$5)</x:f>
        <x:v>0.005</x:v>
      </x:c>
      <x:c r="J43" t="str">
        <x:f>IF(A43&gt;=0.95,"0.95区：必须有极强校准证据",IF(A43&gt;=0.9,"边界价：提高门槛/降仓位","正常价区"))</x:f>
        <x:v>正常价区</x:v>
      </x:c>
      <x:c r="K43" t="str">
        <x:f>IF(A43&gt;=0.9,"Boundary","Normal")</x:f>
        <x:v>Normal</x:v>
      </x:c>
    </x:row>
    <x:row r="44">
      <x:c r="A44" s="80" t="n">
        <x:v>0.9</x:v>
      </x:c>
      <x:c r="B44" s="80" t="n">
        <x:f>1-A44</x:f>
        <x:v>0.09999999999999998</x:v>
      </x:c>
      <x:c r="C44" s="80" t="n">
        <x:f>A44</x:f>
        <x:v>0.9</x:v>
      </x:c>
      <x:c r="D44" s="82" t="n">
        <x:f>IFERROR(C44/B44,0)</x:f>
        <x:v>9.000000000000002</x:v>
      </x:c>
      <x:c r="E44" s="74" t="n">
        <x:f>A44+Assumptions!$C$12+Assumptions!$C$11*A44</x:f>
        <x:v>0.903</x:v>
      </x:c>
      <x:c r="F44" s="74" t="n">
        <x:f>MAX(0,IFERROR((MIN(A44+0.01,0.999)-A44-Assumptions!$C$12-Assumptions!$C$11*A44)/(1-A44),0))</x:f>
        <x:v>0.0700000000000001</x:v>
      </x:c>
      <x:c r="G44" s="74" t="n">
        <x:f>MAX(0,IFERROR((MIN(A44+0.03,0.999)-A44-Assumptions!$C$12-Assumptions!$C$11*A44)/(1-A44),0))</x:f>
        <x:v>0.27000000000000035</x:v>
      </x:c>
      <x:c r="H44" s="74" t="n">
        <x:f>MAX(0,IFERROR((MIN(A44+0.05,0.999)-A44-Assumptions!$C$12-Assumptions!$C$11*A44)/(1-A44),0))</x:f>
        <x:v>0.47000000000000053</x:v>
      </x:c>
      <x:c r="I44" s="74" t="n">
        <x:f>MIN(Assumptions!$C$8*G44,Assumptions!$C$5)</x:f>
        <x:v>0.005</x:v>
      </x:c>
      <x:c r="J44" t="str">
        <x:f>IF(A44&gt;=0.95,"0.95区：必须有极强校准证据",IF(A44&gt;=0.9,"边界价：提高门槛/降仓位","正常价区"))</x:f>
        <x:v>边界价：提高门槛/降仓位</x:v>
      </x:c>
      <x:c r="K44" t="str">
        <x:f>IF(A44&gt;=0.9,"Boundary","Normal")</x:f>
        <x:v>Boundary</x:v>
      </x:c>
    </x:row>
    <x:row r="45">
      <x:c r="A45" s="80" t="n">
        <x:v>0.91</x:v>
      </x:c>
      <x:c r="B45" s="80" t="n">
        <x:f>1-A45</x:f>
        <x:v>0.08999999999999997</x:v>
      </x:c>
      <x:c r="C45" s="80" t="n">
        <x:f>A45</x:f>
        <x:v>0.91</x:v>
      </x:c>
      <x:c r="D45" s="82" t="n">
        <x:f>IFERROR(C45/B45,0)</x:f>
        <x:v>10.111111111111114</x:v>
      </x:c>
      <x:c r="E45" s="74" t="n">
        <x:f>A45+Assumptions!$C$12+Assumptions!$C$11*A45</x:f>
        <x:v>0.913</x:v>
      </x:c>
      <x:c r="F45" s="74" t="n">
        <x:f>MAX(0,IFERROR((MIN(A45+0.01,0.999)-A45-Assumptions!$C$12-Assumptions!$C$11*A45)/(1-A45),0))</x:f>
        <x:v>0.0777777777777779</x:v>
      </x:c>
      <x:c r="G45" s="74" t="n">
        <x:f>MAX(0,IFERROR((MIN(A45+0.03,0.999)-A45-Assumptions!$C$12-Assumptions!$C$11*A45)/(1-A45),0))</x:f>
        <x:v>0.30000000000000043</x:v>
      </x:c>
      <x:c r="H45" s="74" t="n">
        <x:f>MAX(0,IFERROR((MIN(A45+0.05,0.999)-A45-Assumptions!$C$12-Assumptions!$C$11*A45)/(1-A45),0))</x:f>
        <x:v>0.5222222222222229</x:v>
      </x:c>
      <x:c r="I45" s="74" t="n">
        <x:f>MIN(Assumptions!$C$8*G45,Assumptions!$C$5)</x:f>
        <x:v>0.005</x:v>
      </x:c>
      <x:c r="J45" t="str">
        <x:f>IF(A45&gt;=0.95,"0.95区：必须有极强校准证据",IF(A45&gt;=0.9,"边界价：提高门槛/降仓位","正常价区"))</x:f>
        <x:v>边界价：提高门槛/降仓位</x:v>
      </x:c>
      <x:c r="K45" t="str">
        <x:f>IF(A45&gt;=0.9,"Boundary","Normal")</x:f>
        <x:v>Boundary</x:v>
      </x:c>
    </x:row>
    <x:row r="46">
      <x:c r="A46" s="80" t="n">
        <x:v>0.92</x:v>
      </x:c>
      <x:c r="B46" s="80" t="n">
        <x:f>1-A46</x:f>
        <x:v>0.07999999999999996</x:v>
      </x:c>
      <x:c r="C46" s="80" t="n">
        <x:f>A46</x:f>
        <x:v>0.92</x:v>
      </x:c>
      <x:c r="D46" s="82" t="n">
        <x:f>IFERROR(C46/B46,0)</x:f>
        <x:v>11.500000000000007</x:v>
      </x:c>
      <x:c r="E46" s="74" t="n">
        <x:f>A46+Assumptions!$C$12+Assumptions!$C$11*A46</x:f>
        <x:v>0.923</x:v>
      </x:c>
      <x:c r="F46" s="74" t="n">
        <x:f>MAX(0,IFERROR((MIN(A46+0.01,0.999)-A46-Assumptions!$C$12-Assumptions!$C$11*A46)/(1-A46),0))</x:f>
        <x:v>0.08750000000000015</x:v>
      </x:c>
      <x:c r="G46" s="74" t="n">
        <x:f>MAX(0,IFERROR((MIN(A46+0.03,0.999)-A46-Assumptions!$C$12-Assumptions!$C$11*A46)/(1-A46),0))</x:f>
        <x:v>0.3375000000000005</x:v>
      </x:c>
      <x:c r="H46" s="74" t="n">
        <x:f>MAX(0,IFERROR((MIN(A46+0.05,0.999)-A46-Assumptions!$C$12-Assumptions!$C$11*A46)/(1-A46),0))</x:f>
        <x:v>0.5875000000000008</x:v>
      </x:c>
      <x:c r="I46" s="74" t="n">
        <x:f>MIN(Assumptions!$C$8*G46,Assumptions!$C$5)</x:f>
        <x:v>0.005</x:v>
      </x:c>
      <x:c r="J46" t="str">
        <x:f>IF(A46&gt;=0.95,"0.95区：必须有极强校准证据",IF(A46&gt;=0.9,"边界价：提高门槛/降仓位","正常价区"))</x:f>
        <x:v>边界价：提高门槛/降仓位</x:v>
      </x:c>
      <x:c r="K46" t="str">
        <x:f>IF(A46&gt;=0.9,"Boundary","Normal")</x:f>
        <x:v>Boundary</x:v>
      </x:c>
    </x:row>
    <x:row r="47">
      <x:c r="A47" s="80" t="n">
        <x:v>0.93</x:v>
      </x:c>
      <x:c r="B47" s="80" t="n">
        <x:f>1-A47</x:f>
        <x:v>0.06999999999999995</x:v>
      </x:c>
      <x:c r="C47" s="80" t="n">
        <x:f>A47</x:f>
        <x:v>0.93</x:v>
      </x:c>
      <x:c r="D47" s="82" t="n">
        <x:f>IFERROR(C47/B47,0)</x:f>
        <x:v>13.285714285714295</x:v>
      </x:c>
      <x:c r="E47" s="74" t="n">
        <x:f>A47+Assumptions!$C$12+Assumptions!$C$11*A47</x:f>
        <x:v>0.933</x:v>
      </x:c>
      <x:c r="F47" s="74" t="n">
        <x:f>MAX(0,IFERROR((MIN(A47+0.01,0.999)-A47-Assumptions!$C$12-Assumptions!$C$11*A47)/(1-A47),0))</x:f>
        <x:v>0.1000000000000002</x:v>
      </x:c>
      <x:c r="G47" s="74" t="n">
        <x:f>MAX(0,IFERROR((MIN(A47+0.03,0.999)-A47-Assumptions!$C$12-Assumptions!$C$11*A47)/(1-A47),0))</x:f>
        <x:v>0.3857142857142864</x:v>
      </x:c>
      <x:c r="H47" s="74" t="n">
        <x:f>MAX(0,IFERROR((MIN(A47+0.05,0.999)-A47-Assumptions!$C$12-Assumptions!$C$11*A47)/(1-A47),0))</x:f>
        <x:v>0.6714285714285725</x:v>
      </x:c>
      <x:c r="I47" s="74" t="n">
        <x:f>MIN(Assumptions!$C$8*G47,Assumptions!$C$5)</x:f>
        <x:v>0.005</x:v>
      </x:c>
      <x:c r="J47" t="str">
        <x:f>IF(A47&gt;=0.95,"0.95区：必须有极强校准证据",IF(A47&gt;=0.9,"边界价：提高门槛/降仓位","正常价区"))</x:f>
        <x:v>边界价：提高门槛/降仓位</x:v>
      </x:c>
      <x:c r="K47" t="str">
        <x:f>IF(A47&gt;=0.9,"Boundary","Normal")</x:f>
        <x:v>Boundary</x:v>
      </x:c>
    </x:row>
    <x:row r="48">
      <x:c r="A48" s="80" t="n">
        <x:v>0.94</x:v>
      </x:c>
      <x:c r="B48" s="80" t="n">
        <x:f>1-A48</x:f>
        <x:v>0.06000000000000005</x:v>
      </x:c>
      <x:c r="C48" s="80" t="n">
        <x:f>A48</x:f>
        <x:v>0.94</x:v>
      </x:c>
      <x:c r="D48" s="82" t="n">
        <x:f>IFERROR(C48/B48,0)</x:f>
        <x:v>15.666666666666652</x:v>
      </x:c>
      <x:c r="E48" s="74" t="n">
        <x:f>A48+Assumptions!$C$12+Assumptions!$C$11*A48</x:f>
        <x:v>0.943</x:v>
      </x:c>
      <x:c r="F48" s="74" t="n">
        <x:f>MAX(0,IFERROR((MIN(A48+0.01,0.999)-A48-Assumptions!$C$12-Assumptions!$C$11*A48)/(1-A48),0))</x:f>
        <x:v>0.11666666666666671</x:v>
      </x:c>
      <x:c r="G48" s="74" t="n">
        <x:f>MAX(0,IFERROR((MIN(A48+0.03,0.999)-A48-Assumptions!$C$12-Assumptions!$C$11*A48)/(1-A48),0))</x:f>
        <x:v>0.45000000000000007</x:v>
      </x:c>
      <x:c r="H48" s="74" t="n">
        <x:f>MAX(0,IFERROR((MIN(A48+0.05,0.999)-A48-Assumptions!$C$12-Assumptions!$C$11*A48)/(1-A48),0))</x:f>
        <x:v>0.7833333333333333</x:v>
      </x:c>
      <x:c r="I48" s="74" t="n">
        <x:f>MIN(Assumptions!$C$8*G48,Assumptions!$C$5)</x:f>
        <x:v>0.005</x:v>
      </x:c>
      <x:c r="J48" t="str">
        <x:f>IF(A48&gt;=0.95,"0.95区：必须有极强校准证据",IF(A48&gt;=0.9,"边界价：提高门槛/降仓位","正常价区"))</x:f>
        <x:v>边界价：提高门槛/降仓位</x:v>
      </x:c>
      <x:c r="K48" t="str">
        <x:f>IF(A48&gt;=0.9,"Boundary","Normal")</x:f>
        <x:v>Boundary</x:v>
      </x:c>
    </x:row>
    <x:row r="49">
      <x:c r="A49" s="80" t="n">
        <x:v>0.95</x:v>
      </x:c>
      <x:c r="B49" s="80" t="n">
        <x:f>1-A49</x:f>
        <x:v>0.050000000000000044</x:v>
      </x:c>
      <x:c r="C49" s="80" t="n">
        <x:f>A49</x:f>
        <x:v>0.95</x:v>
      </x:c>
      <x:c r="D49" s="82" t="n">
        <x:f>IFERROR(C49/B49,0)</x:f>
        <x:v>18.999999999999982</x:v>
      </x:c>
      <x:c r="E49" s="74" t="n">
        <x:f>A49+Assumptions!$C$12+Assumptions!$C$11*A49</x:f>
        <x:v>0.953</x:v>
      </x:c>
      <x:c r="F49" s="74" t="n">
        <x:f>MAX(0,IFERROR((MIN(A49+0.01,0.999)-A49-Assumptions!$C$12-Assumptions!$C$11*A49)/(1-A49),0))</x:f>
        <x:v>0.14000000000000004</x:v>
      </x:c>
      <x:c r="G49" s="74" t="n">
        <x:f>MAX(0,IFERROR((MIN(A49+0.03,0.999)-A49-Assumptions!$C$12-Assumptions!$C$11*A49)/(1-A49),0))</x:f>
        <x:v>0.54</x:v>
      </x:c>
      <x:c r="H49" s="74" t="n">
        <x:f>MAX(0,IFERROR((MIN(A49+0.05,0.999)-A49-Assumptions!$C$12-Assumptions!$C$11*A49)/(1-A49),0))</x:f>
        <x:v>0.92</x:v>
      </x:c>
      <x:c r="I49" s="74" t="n">
        <x:f>MIN(Assumptions!$C$8*G49,Assumptions!$C$5)</x:f>
        <x:v>0.005</x:v>
      </x:c>
      <x:c r="J49" t="str">
        <x:f>IF(A49&gt;=0.95,"0.95区：必须有极强校准证据",IF(A49&gt;=0.9,"边界价：提高门槛/降仓位","正常价区"))</x:f>
        <x:v>0.95区：必须有极强校准证据</x:v>
      </x:c>
      <x:c r="K49" t="str">
        <x:f>IF(A49&gt;=0.9,"Boundary","Normal")</x:f>
        <x:v>Boundary</x:v>
      </x:c>
    </x:row>
    <x:row r="50">
      <x:c r="A50" s="80" t="n">
        <x:v>0.96</x:v>
      </x:c>
      <x:c r="B50" s="80" t="n">
        <x:f>1-A50</x:f>
        <x:v>0.040000000000000036</x:v>
      </x:c>
      <x:c r="C50" s="80" t="n">
        <x:f>A50</x:f>
        <x:v>0.96</x:v>
      </x:c>
      <x:c r="D50" s="82" t="n">
        <x:f>IFERROR(C50/B50,0)</x:f>
        <x:v>23.99999999999998</x:v>
      </x:c>
      <x:c r="E50" s="74" t="n">
        <x:f>A50+Assumptions!$C$12+Assumptions!$C$11*A50</x:f>
        <x:v>0.963</x:v>
      </x:c>
      <x:c r="F50" s="74" t="n">
        <x:f>MAX(0,IFERROR((MIN(A50+0.01,0.999)-A50-Assumptions!$C$12-Assumptions!$C$11*A50)/(1-A50),0))</x:f>
        <x:v>0.17500000000000007</x:v>
      </x:c>
      <x:c r="G50" s="74" t="n">
        <x:f>MAX(0,IFERROR((MIN(A50+0.03,0.999)-A50-Assumptions!$C$12-Assumptions!$C$11*A50)/(1-A50),0))</x:f>
        <x:v>0.675</x:v>
      </x:c>
      <x:c r="H50" s="74" t="n">
        <x:f>MAX(0,IFERROR((MIN(A50+0.05,0.999)-A50-Assumptions!$C$12-Assumptions!$C$11*A50)/(1-A50),0))</x:f>
        <x:v>0.9</x:v>
      </x:c>
      <x:c r="I50" s="74" t="n">
        <x:f>MIN(Assumptions!$C$8*G50,Assumptions!$C$5)</x:f>
        <x:v>0.005</x:v>
      </x:c>
      <x:c r="J50" t="str">
        <x:f>IF(A50&gt;=0.95,"0.95区：必须有极强校准证据",IF(A50&gt;=0.9,"边界价：提高门槛/降仓位","正常价区"))</x:f>
        <x:v>0.95区：必须有极强校准证据</x:v>
      </x:c>
      <x:c r="K50" t="str">
        <x:f>IF(A50&gt;=0.9,"Boundary","Normal")</x:f>
        <x:v>Boundary</x:v>
      </x:c>
    </x:row>
    <x:row r="51">
      <x:c r="A51" s="80" t="n">
        <x:v>0.97</x:v>
      </x:c>
      <x:c r="B51" s="80" t="n">
        <x:f>1-A51</x:f>
        <x:v>0.030000000000000027</x:v>
      </x:c>
      <x:c r="C51" s="80" t="n">
        <x:f>A51</x:f>
        <x:v>0.97</x:v>
      </x:c>
      <x:c r="D51" s="82" t="n">
        <x:f>IFERROR(C51/B51,0)</x:f>
        <x:v>32.33333333333331</x:v>
      </x:c>
      <x:c r="E51" s="74" t="n">
        <x:f>A51+Assumptions!$C$12+Assumptions!$C$11*A51</x:f>
        <x:v>0.973</x:v>
      </x:c>
      <x:c r="F51" s="74" t="n">
        <x:f>MAX(0,IFERROR((MIN(A51+0.01,0.999)-A51-Assumptions!$C$12-Assumptions!$C$11*A51)/(1-A51),0))</x:f>
        <x:v>0.23333333333333342</x:v>
      </x:c>
      <x:c r="G51" s="74" t="n">
        <x:f>MAX(0,IFERROR((MIN(A51+0.03,0.999)-A51-Assumptions!$C$12-Assumptions!$C$11*A51)/(1-A51),0))</x:f>
        <x:v>0.8666666666666668</x:v>
      </x:c>
      <x:c r="H51" s="74" t="n">
        <x:f>MAX(0,IFERROR((MIN(A51+0.05,0.999)-A51-Assumptions!$C$12-Assumptions!$C$11*A51)/(1-A51),0))</x:f>
        <x:v>0.8666666666666668</x:v>
      </x:c>
      <x:c r="I51" s="74" t="n">
        <x:f>MIN(Assumptions!$C$8*G51,Assumptions!$C$5)</x:f>
        <x:v>0.005</x:v>
      </x:c>
      <x:c r="J51" t="str">
        <x:f>IF(A51&gt;=0.95,"0.95区：必须有极强校准证据",IF(A51&gt;=0.9,"边界价：提高门槛/降仓位","正常价区"))</x:f>
        <x:v>0.95区：必须有极强校准证据</x:v>
      </x:c>
      <x:c r="K51" t="str">
        <x:f>IF(A51&gt;=0.9,"Boundary","Normal")</x:f>
        <x:v>Boundary</x:v>
      </x:c>
    </x:row>
    <x:row r="52">
      <x:c r="A52" s="80" t="n">
        <x:v>0.98</x:v>
      </x:c>
      <x:c r="B52" s="80" t="n">
        <x:f>1-A52</x:f>
        <x:v>0.020000000000000018</x:v>
      </x:c>
      <x:c r="C52" s="80" t="n">
        <x:f>A52</x:f>
        <x:v>0.98</x:v>
      </x:c>
      <x:c r="D52" s="82" t="n">
        <x:f>IFERROR(C52/B52,0)</x:f>
        <x:v>48.99999999999996</x:v>
      </x:c>
      <x:c r="E52" s="74" t="n">
        <x:f>A52+Assumptions!$C$12+Assumptions!$C$11*A52</x:f>
        <x:v>0.983</x:v>
      </x:c>
      <x:c r="F52" s="74" t="n">
        <x:f>MAX(0,IFERROR((MIN(A52+0.01,0.999)-A52-Assumptions!$C$12-Assumptions!$C$11*A52)/(1-A52),0))</x:f>
        <x:v>0.35000000000000014</x:v>
      </x:c>
      <x:c r="G52" s="74" t="n">
        <x:f>MAX(0,IFERROR((MIN(A52+0.03,0.999)-A52-Assumptions!$C$12-Assumptions!$C$11*A52)/(1-A52),0))</x:f>
        <x:v>0.8000000000000002</x:v>
      </x:c>
      <x:c r="H52" s="74" t="n">
        <x:f>MAX(0,IFERROR((MIN(A52+0.05,0.999)-A52-Assumptions!$C$12-Assumptions!$C$11*A52)/(1-A52),0))</x:f>
        <x:v>0.8000000000000002</x:v>
      </x:c>
      <x:c r="I52" s="74" t="n">
        <x:f>MIN(Assumptions!$C$8*G52,Assumptions!$C$5)</x:f>
        <x:v>0.005</x:v>
      </x:c>
      <x:c r="J52" t="str">
        <x:f>IF(A52&gt;=0.95,"0.95区：必须有极强校准证据",IF(A52&gt;=0.9,"边界价：提高门槛/降仓位","正常价区"))</x:f>
        <x:v>0.95区：必须有极强校准证据</x:v>
      </x:c>
      <x:c r="K52" t="str">
        <x:f>IF(A52&gt;=0.9,"Boundary","Normal")</x:f>
        <x:v>Boundary</x:v>
      </x:c>
    </x:row>
    <x:row r="53">
      <x:c r="A53" s="80" t="n">
        <x:v>0.99</x:v>
      </x:c>
      <x:c r="B53" s="80" t="n">
        <x:f>1-A53</x:f>
        <x:v>0.010000000000000009</x:v>
      </x:c>
      <x:c r="C53" s="80" t="n">
        <x:f>A53</x:f>
        <x:v>0.99</x:v>
      </x:c>
      <x:c r="D53" s="82" t="n">
        <x:f>IFERROR(C53/B53,0)</x:f>
        <x:v>98.99999999999991</x:v>
      </x:c>
      <x:c r="E53" s="74" t="n">
        <x:f>A53+Assumptions!$C$12+Assumptions!$C$11*A53</x:f>
        <x:v>0.993</x:v>
      </x:c>
      <x:c r="F53" s="74" t="n">
        <x:f>MAX(0,IFERROR((MIN(A53+0.01,0.999)-A53-Assumptions!$C$12-Assumptions!$C$11*A53)/(1-A53),0))</x:f>
        <x:v>0.6000000000000003</x:v>
      </x:c>
      <x:c r="G53" s="74" t="n">
        <x:f>MAX(0,IFERROR((MIN(A53+0.03,0.999)-A53-Assumptions!$C$12-Assumptions!$C$11*A53)/(1-A53),0))</x:f>
        <x:v>0.6000000000000003</x:v>
      </x:c>
      <x:c r="H53" s="74" t="n">
        <x:f>MAX(0,IFERROR((MIN(A53+0.05,0.999)-A53-Assumptions!$C$12-Assumptions!$C$11*A53)/(1-A53),0))</x:f>
        <x:v>0.6000000000000003</x:v>
      </x:c>
      <x:c r="I53" s="74" t="n">
        <x:f>MIN(Assumptions!$C$8*G53,Assumptions!$C$5)</x:f>
        <x:v>0.005</x:v>
      </x:c>
      <x:c r="J53" t="str">
        <x:f>IF(A53&gt;=0.95,"0.95区：必须有极强校准证据",IF(A53&gt;=0.9,"边界价：提高门槛/降仓位","正常价区"))</x:f>
        <x:v>0.95区：必须有极强校准证据</x:v>
      </x:c>
      <x:c r="K53" t="str">
        <x:f>IF(A53&gt;=0.9,"Boundary","Normal")</x:f>
        <x:v>Boundary</x:v>
      </x:c>
    </x:row>
    <x:row r="56" ht="22" customHeight="1">
      <x:c r="A56" s="23" t="str">
        <x:v>如何解读 0.95 价格</x:v>
      </x:c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</x:row>
    <x:row r="57">
      <x:c r="A57" s="18" t="str">
        <x:v>1</x:v>
      </x:c>
      <x:c r="B57" s="18" t="str">
        <x:v>0.95 买 YES：赢时每份赚 0.05，输时每份亏 0.95，亏/赢约 19x。</x:v>
      </x:c>
      <x:c r="C57" t="str"/>
      <x:c r="D57" t="str"/>
      <x:c r="E57" t="str"/>
      <x:c r="F57" t="str"/>
      <x:c r="G57" t="str"/>
      <x:c r="H57" t="str"/>
      <x:c r="I57" t="str"/>
      <x:c r="J57" t="str"/>
      <x:c r="K57" t="str"/>
    </x:row>
    <x:row r="58">
      <x:c r="A58" s="18" t="str">
        <x:v>2</x:v>
      </x:c>
      <x:c r="B58" s="18" t="str">
        <x:v>所以“胜率很高”不是充分条件；若真实 q=94%，看起来很稳但 EV=94%-95%-成本&lt;0。</x:v>
      </x:c>
      <x:c r="C58" t="str"/>
      <x:c r="D58" t="str"/>
      <x:c r="E58" t="str"/>
      <x:c r="F58" t="str"/>
      <x:c r="G58" t="str"/>
      <x:c r="H58" t="str"/>
      <x:c r="I58" t="str"/>
      <x:c r="J58" t="str"/>
      <x:c r="K58" t="str"/>
    </x:row>
    <x:row r="59">
      <x:c r="A59" s="18" t="str">
        <x:v>3</x:v>
      </x:c>
      <x:c r="B59" s="18" t="str">
        <x:v>模型必须证明 0.90+ 桶的校准：预测 97% 的桶，真实胜率要接近 97%，且样本充足。</x:v>
      </x:c>
      <x:c r="C59" t="str"/>
      <x:c r="D59" t="str"/>
      <x:c r="E59" t="str"/>
      <x:c r="F59" t="str"/>
      <x:c r="G59" t="str"/>
      <x:c r="H59" t="str"/>
      <x:c r="I59" t="str"/>
      <x:c r="J59" t="str"/>
      <x:c r="K59" t="str"/>
    </x:row>
    <x:row r="60">
      <x:c r="A60" s="18" t="str">
        <x:v>4</x:v>
      </x:c>
      <x:c r="B60" s="18" t="str">
        <x:v>边界价格建议：更高 edge threshold、更低 Kelly shrink、单事件总敞口 cap、最后几秒禁止开仓。</x:v>
      </x:c>
      <x:c r="C60" t="str"/>
      <x:c r="D60" t="str"/>
      <x:c r="E60" t="str"/>
      <x:c r="F60" t="str"/>
      <x:c r="G60" t="str"/>
      <x:c r="H60" t="str"/>
      <x:c r="I60" t="str"/>
      <x:c r="J60" t="str"/>
      <x:c r="K60" t="str"/>
    </x:row>
    <x:row r="61">
      <x:c r="A61" s="18" t="str">
        <x:v>5</x:v>
      </x:c>
      <x:c r="B61" s="18" t="str">
        <x:v>如果 edge 来自盘口瞬间错价，要优先验证能否真实成交，而不是按 mid 回测。</x:v>
      </x:c>
      <x:c r="C61" t="str"/>
      <x:c r="D61" t="str"/>
      <x:c r="E61" t="str"/>
      <x:c r="F61" t="str"/>
      <x:c r="G61" t="str"/>
      <x:c r="H61" t="str"/>
      <x:c r="I61" t="str"/>
      <x:c r="J61" t="str"/>
      <x:c r="K61" t="str"/>
    </x:row>
  </x:sheetData>
  <x:mergeCells>
    <x:mergeCell ref="A1:K1"/>
    <x:mergeCell ref="A56:K56"/>
  </x:mergeCells>
  <x:conditionalFormatting sqref="A4:K53">
    <x:cfRule type="expression" dxfId="12" priority="1">
      <x:formula>$A4&gt;=0.9</x:formula>
    </x:cfRule>
    <x:cfRule type="expression" dxfId="13" priority="2">
      <x:formula>$A4&gt;=0.95</x:formula>
    </x:cfRule>
  </x:conditionalFormatting>
  <x:pageMargins left="0.7" right="0.7" top="0.75" bottom="0.75" header="0.3" footer="0.3"/>
  <x:drawing xmlns:r="http://schemas.openxmlformats.org/officeDocument/2006/relationships" r:id="Rfec4086ec0644db9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5" hidden="0" customWidth="1"/>
    <x:col min="4" max="4" width="18" hidden="0" customWidth="1"/>
    <x:col min="5" max="5" width="45" hidden="0" customWidth="1"/>
    <x:col min="6" max="6" width="2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5" t="str">
        <x:v>Hyperparam_Tuning｜多因子调参、优化目标、消融实验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22" customHeight="1">
      <x:c r="A3" s="23" t="str">
        <x:v>A. 可调参数空间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2" customHeight="1">
      <x:c r="A4" s="13" t="str">
        <x:v>Module</x:v>
      </x:c>
      <x:c r="B4" s="13" t="str">
        <x:v>Hyperparameter</x:v>
      </x:c>
      <x:c r="C4" s="13" t="str">
        <x:v>Search space</x:v>
      </x:c>
      <x:c r="D4" s="13" t="str">
        <x:v>Default</x:v>
      </x:c>
      <x:c r="E4" s="13" t="str">
        <x:v>Why it matters</x:v>
      </x:c>
      <x:c r="F4" s="13" t="str">
        <x:v>Validation metric</x:v>
      </x:c>
    </x:row>
    <x:row r="5">
      <x:c r="A5" s="18" t="str">
        <x:v>Feature</x:v>
      </x:c>
      <x:c r="B5" s="18" t="str">
        <x:v>Momentum windows</x:v>
      </x:c>
      <x:c r="C5" s="18" t="str">
        <x:v>5,10,15,30,60,120s</x:v>
      </x:c>
      <x:c r="D5" s="18" t="str">
        <x:v>15/60s</x:v>
      </x:c>
      <x:c r="E5" s="18" t="str">
        <x:v>短窗太短噪声大，太长错过 5min event。</x:v>
      </x:c>
      <x:c r="F5" s="18" t="str">
        <x:v>OOS logloss + edge PnL</x:v>
      </x:c>
    </x:row>
    <x:row r="6">
      <x:c r="A6" s="18" t="str">
        <x:v>Feature</x:v>
      </x:c>
      <x:c r="B6" s="18" t="str">
        <x:v>EWMA half-life</x:v>
      </x:c>
      <x:c r="C6" s="18" t="str">
        <x:v>5–120s log scale</x:v>
      </x:c>
      <x:c r="D6" s="18" t="str">
        <x:v>30s</x:v>
      </x:c>
      <x:c r="E6" s="18" t="str">
        <x:v>控制 order flow / volatility 的记忆长度。</x:v>
      </x:c>
      <x:c r="F6" s="18" t="str">
        <x:v>bucket stability</x:v>
      </x:c>
    </x:row>
    <x:row r="7">
      <x:c r="A7" s="18" t="str">
        <x:v>Feature</x:v>
      </x:c>
      <x:c r="B7" s="18" t="str">
        <x:v>Depth levels</x:v>
      </x:c>
      <x:c r="C7" s="18" t="str">
        <x:v>L1,L3,L5,L10</x:v>
      </x:c>
      <x:c r="D7" s="18" t="str">
        <x:v>L5</x:v>
      </x:c>
      <x:c r="E7" s="18" t="str">
        <x:v>深度过浅易噪声，过深可能不可成交。</x:v>
      </x:c>
      <x:c r="F7" s="18" t="str">
        <x:v>slippage error</x:v>
      </x:c>
    </x:row>
    <x:row r="8">
      <x:c r="A8" s="18" t="str">
        <x:v>Model</x:v>
      </x:c>
      <x:c r="B8" s="18" t="str">
        <x:v>Regularization strength</x:v>
      </x:c>
      <x:c r="C8" s="18" t="str">
        <x:v>1e-4–10</x:v>
      </x:c>
      <x:c r="D8" s="18" t="str">
        <x:v>0.1</x:v>
      </x:c>
      <x:c r="E8" s="18" t="str">
        <x:v>防止多因子过拟合。</x:v>
      </x:c>
      <x:c r="F8" s="18" t="str">
        <x:v>validation logloss</x:v>
      </x:c>
    </x:row>
    <x:row r="9">
      <x:c r="A9" s="18" t="str">
        <x:v>Model</x:v>
      </x:c>
      <x:c r="B9" s="18" t="str">
        <x:v>Tree depth / leaves</x:v>
      </x:c>
      <x:c r="C9" s="18" t="str">
        <x:v>2–5 depth or 8–64 leaves</x:v>
      </x:c>
      <x:c r="D9" s="18" t="str">
        <x:v>3/31</x:v>
      </x:c>
      <x:c r="E9" s="18" t="str">
        <x:v>非线性交互但容易过拟合。</x:v>
      </x:c>
      <x:c r="F9" s="18" t="str">
        <x:v>purged CV score</x:v>
      </x:c>
    </x:row>
    <x:row r="10">
      <x:c r="A10" s="18" t="str">
        <x:v>Calibration</x:v>
      </x:c>
      <x:c r="B10" s="18" t="str">
        <x:v>Calibration method</x:v>
      </x:c>
      <x:c r="C10" s="18" t="str">
        <x:v>Platt / isotonic / beta</x:v>
      </x:c>
      <x:c r="D10" s="18" t="str">
        <x:v>Platt</x:v>
      </x:c>
      <x:c r="E10" s="18" t="str">
        <x:v>q 的可靠性比原始分数更重要。</x:v>
      </x:c>
      <x:c r="F10" s="18" t="str">
        <x:v>ECE + reliability curve</x:v>
      </x:c>
    </x:row>
    <x:row r="11">
      <x:c r="A11" s="18" t="str">
        <x:v>Decision</x:v>
      </x:c>
      <x:c r="B11" s="18" t="str">
        <x:v>Normal edge threshold</x:v>
      </x:c>
      <x:c r="C11" s="18" t="str">
        <x:v>0.2%–2.0%</x:v>
      </x:c>
      <x:c r="D11" s="18" t="str">
        <x:v>0.8%</x:v>
      </x:c>
      <x:c r="E11" s="18" t="str">
        <x:v>避免滑点/模型误差吃掉优势。</x:v>
      </x:c>
      <x:c r="F11" s="18" t="str">
        <x:v>net PnL &amp; turnover</x:v>
      </x:c>
    </x:row>
    <x:row r="12">
      <x:c r="A12" s="18" t="str">
        <x:v>Decision</x:v>
      </x:c>
      <x:c r="B12" s="18" t="str">
        <x:v>Boundary edge threshold</x:v>
      </x:c>
      <x:c r="C12" s="18" t="str">
        <x:v>1.0%–6.0%</x:v>
      </x:c>
      <x:c r="D12" s="18" t="str">
        <x:v>2.5%</x:v>
      </x:c>
      <x:c r="E12" s="18" t="str">
        <x:v>0.90+ 价格必须更严格。</x:v>
      </x:c>
      <x:c r="F12" s="18" t="str">
        <x:v>p&gt;=0.90 bucket EV</x:v>
      </x:c>
    </x:row>
    <x:row r="13">
      <x:c r="A13" s="18" t="str">
        <x:v>Sizing</x:v>
      </x:c>
      <x:c r="B13" s="18" t="str">
        <x:v>Kelly shrink</x:v>
      </x:c>
      <x:c r="C13" s="18" t="str">
        <x:v>0.05–0.50</x:v>
      </x:c>
      <x:c r="D13" s="18" t="str">
        <x:v>0.25</x:v>
      </x:c>
      <x:c r="E13" s="18" t="str">
        <x:v>控制路径风险与模型误差。</x:v>
      </x:c>
      <x:c r="F13" s="18" t="str">
        <x:v>log growth / max DD</x:v>
      </x:c>
    </x:row>
    <x:row r="14">
      <x:c r="A14" s="18" t="str">
        <x:v>Execution</x:v>
      </x:c>
      <x:c r="B14" s="18" t="str">
        <x:v>Min depth</x:v>
      </x:c>
      <x:c r="C14" s="18" t="str">
        <x:v>50–1000 USDC</x:v>
      </x:c>
      <x:c r="D14" s="18" t="str">
        <x:v>100</x:v>
      </x:c>
      <x:c r="E14" s="18" t="str">
        <x:v>低深度无法真实成交。</x:v>
      </x:c>
      <x:c r="F14" s="18" t="str">
        <x:v>fill quality</x:v>
      </x:c>
    </x:row>
    <x:row r="15">
      <x:c r="A15" s="18" t="str">
        <x:v>Execution</x:v>
      </x:c>
      <x:c r="B15" s="18" t="str">
        <x:v>No-trade final seconds</x:v>
      </x:c>
      <x:c r="C15" s="18" t="str">
        <x:v>0–60s</x:v>
      </x:c>
      <x:c r="D15" s="18" t="str">
        <x:v>10s</x:v>
      </x:c>
      <x:c r="E15" s="18" t="str">
        <x:v>临近判定跳变与延迟风险。</x:v>
      </x:c>
      <x:c r="F15" s="18" t="str">
        <x:v>tail loss</x:v>
      </x:c>
    </x:row>
    <x:row r="18" ht="22" customHeight="1">
      <x:c r="A18" s="23" t="str">
        <x:v>B. 优化目标：不要只最大化回测 PnL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 ht="32" customHeight="1">
      <x:c r="A19" s="13" t="str">
        <x:v>Objective component</x:v>
      </x:c>
      <x:c r="B19" s="13" t="str">
        <x:v>Weight</x:v>
      </x:c>
      <x:c r="C19" s="13" t="str">
        <x:v>Direction</x:v>
      </x:c>
      <x:c r="D19" s="13" t="str">
        <x:v>Definition</x:v>
      </x:c>
      <x:c r="E19" s="13" t="str">
        <x:v>Reason</x:v>
      </x:c>
    </x:row>
    <x:row r="20">
      <x:c r="A20" s="18" t="str">
        <x:v>Calibration logloss / Brier</x:v>
      </x:c>
      <x:c r="B20" s="84" t="n">
        <x:v>0.3</x:v>
      </x:c>
      <x:c r="C20" s="18" t="str">
        <x:v>minimize</x:v>
      </x:c>
      <x:c r="D20" s="18" t="str">
        <x:v>模型 q 对最终 y 的概率损失</x:v>
      </x:c>
      <x:c r="E20" s="18" t="str">
        <x:v>没有校准，0.95 桶会爆雷。</x:v>
      </x:c>
    </x:row>
    <x:row r="21">
      <x:c r="A21" s="18" t="str">
        <x:v>Net PnL after costs</x:v>
      </x:c>
      <x:c r="B21" s="84" t="n">
        <x:v>0.25</x:v>
      </x:c>
      <x:c r="C21" s="18" t="str">
        <x:v>maximize</x:v>
      </x:c>
      <x:c r="D21" s="18" t="str">
        <x:v>费用/滑点/未成交后收益</x:v>
      </x:c>
      <x:c r="E21" s="18" t="str">
        <x:v>最终要赚钱，但不能牺牲稳健性。</x:v>
      </x:c>
    </x:row>
    <x:row r="22">
      <x:c r="A22" s="18" t="str">
        <x:v>Max drawdown / tail loss</x:v>
      </x:c>
      <x:c r="B22" s="84" t="n">
        <x:v>0.2</x:v>
      </x:c>
      <x:c r="C22" s="18" t="str">
        <x:v>minimize</x:v>
      </x:c>
      <x:c r="D22" s="18" t="str">
        <x:v>资金曲线 worst path</x:v>
      </x:c>
      <x:c r="E22" s="18" t="str">
        <x:v>二元 payoff 的左尾特别重要。</x:v>
      </x:c>
    </x:row>
    <x:row r="23">
      <x:c r="A23" s="18" t="str">
        <x:v>Extreme bucket EV</x:v>
      </x:c>
      <x:c r="B23" s="84" t="n">
        <x:v>0.15</x:v>
      </x:c>
      <x:c r="C23" s="18" t="str">
        <x:v>maximize</x:v>
      </x:c>
      <x:c r="D23" s="18" t="str">
        <x:v>p&gt;=0.90、p&lt;=0.10 的费用后 EV</x:v>
      </x:c>
      <x:c r="E23" s="18" t="str">
        <x:v>专门保护不对称区。</x:v>
      </x:c>
    </x:row>
    <x:row r="24">
      <x:c r="A24" s="18" t="str">
        <x:v>Turnover / fill quality penalty</x:v>
      </x:c>
      <x:c r="B24" s="84" t="n">
        <x:v>0.1</x:v>
      </x:c>
      <x:c r="C24" s="18" t="str">
        <x:v>minimize</x:v>
      </x:c>
      <x:c r="D24" s="18" t="str">
        <x:v>交易频率、冲击成本、成交偏差</x:v>
      </x:c>
      <x:c r="E24" s="18" t="str">
        <x:v>防止模型靠不可成交机会赚钱。</x:v>
      </x:c>
    </x:row>
    <x:row r="27" ht="22" customHeight="1">
      <x:c r="A27" s="23" t="str">
        <x:v>C. 调参流程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</x:row>
    <x:row r="28" ht="32" customHeight="1">
      <x:c r="A28" s="13" t="str">
        <x:v>Step</x:v>
      </x:c>
      <x:c r="B28" s="13" t="str">
        <x:v>Action</x:v>
      </x:c>
      <x:c r="C28" s="13" t="str">
        <x:v>Gate</x:v>
      </x:c>
    </x:row>
    <x:row r="29">
      <x:c r="A29" s="18" t="str">
        <x:v>1 Baseline</x:v>
      </x:c>
      <x:c r="B29" s="18" t="str">
        <x:v>只用 market p/logit(p) 训练与校准，作为不可跳过 benchmark。</x:v>
      </x:c>
      <x:c r="C29" s="18" t="str">
        <x:v>复杂模型必须超过 baseline。</x:v>
      </x:c>
    </x:row>
    <x:row r="30">
      <x:c r="A30" s="18" t="str">
        <x:v>2 Candidate factors</x:v>
      </x:c>
      <x:c r="B30" s="18" t="str">
        <x:v>每次只引入一个因子族或小组合，记录 OOS 变化。</x:v>
      </x:c>
      <x:c r="C30" s="18" t="str">
        <x:v>无增益/不稳定则删除。</x:v>
      </x:c>
    </x:row>
    <x:row r="31">
      <x:c r="A31" s="18" t="str">
        <x:v>3 Random/Bayesian search</x:v>
      </x:c>
      <x:c r="B31" s="18" t="str">
        <x:v>在 validation folds 上搜索参数，不碰 final test。</x:v>
      </x:c>
      <x:c r="C31" s="18" t="str">
        <x:v>目标函数含 logloss、PnL、DD、极端桶。</x:v>
      </x:c>
    </x:row>
    <x:row r="32">
      <x:c r="A32" s="18" t="str">
        <x:v>4 Purged walk-forward</x:v>
      </x:c>
      <x:c r="B32" s="18" t="str">
        <x:v>在多组时间窗口重跑，检查是否只在单一日期赚钱。</x:v>
      </x:c>
      <x:c r="C32" s="18" t="str">
        <x:v>至少 3/5 folds 通过。</x:v>
      </x:c>
    </x:row>
    <x:row r="33">
      <x:c r="A33" s="18" t="str">
        <x:v>5 Ablation</x:v>
      </x:c>
      <x:c r="B33" s="18" t="str">
        <x:v>删除每个因子族，观察性能下降。</x:v>
      </x:c>
      <x:c r="C33" s="18" t="str">
        <x:v>没有贡献的因子不上线。</x:v>
      </x:c>
    </x:row>
    <x:row r="34">
      <x:c r="A34" s="18" t="str">
        <x:v>6 Paper trading</x:v>
      </x:c>
      <x:c r="B34" s="18" t="str">
        <x:v>冻结参数，用影子账户记录真实可成交结果。</x:v>
      </x:c>
      <x:c r="C34" s="18" t="str">
        <x:v>满 14 天/1000 笔且分桶达标。</x:v>
      </x:c>
    </x:row>
    <x:row r="35">
      <x:c r="A35" s="18" t="str">
        <x:v>7 Small capital</x:v>
      </x:c>
      <x:c r="B35" s="18" t="str">
        <x:v>小资金灰度，不再改参数，只允许降风险。</x:v>
      </x:c>
      <x:c r="C35" s="18" t="str">
        <x:v>实时指标不劣于 paper。</x:v>
      </x:c>
    </x:row>
  </x:sheetData>
  <x:mergeCells>
    <x:mergeCell ref="A1:K1"/>
    <x:mergeCell ref="A3:K3"/>
    <x:mergeCell ref="A18:K18"/>
    <x:mergeCell ref="A27:K27"/>
  </x:mergeCells>
  <x:pageMargins left="0.7" right="0.7" top="0.75" bottom="0.75" header="0.3" footer="0.3"/>
  <x:tableParts count="3">
    <x:tablePart xmlns:r="http://schemas.openxmlformats.org/officeDocument/2006/relationships" r:id="R3de77b3c461d4031"/>
    <x:tablePart xmlns:r="http://schemas.openxmlformats.org/officeDocument/2006/relationships" r:id="Rb369a7a6d33849fd"/>
    <x:tablePart xmlns:r="http://schemas.openxmlformats.org/officeDocument/2006/relationships" r:id="R1f4a96d05c96452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42" hidden="0" customWidth="1"/>
    <x:col min="5" max="5" width="12" hidden="0" customWidth="1"/>
    <x:col min="6" max="6" width="46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GoLive_Gates｜多久稳定才能上线？分阶段门槛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3" t="str">
        <x:v>Stage</x:v>
      </x:c>
      <x:c r="B3" s="13" t="str">
        <x:v>Minimum duration / sample</x:v>
      </x:c>
      <x:c r="C3" s="13" t="str">
        <x:v>Current input</x:v>
      </x:c>
      <x:c r="D3" s="13" t="str">
        <x:v>Gate</x:v>
      </x:c>
      <x:c r="E3" s="13" t="str">
        <x:v>Pass?</x:v>
      </x:c>
      <x:c r="F3" s="13" t="str">
        <x:v>Why</x:v>
      </x:c>
      <x:c r="G3" s="13" t="str">
        <x:v>If fail</x:v>
      </x:c>
    </x:row>
    <x:row r="4">
      <x:c r="A4" s="18" t="str">
        <x:v>Research OOS</x:v>
      </x:c>
      <x:c r="B4" s="18" t="str">
        <x:v>&gt;= 5 test days across multiple folds</x:v>
      </x:c>
      <x:c r="C4" s="18" t="n">
        <x:v>5</x:v>
      </x:c>
      <x:c r="D4" s="18" t="str">
        <x:v>OOS net EV &gt; 0 AND calibration better than baseline</x:v>
      </x:c>
      <x:c r="E4" s="18" t="str">
        <x:f>IF(C4&gt;=5,"CHECK_METRICS","FAIL")</x:f>
        <x:v>CHECK_METRICS</x:v>
      </x:c>
      <x:c r="F4" s="18" t="str">
        <x:v>1个月数据内至少要留严格测试段。</x:v>
      </x:c>
      <x:c r="G4" s="18" t="str">
        <x:v>延长数据/删因子/重做切分</x:v>
      </x:c>
    </x:row>
    <x:row r="5">
      <x:c r="A5" s="18" t="str">
        <x:v>Extreme bucket validation</x:v>
      </x:c>
      <x:c r="B5" s="18" t="str">
        <x:v>p&gt;=0.90/p&lt;=0.10 each &gt;= 200 resolved trades</x:v>
      </x:c>
      <x:c r="C5" s="18" t="n">
        <x:v>150</x:v>
      </x:c>
      <x:c r="D5" s="18" t="str">
        <x:v>Extreme bucket EV &gt; 0 and calibrated</x:v>
      </x:c>
      <x:c r="E5" s="18" t="str">
        <x:f>IF(C5&gt;=200,"PASS","FAIL")</x:f>
        <x:v>FAIL</x:v>
      </x:c>
      <x:c r="F5" s="18" t="str">
        <x:v>高价位是最大风险源，样本不足不能上线该桶。</x:v>
      </x:c>
      <x:c r="G5" s="18" t="str">
        <x:v>禁止边界价或延长 paper</x:v>
      </x:c>
    </x:row>
    <x:row r="6">
      <x:c r="A6" s="18" t="str">
        <x:v>Paper trading</x:v>
      </x:c>
      <x:c r="B6" s="18" t="str">
        <x:v>&gt;= Assumptions days</x:v>
      </x:c>
      <x:c r="C6" s="18" t="n">
        <x:v>0</x:v>
      </x:c>
      <x:c r="D6" s="18" t="str">
        <x:v>真实盘口、真实延迟、记录未成交</x:v>
      </x:c>
      <x:c r="E6" s="18" t="str">
        <x:f>IF(C6&gt;=Assumptions!$C$19,"PASS","FAIL")</x:f>
        <x:v>FAIL</x:v>
      </x:c>
      <x:c r="F6" s="18" t="str">
        <x:v>回测无法完全模拟执行和逆向选择。</x:v>
      </x:c>
      <x:c r="G6" s="18" t="str">
        <x:v>继续 paper</x:v>
      </x:c>
    </x:row>
    <x:row r="7">
      <x:c r="A7" s="18" t="str">
        <x:v>Paper resolved trades</x:v>
      </x:c>
      <x:c r="B7" s="18" t="str">
        <x:v>&gt;= Assumptions trades</x:v>
      </x:c>
      <x:c r="C7" s="18" t="n">
        <x:v>0</x:v>
      </x:c>
      <x:c r="D7" s="18" t="str">
        <x:v>净 PnL、logloss、ECE、DD 均达标</x:v>
      </x:c>
      <x:c r="E7" s="18" t="str">
        <x:f>IF(C7&gt;=Assumptions!$C$20,"PASS","FAIL")</x:f>
        <x:v>FAIL</x:v>
      </x:c>
      <x:c r="F7" s="18" t="str">
        <x:v>必须有足够已判定交易，不能只看浮盈。</x:v>
      </x:c>
      <x:c r="G7" s="18" t="str">
        <x:v>继续 paper 或降频</x:v>
      </x:c>
    </x:row>
    <x:row r="8">
      <x:c r="A8" s="18" t="str">
        <x:v>Small capital pilot</x:v>
      </x:c>
      <x:c r="B8" s="18" t="str">
        <x:v>&gt;= 7 calendar days</x:v>
      </x:c>
      <x:c r="C8" s="18" t="n">
        <x:v>0</x:v>
      </x:c>
      <x:c r="D8" s="18" t="str">
        <x:v>仓位 &lt;= 10% target; no risk breach</x:v>
      </x:c>
      <x:c r="E8" s="18" t="str">
        <x:f>IF(C8&gt;=7,"PASS","FAIL")</x:f>
        <x:v>FAIL</x:v>
      </x:c>
      <x:c r="F8" s="18" t="str">
        <x:v>实盘小资金验证资金/接口/心理/风控。</x:v>
      </x:c>
      <x:c r="G8" s="18" t="str">
        <x:v>维持小资金或停机</x:v>
      </x:c>
    </x:row>
    <x:row r="9">
      <x:c r="A9" s="18" t="str">
        <x:v>Scale-up</x:v>
      </x:c>
      <x:c r="B9" s="18" t="str">
        <x:v>&gt;= 4 weeks stable</x:v>
      </x:c>
      <x:c r="C9" s="18" t="n">
        <x:v>0</x:v>
      </x:c>
      <x:c r="D9" s="18" t="str">
        <x:v>每周扩大不超过 2x，且所有桶稳定</x:v>
      </x:c>
      <x:c r="E9" s="18" t="str">
        <x:f>IF(C9&gt;=28,"PASS","FAIL")</x:f>
        <x:v>FAIL</x:v>
      </x:c>
      <x:c r="F9" s="18" t="str">
        <x:v>策略稳定性是分桶和路径稳定，不是某天赚钱。</x:v>
      </x:c>
      <x:c r="G9" s="18" t="str">
        <x:v>不扩大或回滚</x:v>
      </x:c>
    </x:row>
    <x:row r="13" ht="22" customHeight="1">
      <x:c r="A13" s="23" t="str">
        <x:v>上线状态输入（Dashboard 引用）</x:v>
      </x:c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5">
      <x:c r="A15" s="13" t="str">
        <x:v>Metric</x:v>
      </x:c>
      <x:c r="B15" s="13" t="str">
        <x:v>Description</x:v>
      </x:c>
      <x:c r="C15" s="13" t="str">
        <x:v>Current value</x:v>
      </x:c>
      <x:c r="D15" s="13" t="str">
        <x:v>Target</x:v>
      </x:c>
    </x:row>
    <x:row r="16">
      <x:c r="A16" t="str">
        <x:v>Paper trading days</x:v>
      </x:c>
      <x:c r="B16" t="str">
        <x:v>影子账户/模拟实盘连续天数</x:v>
      </x:c>
      <x:c r="C16" s="29" t="n">
        <x:v>0</x:v>
      </x:c>
      <x:c r="D16" t="n">
        <x:f>Assumptions!C19</x:f>
        <x:v>300</x:v>
      </x:c>
    </x:row>
    <x:row r="17">
      <x:c r="A17" t="str">
        <x:v>Resolved paper trades</x:v>
      </x:c>
      <x:c r="B17" t="str">
        <x:v>已判定且可归因的交易数</x:v>
      </x:c>
      <x:c r="C17" s="29" t="n">
        <x:v>0</x:v>
      </x:c>
      <x:c r="D17" t="n">
        <x:f>Assumptions!C20</x:f>
        <x:v>14</x:v>
      </x:c>
    </x:row>
    <x:row r="20" ht="22" customHeight="1">
      <x:c r="A20" s="23" t="str">
        <x:v>回答：策略多久稳定才能上线？</x:v>
      </x:c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18" t="str">
        <x:v>保守答案</x:v>
      </x:c>
      <x:c r="B21" s="18" t="str">
        <x:v>至少：严格 OOS 通过 + 14 天 paper trading + &gt;=1000 笔已判定交易 + 极端价格桶单独达标；然后 7 天小资金灰度。</x:v>
      </x:c>
      <x:c r="C21" t="str"/>
      <x:c r="D21" t="str"/>
      <x:c r="E21" t="str"/>
      <x:c r="F21" t="str"/>
      <x:c r="G21" t="str"/>
      <x:c r="H21" t="str"/>
      <x:c r="I21" t="str"/>
      <x:c r="J21" t="str"/>
    </x:row>
    <x:row r="22">
      <x:c r="A22" s="18" t="str">
        <x:v>为什么不是固定天数</x:v>
      </x:c>
      <x:c r="B22" s="18" t="str">
        <x:v>5–10秒决策会产生很多观测，但独立样本是“事件/行情状态/可成交机会”，不是每秒一条。</x:v>
      </x:c>
      <x:c r="C22" t="str"/>
      <x:c r="D22" t="str"/>
      <x:c r="E22" t="str"/>
      <x:c r="F22" t="str"/>
      <x:c r="G22" t="str"/>
      <x:c r="H22" t="str"/>
      <x:c r="I22" t="str"/>
      <x:c r="J22" t="str"/>
    </x:row>
    <x:row r="23">
      <x:c r="A23" s="18" t="str">
        <x:v>边界价要求更高</x:v>
      </x:c>
      <x:c r="B23" s="18" t="str">
        <x:v>p=0.95 一类交易不能因为总体样本赚钱就上线；必须 0.90+ 桶单独通过。</x:v>
      </x:c>
      <x:c r="C23" t="str"/>
      <x:c r="D23" t="str"/>
      <x:c r="E23" t="str"/>
      <x:c r="F23" t="str"/>
      <x:c r="G23" t="str"/>
      <x:c r="H23" t="str"/>
      <x:c r="I23" t="str"/>
      <x:c r="J23" t="str"/>
    </x:row>
    <x:row r="24">
      <x:c r="A24" s="18" t="str">
        <x:v>上线后仍不稳定</x:v>
      </x:c>
      <x:c r="B24" s="18" t="str">
        <x:v>上线不是终点；一旦 calibration/ECE、slippage、bucket PnL、drawdown 漂移，自动降仓或停机。</x:v>
      </x:c>
      <x:c r="C24" t="str"/>
      <x:c r="D24" t="str"/>
      <x:c r="E24" t="str"/>
      <x:c r="F24" t="str"/>
      <x:c r="G24" t="str"/>
      <x:c r="H24" t="str"/>
      <x:c r="I24" t="str"/>
      <x:c r="J24" t="str"/>
    </x:row>
    <x:row r="25">
      <x:c r="A25" s="18" t="str">
        <x:v>数据建议</x:v>
      </x:c>
      <x:c r="B25" s="18" t="str">
        <x:v>1个月历史可以做 MVP；若要较大资金，建议累积至少多个波动 regime 的数据。</x:v>
      </x:c>
      <x:c r="C25" t="str"/>
      <x:c r="D25" t="str"/>
      <x:c r="E25" t="str"/>
      <x:c r="F25" t="str"/>
      <x:c r="G25" t="str"/>
      <x:c r="H25" t="str"/>
      <x:c r="I25" t="str"/>
      <x:c r="J25" t="str"/>
    </x:row>
    <x:row r="26">
      <x:c r="A26" s="18" t="str">
        <x:v>禁止项</x:v>
      </x:c>
      <x:c r="B26" s="18" t="str">
        <x:v>禁止根据 final test 反复调参；禁止只看胜率；禁止用 mid price 回测吃单策略。</x:v>
      </x:c>
      <x:c r="C26" t="str"/>
      <x:c r="D26" t="str"/>
      <x:c r="E26" t="str"/>
      <x:c r="F26" t="str"/>
      <x:c r="G26" t="str"/>
      <x:c r="H26" t="str"/>
      <x:c r="I26" t="str"/>
      <x:c r="J26" t="str"/>
    </x:row>
  </x:sheetData>
  <x:mergeCells>
    <x:mergeCell ref="A1:J1"/>
    <x:mergeCell ref="A13:J13"/>
    <x:mergeCell ref="A20:J20"/>
  </x:mergeCells>
  <x:conditionalFormatting sqref="E4:E9">
    <x:cfRule type="expression" dxfId="14" priority="1">
      <x:formula>E4="PASS"</x:formula>
    </x:cfRule>
    <x:cfRule type="expression" dxfId="15" priority="2">
      <x:formula>OR(E4="FAIL",E4="CHECK_METRICS")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a4b24a8ef34fd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2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Risk_Execution｜不对称 payoff 下的风控与执行规则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3" t="str">
        <x:v>Risk / Rule</x:v>
      </x:c>
      <x:c r="B3" s="13" t="str">
        <x:v>Trigger</x:v>
      </x:c>
      <x:c r="C3" s="13" t="str">
        <x:v>Action</x:v>
      </x:c>
      <x:c r="D3" s="13" t="str">
        <x:v>Rationale</x:v>
      </x:c>
      <x:c r="E3" s="13" t="str">
        <x:v>Implementation</x:v>
      </x:c>
    </x:row>
    <x:row r="4">
      <x:c r="A4" s="18" t="str">
        <x:v>Boundary price cap</x:v>
      </x:c>
      <x:c r="B4" s="18" t="str">
        <x:v>p&gt;=0.90 or p&lt;=0.10</x:v>
      </x:c>
      <x:c r="C4" s="18" t="str">
        <x:v>Kelly shrink x 0.25–0.50；edge threshold 提高</x:v>
      </x:c>
      <x:c r="D4" s="18" t="str">
        <x:v>小概率错误会产生大额亏损。</x:v>
      </x:c>
      <x:c r="E4" s="18" t="str">
        <x:v>Decision engine 按 price bucket 调阈值。</x:v>
      </x:c>
    </x:row>
    <x:row r="5">
      <x:c r="A5" s="18" t="str">
        <x:v>Single event exposure</x:v>
      </x:c>
      <x:c r="B5" s="18" t="str">
        <x:v>同一 market/event 多次交易累计</x:v>
      </x:c>
      <x:c r="C5" s="18" t="str">
        <x:v>总本金 &lt;= Assumptions max exposure</x:v>
      </x:c>
      <x:c r="D5" s="18" t="str">
        <x:v>多次 5s 交易不能绕过单事件风险。</x:v>
      </x:c>
      <x:c r="E5" s="18" t="str">
        <x:v>按 market_id 聚合 active stake。</x:v>
      </x:c>
    </x:row>
    <x:row r="6">
      <x:c r="A6" s="18" t="str">
        <x:v>Correlated event cap</x:v>
      </x:c>
      <x:c r="B6" s="18" t="str">
        <x:v>同一 underlying / 同一时间窗多个市场</x:v>
      </x:c>
      <x:c r="C6" s="18" t="str">
        <x:v>相关敞口合并计算</x:v>
      </x:c>
      <x:c r="D6" s="18" t="str">
        <x:v>BTC 事件之间高度相关。</x:v>
      </x:c>
      <x:c r="E6" s="18" t="str">
        <x:v>按 underlying + end_time bucket 聚合。</x:v>
      </x:c>
    </x:row>
    <x:row r="7">
      <x:c r="A7" s="18" t="str">
        <x:v>No-new-trade zone</x:v>
      </x:c>
      <x:c r="B7" s="18" t="str">
        <x:v>距离 resolution &lt;= N 秒</x:v>
      </x:c>
      <x:c r="C7" s="18" t="str">
        <x:v>禁止新开仓，只允许减仓/平仓</x:v>
      </x:c>
      <x:c r="D7" s="18" t="str">
        <x:v>终局跳变、延迟和争议风险上升。</x:v>
      </x:c>
      <x:c r="E7" s="18" t="str">
        <x:v>参数来自 Assumptions。</x:v>
      </x:c>
    </x:row>
    <x:row r="8">
      <x:c r="A8" s="18" t="str">
        <x:v>Depth / spread gate</x:v>
      </x:c>
      <x:c r="B8" s="18" t="str">
        <x:v>spread 或冲击成本过高</x:v>
      </x:c>
      <x:c r="C8" s="18" t="str">
        <x:v>不交易或挂单等待</x:v>
      </x:c>
      <x:c r="D8" s="18" t="str">
        <x:v>理论 edge 不能覆盖执行成本。</x:v>
      </x:c>
      <x:c r="E8" s="18" t="str">
        <x:v>用可成交量和 depth curve 估计 slippage。</x:v>
      </x:c>
    </x:row>
    <x:row r="9">
      <x:c r="A9" s="18" t="str">
        <x:v>Adverse selection gate</x:v>
      </x:c>
      <x:c r="B9" s="18" t="str">
        <x:v>最近 fill 后不利漂移升高</x:v>
      </x:c>
      <x:c r="C9" s="18" t="str">
        <x:v>改挂单/减仓/暂停该市场</x:v>
      </x:c>
      <x:c r="D9" s="18" t="str">
        <x:v>避免被更快/更知情对手收割。</x:v>
      </x:c>
      <x:c r="E9" s="18" t="str">
        <x:v>按 fill bucket 监控 5s/10s adverse move。</x:v>
      </x:c>
    </x:row>
    <x:row r="10">
      <x:c r="A10" s="18" t="str">
        <x:v>Daily loss stop</x:v>
      </x:c>
      <x:c r="B10" s="18" t="str">
        <x:v>当日净亏损超过阈值</x:v>
      </x:c>
      <x:c r="C10" s="18" t="str">
        <x:v>停止开新仓；只管理风险</x:v>
      </x:c>
      <x:c r="D10" s="18" t="str">
        <x:v>防止策略失效日扩大亏损。</x:v>
      </x:c>
      <x:c r="E10" s="18" t="str">
        <x:v>实时 bankroll 与交易日志计算。</x:v>
      </x:c>
    </x:row>
    <x:row r="11">
      <x:c r="A11" s="18" t="str">
        <x:v>Calibration drift</x:v>
      </x:c>
      <x:c r="B11" s="18" t="str">
        <x:v>实际胜率低于 q bucket 置信区间</x:v>
      </x:c>
      <x:c r="C11" s="18" t="str">
        <x:v>降仓/停边界价交易/重训</x:v>
      </x:c>
      <x:c r="D11" s="18" t="str">
        <x:v>概率模型失效比 PnL 更早出现。</x:v>
      </x:c>
      <x:c r="E11" s="18" t="str">
        <x:v>监控 ECE、reliability curve。</x:v>
      </x:c>
    </x:row>
    <x:row r="12">
      <x:c r="A12" s="18" t="str">
        <x:v>API / data outage</x:v>
      </x:c>
      <x:c r="B12" s="18" t="str">
        <x:v>数据延迟、缺口、订单失败</x:v>
      </x:c>
      <x:c r="C12" s="18" t="str">
        <x:v>Cancel open orders; safe mode</x:v>
      </x:c>
      <x:c r="D12" s="18" t="str">
        <x:v>秒级系统依赖数据完整性。</x:v>
      </x:c>
      <x:c r="E12" s="18" t="str">
        <x:v>heartbeat + stale data kill-switch。</x:v>
      </x:c>
    </x:row>
    <x:row r="13">
      <x:c r="A13" s="18" t="str">
        <x:v>Resolution dispute / ambiguity</x:v>
      </x:c>
      <x:c r="B13" s="18" t="str">
        <x:v>市场规则或判定异常</x:v>
      </x:c>
      <x:c r="C13" s="18" t="str">
        <x:v>禁止新仓，手动审查</x:v>
      </x:c>
      <x:c r="D13" s="18" t="str">
        <x:v>二元市场不是纯技术指标市场。</x:v>
      </x:c>
      <x:c r="E13" s="18" t="str">
        <x:v>market-level blacklist。</x:v>
      </x:c>
    </x:row>
    <x:row r="17" ht="22" customHeight="1">
      <x:c r="A17" s="23" t="str">
        <x:v>执行优先级</x:v>
      </x:c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18" t="str">
        <x:v>1</x:v>
      </x:c>
      <x:c r="B18" s="18" t="str">
        <x:v>先判断能否真实成交：用 ask/bid 和 depth，而不是 mid。</x:v>
      </x:c>
      <x:c r="C18" t="str"/>
      <x:c r="D18" t="str"/>
      <x:c r="E18" t="str"/>
      <x:c r="F18" t="str"/>
      <x:c r="G18" t="str"/>
      <x:c r="H18" t="str"/>
      <x:c r="I18" t="str"/>
      <x:c r="J18" t="str"/>
    </x:row>
    <x:row r="19">
      <x:c r="A19" s="18" t="str">
        <x:v>2</x:v>
      </x:c>
      <x:c r="B19" s="18" t="str">
        <x:v>再判断 edge：q_side - executable_price - cost 必须过阈值。</x:v>
      </x:c>
      <x:c r="C19" t="str"/>
      <x:c r="D19" t="str"/>
      <x:c r="E19" t="str"/>
      <x:c r="F19" t="str"/>
      <x:c r="G19" t="str"/>
      <x:c r="H19" t="str"/>
      <x:c r="I19" t="str"/>
      <x:c r="J19" t="str"/>
    </x:row>
    <x:row r="20">
      <x:c r="A20" s="18" t="str">
        <x:v>3</x:v>
      </x:c>
      <x:c r="B20" s="18" t="str">
        <x:v>再判断风控：event cap、daily loss、boundary cap、no-trade zone。</x:v>
      </x:c>
      <x:c r="C20" t="str"/>
      <x:c r="D20" t="str"/>
      <x:c r="E20" t="str"/>
      <x:c r="F20" t="str"/>
      <x:c r="G20" t="str"/>
      <x:c r="H20" t="str"/>
      <x:c r="I20" t="str"/>
      <x:c r="J20" t="str"/>
    </x:row>
    <x:row r="21">
      <x:c r="A21" s="18" t="str">
        <x:v>4</x:v>
      </x:c>
      <x:c r="B21" s="18" t="str">
        <x:v>再决定 maker/taker：不确定时宁可错过，不要在 p=0.95 追成交。</x:v>
      </x:c>
      <x:c r="C21" t="str"/>
      <x:c r="D21" t="str"/>
      <x:c r="E21" t="str"/>
      <x:c r="F21" t="str"/>
      <x:c r="G21" t="str"/>
      <x:c r="H21" t="str"/>
      <x:c r="I21" t="str"/>
      <x:c r="J21" t="str"/>
    </x:row>
    <x:row r="22">
      <x:c r="A22" s="18" t="str">
        <x:v>5</x:v>
      </x:c>
      <x:c r="B22" s="18" t="str">
        <x:v>最后记录所有未成交和撤单：未成交机会不能算收益。</x:v>
      </x:c>
      <x:c r="C22" t="str"/>
      <x:c r="D22" t="str"/>
      <x:c r="E22" t="str"/>
      <x:c r="F22" t="str"/>
      <x:c r="G22" t="str"/>
      <x:c r="H22" t="str"/>
      <x:c r="I22" t="str"/>
      <x:c r="J22" t="str"/>
    </x:row>
  </x:sheetData>
  <x:mergeCells>
    <x:mergeCell ref="A1:J1"/>
    <x:mergeCell ref="A17:J17"/>
  </x:mergeCells>
  <x:pageMargins left="0.7" right="0.7" top="0.75" bottom="0.75" header="0.3" footer="0.3"/>
  <x:tableParts count="1">
    <x:tablePart xmlns:r="http://schemas.openxmlformats.org/officeDocument/2006/relationships" r:id="R9abe25a3d4654c7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3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5" t="str">
        <x:v>Monitoring｜上线后监控、漂移检测、熔断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2" customHeight="1">
      <x:c r="A3" s="13" t="str">
        <x:v>Metric</x:v>
      </x:c>
      <x:c r="B3" s="13" t="str">
        <x:v>Bucket</x:v>
      </x:c>
      <x:c r="C3" s="13" t="str">
        <x:v>Frequency</x:v>
      </x:c>
      <x:c r="D3" s="13" t="str">
        <x:v>Formula / Method</x:v>
      </x:c>
      <x:c r="E3" s="13" t="str">
        <x:v>Green</x:v>
      </x:c>
      <x:c r="F3" s="13" t="str">
        <x:v>Yellow</x:v>
      </x:c>
      <x:c r="G3" s="13" t="str">
        <x:v>Red action</x:v>
      </x:c>
    </x:row>
    <x:row r="4">
      <x:c r="A4" s="18" t="str">
        <x:v>Net PnL after costs</x:v>
      </x:c>
      <x:c r="B4" s="18" t="str">
        <x:v>overall / market / price bucket</x:v>
      </x:c>
      <x:c r="C4" s="18" t="str">
        <x:v>real-time + daily</x:v>
      </x:c>
      <x:c r="D4" s="18" t="str">
        <x:v>sum(net_pnl)</x:v>
      </x:c>
      <x:c r="E4" s="18" t="str">
        <x:v>&gt; expected band</x:v>
      </x:c>
      <x:c r="F4" s="18" t="str">
        <x:v>below expected</x:v>
      </x:c>
      <x:c r="G4" s="18" t="str">
        <x:v>stop new trades if breach daily loss</x:v>
      </x:c>
    </x:row>
    <x:row r="5">
      <x:c r="A5" s="18" t="str">
        <x:v>Calibration ECE</x:v>
      </x:c>
      <x:c r="B5" s="18" t="str">
        <x:v>q bucket × p bucket × tte bucket</x:v>
      </x:c>
      <x:c r="C5" s="18" t="str">
        <x:v>hourly/daily</x:v>
      </x:c>
      <x:c r="D5" s="18" t="str">
        <x:v>sum(|avg(q)-avg(y)|*bucket_weight)</x:v>
      </x:c>
      <x:c r="E5" s="18" t="str">
        <x:v>&lt; Assumptions!C26</x:v>
      </x:c>
      <x:c r="F5" s="18" t="str">
        <x:v>near limit</x:v>
      </x:c>
      <x:c r="G5" s="18" t="str">
        <x:v>reduce size / retrain / disable bucket</x:v>
      </x:c>
    </x:row>
    <x:row r="6">
      <x:c r="A6" s="18" t="str">
        <x:v>Brier / LogLoss</x:v>
      </x:c>
      <x:c r="B6" s="18" t="str">
        <x:v>overall + folds</x:v>
      </x:c>
      <x:c r="C6" s="18" t="str">
        <x:v>daily</x:v>
      </x:c>
      <x:c r="D6" s="18" t="str">
        <x:v>probability loss vs baseline p</x:v>
      </x:c>
      <x:c r="E6" s="18" t="str">
        <x:v>better than baseline</x:v>
      </x:c>
      <x:c r="F6" s="18" t="str">
        <x:v>flat</x:v>
      </x:c>
      <x:c r="G6" s="18" t="str">
        <x:v>disable model if worse</x:v>
      </x:c>
    </x:row>
    <x:row r="7">
      <x:c r="A7" s="18" t="str">
        <x:v>Extreme bucket EV</x:v>
      </x:c>
      <x:c r="B7" s="18" t="str">
        <x:v>p&gt;=0.90 / p&lt;=0.10</x:v>
      </x:c>
      <x:c r="C7" s="18" t="str">
        <x:v>real-time + daily</x:v>
      </x:c>
      <x:c r="D7" s="18" t="str">
        <x:v>avg(q-p-cost) and realized pnl</x:v>
      </x:c>
      <x:c r="E7" s="18" t="str">
        <x:v>&gt;0 stable</x:v>
      </x:c>
      <x:c r="F7" s="18" t="str">
        <x:v>low sample/flat</x:v>
      </x:c>
      <x:c r="G7" s="18" t="str">
        <x:v>disable boundary trading</x:v>
      </x:c>
    </x:row>
    <x:row r="8">
      <x:c r="A8" s="18" t="str">
        <x:v>Slippage error</x:v>
      </x:c>
      <x:c r="B8" s="18" t="str">
        <x:v>market/liquidity bucket</x:v>
      </x:c>
      <x:c r="C8" s="18" t="str">
        <x:v>real-time</x:v>
      </x:c>
      <x:c r="D8" s="18" t="str">
        <x:v>actual_fill - expected_executable</x:v>
      </x:c>
      <x:c r="E8" s="18" t="str">
        <x:v>&lt; planned</x:v>
      </x:c>
      <x:c r="F8" s="18" t="str">
        <x:v>rising</x:v>
      </x:c>
      <x:c r="G8" s="18" t="str">
        <x:v>widen cost model / stop taker</x:v>
      </x:c>
    </x:row>
    <x:row r="9">
      <x:c r="A9" s="18" t="str">
        <x:v>Fill adverse move</x:v>
      </x:c>
      <x:c r="B9" s="18" t="str">
        <x:v>maker/taker bucket</x:v>
      </x:c>
      <x:c r="C9" s="18" t="str">
        <x:v>hourly</x:v>
      </x:c>
      <x:c r="D9" s="18" t="str">
        <x:v>price move after fill 5s/10s</x:v>
      </x:c>
      <x:c r="E9" s="18" t="str">
        <x:v>near 0 or favorable</x:v>
      </x:c>
      <x:c r="F9" s="18" t="str">
        <x:v>adverse</x:v>
      </x:c>
      <x:c r="G9" s="18" t="str">
        <x:v>reduce aggressiveness</x:v>
      </x:c>
    </x:row>
    <x:row r="10">
      <x:c r="A10" s="18" t="str">
        <x:v>Latency / stale data</x:v>
      </x:c>
      <x:c r="B10" s="18" t="str">
        <x:v>infra</x:v>
      </x:c>
      <x:c r="C10" s="18" t="str">
        <x:v>real-time</x:v>
      </x:c>
      <x:c r="D10" s="18" t="str">
        <x:v>ingest_time - event_time</x:v>
      </x:c>
      <x:c r="E10" s="18" t="str">
        <x:v>within SLA</x:v>
      </x:c>
      <x:c r="F10" s="18" t="str">
        <x:v>p95 rising</x:v>
      </x:c>
      <x:c r="G10" s="18" t="str">
        <x:v>cancel orders / safe mode</x:v>
      </x:c>
    </x:row>
    <x:row r="11">
      <x:c r="A11" s="18" t="str">
        <x:v>Drawdown</x:v>
      </x:c>
      <x:c r="B11" s="18" t="str">
        <x:v>strategy/book</x:v>
      </x:c>
      <x:c r="C11" s="18" t="str">
        <x:v>real-time</x:v>
      </x:c>
      <x:c r="D11" s="18" t="str">
        <x:v>equity / peak - 1</x:v>
      </x:c>
      <x:c r="E11" s="18" t="str">
        <x:v>within band</x:v>
      </x:c>
      <x:c r="F11" s="18" t="str">
        <x:v>approaching halt</x:v>
      </x:c>
      <x:c r="G11" s="18" t="str">
        <x:v>halt strategy</x:v>
      </x:c>
    </x:row>
    <x:row r="15" ht="22" customHeight="1">
      <x:c r="A15" s="23" t="str">
        <x:v>自动动作优先级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>
      <x:c r="A16" s="18" t="str">
        <x:v>Level</x:v>
      </x:c>
      <x:c r="B16" s="18" t="str">
        <x:v>Trigger</x:v>
      </x:c>
      <x:c r="C16" s="18" t="str">
        <x:v>Action</x:v>
      </x:c>
      <x:c r="D16" t="str"/>
      <x:c r="E16" t="str"/>
      <x:c r="F16" t="str"/>
      <x:c r="G16" t="str"/>
      <x:c r="H16" t="str"/>
      <x:c r="I16" t="str"/>
      <x:c r="J16" t="str"/>
      <x:c r="K16" t="str"/>
    </x:row>
    <x:row r="17">
      <x:c r="A17" s="18" t="str">
        <x:v>L1 Warn</x:v>
      </x:c>
      <x:c r="B17" s="18" t="str">
        <x:v>单项指标进入黄色区</x:v>
      </x:c>
      <x:c r="C17" s="18" t="str">
        <x:v>降低交易频率、提高 edge threshold、通知。</x:v>
      </x:c>
      <x:c r="D17" t="str"/>
      <x:c r="E17" t="str"/>
      <x:c r="F17" t="str"/>
      <x:c r="G17" t="str"/>
      <x:c r="H17" t="str"/>
      <x:c r="I17" t="str"/>
      <x:c r="J17" t="str"/>
      <x:c r="K17" t="str"/>
    </x:row>
    <x:row r="18">
      <x:c r="A18" s="18" t="str">
        <x:v>L2 De-risk</x:v>
      </x:c>
      <x:c r="B18" s="18" t="str">
        <x:v>多个指标黄色或一个关键指标红色</x:v>
      </x:c>
      <x:c r="C18" s="18" t="str">
        <x:v>仓位减半，禁边界价，禁 taker。</x:v>
      </x:c>
      <x:c r="D18" t="str"/>
      <x:c r="E18" t="str"/>
      <x:c r="F18" t="str"/>
      <x:c r="G18" t="str"/>
      <x:c r="H18" t="str"/>
      <x:c r="I18" t="str"/>
      <x:c r="J18" t="str"/>
      <x:c r="K18" t="str"/>
    </x:row>
    <x:row r="19">
      <x:c r="A19" s="18" t="str">
        <x:v>L3 Halt</x:v>
      </x:c>
      <x:c r="B19" s="18" t="str">
        <x:v>daily loss / stale data / calibration breach</x:v>
      </x:c>
      <x:c r="C19" s="18" t="str">
        <x:v>取消未成交订单，停止新开仓。</x:v>
      </x:c>
      <x:c r="D19" t="str"/>
      <x:c r="E19" t="str"/>
      <x:c r="F19" t="str"/>
      <x:c r="G19" t="str"/>
      <x:c r="H19" t="str"/>
      <x:c r="I19" t="str"/>
      <x:c r="J19" t="str"/>
      <x:c r="K19" t="str"/>
    </x:row>
    <x:row r="20">
      <x:c r="A20" s="18" t="str">
        <x:v>L4 Rollback</x:v>
      </x:c>
      <x:c r="B20" s="18" t="str">
        <x:v>连续多日失效或上线后明显劣化</x:v>
      </x:c>
      <x:c r="C20" s="18" t="str">
        <x:v>回滚到上一稳定版本或停机重训。</x:v>
      </x:c>
      <x:c r="D20" t="str"/>
      <x:c r="E20" t="str"/>
      <x:c r="F20" t="str"/>
      <x:c r="G20" t="str"/>
      <x:c r="H20" t="str"/>
      <x:c r="I20" t="str"/>
      <x:c r="J20" t="str"/>
      <x:c r="K20" t="str"/>
    </x:row>
    <x:row r="21">
      <x:c r="A21" s="18" t="str">
        <x:v>Postmortem</x:v>
      </x:c>
      <x:c r="B21" s="18" t="str">
        <x:v>任何 L3/L4</x:v>
      </x:c>
      <x:c r="C21" s="18" t="str">
        <x:v>记录根因：数据、模型、执行、市场 regime、外部事件。</x:v>
      </x:c>
      <x:c r="D21" t="str"/>
      <x:c r="E21" t="str"/>
      <x:c r="F21" t="str"/>
      <x:c r="G21" t="str"/>
      <x:c r="H21" t="str"/>
      <x:c r="I21" t="str"/>
      <x:c r="J21" t="str"/>
      <x:c r="K21" t="str"/>
    </x:row>
  </x:sheetData>
  <x:mergeCells>
    <x:mergeCell ref="A1:K1"/>
    <x:mergeCell ref="A15:K15"/>
  </x:mergeCells>
  <x:pageMargins left="0.7" right="0.7" top="0.75" bottom="0.75" header="0.3" footer="0.3"/>
  <x:tableParts count="1">
    <x:tablePart xmlns:r="http://schemas.openxmlformats.org/officeDocument/2006/relationships" r:id="Rf071ad481bc742e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20" hidden="0" customWidth="1"/>
    <x:col min="6" max="6" width="12" hidden="0" customWidth="1"/>
    <x:col min="7" max="7" width="28" hidden="0" customWidth="1"/>
    <x:col min="8" max="8" width="16" hidden="0" customWidth="1"/>
    <x:col min="9" max="9" width="16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14" hidden="0" customWidth="1"/>
    <x:col min="16" max="16" width="50" hidden="0" customWidth="1"/>
  </x:cols>
  <x:sheetData>
    <x:row r="1" ht="28" customHeight="1">
      <x:c r="A1" s="5" t="str">
        <x:v>Experiment_Log｜实验记录与上线审计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3" t="str">
        <x:v>Date</x:v>
      </x:c>
      <x:c r="B3" s="13" t="str">
        <x:v>Run_ID</x:v>
      </x:c>
      <x:c r="C3" s="13" t="str">
        <x:v>Data_Version</x:v>
      </x:c>
      <x:c r="D3" s="13" t="str">
        <x:v>Model_Version</x:v>
      </x:c>
      <x:c r="E3" s="13" t="str">
        <x:v>Feature_Set</x:v>
      </x:c>
      <x:c r="F3" s="13" t="str">
        <x:v>Split_ID</x:v>
      </x:c>
      <x:c r="G3" s="13" t="str">
        <x:v>Params_Changed</x:v>
      </x:c>
      <x:c r="H3" s="13" t="str">
        <x:v>OOS_LogLoss_Delta</x:v>
      </x:c>
      <x:c r="I3" s="13" t="str">
        <x:v>OOS_Brier_Delta</x:v>
      </x:c>
      <x:c r="J3" s="13" t="str">
        <x:v>Net_PnL</x:v>
      </x:c>
      <x:c r="K3" s="13" t="str">
        <x:v>Max_DD</x:v>
      </x:c>
      <x:c r="L3" s="13" t="str">
        <x:v>Extreme_EV</x:v>
      </x:c>
      <x:c r="M3" s="13" t="str">
        <x:v>ECE</x:v>
      </x:c>
      <x:c r="N3" s="13" t="str">
        <x:v>Decision</x:v>
      </x:c>
      <x:c r="O3" s="13" t="str">
        <x:v>Reviewer</x:v>
      </x:c>
      <x:c r="P3" s="13" t="str">
        <x:v>Notes</x:v>
      </x:c>
    </x:row>
    <x:row r="4">
      <x:c r="A4" s="86" t="n">
        <x:v>46173</x:v>
      </x:c>
      <x:c r="B4" t="str">
        <x:v>run_001</x:v>
      </x:c>
      <x:c r="C4" t="str">
        <x:v>pm_sec_v1</x:v>
      </x:c>
      <x:c r="D4" t="str">
        <x:v>logit_residual_v1</x:v>
      </x:c>
      <x:c r="E4" t="str">
        <x:v>P0 factors</x:v>
      </x:c>
      <x:c r="F4" t="str">
        <x:v>fold_1_5</x:v>
      </x:c>
      <x:c r="G4" t="str">
        <x:v>baseline only</x:v>
      </x:c>
      <x:c r="H4" s="76" t="n">
        <x:v>-0.0012</x:v>
      </x:c>
      <x:c r="I4" s="76" t="n">
        <x:v>-0.0008</x:v>
      </x:c>
      <x:c r="J4" s="78" t="n">
        <x:v>125.4</x:v>
      </x:c>
      <x:c r="K4" s="78" t="n">
        <x:v>-0.018</x:v>
      </x:c>
      <x:c r="L4" s="78" t="n">
        <x:v>0.002</x:v>
      </x:c>
      <x:c r="M4" s="74" t="n">
        <x:v>0.012</x:v>
      </x:c>
      <x:c r="N4" t="str">
        <x:v>KEEP</x:v>
      </x:c>
      <x:c r="O4" t="str">
        <x:v>Owner</x:v>
      </x:c>
      <x:c r="P4" t="str">
        <x:v>示例：先用 market prior + 少量 P0 因子。</x:v>
      </x:c>
    </x:row>
    <x:row r="5">
      <x:c r="A5" s="86" t="str"/>
      <x:c r="B5" t="str"/>
      <x:c r="C5" t="str"/>
      <x:c r="D5" t="str"/>
      <x:c r="E5" t="str"/>
      <x:c r="F5" t="str"/>
      <x:c r="G5" t="str"/>
      <x:c r="H5" s="76" t="str"/>
      <x:c r="I5" s="76" t="str"/>
      <x:c r="J5" s="78" t="str"/>
      <x:c r="K5" s="78" t="str"/>
      <x:c r="L5" s="78" t="str"/>
      <x:c r="M5" s="74" t="str"/>
      <x:c r="N5" t="str"/>
      <x:c r="O5" t="str"/>
      <x:c r="P5" t="str"/>
    </x:row>
    <x:row r="6">
      <x:c r="A6" s="86" t="str"/>
      <x:c r="B6" t="str"/>
      <x:c r="C6" t="str"/>
      <x:c r="D6" t="str"/>
      <x:c r="E6" t="str"/>
      <x:c r="F6" t="str"/>
      <x:c r="G6" t="str"/>
      <x:c r="H6" s="76" t="str"/>
      <x:c r="I6" s="76" t="str"/>
      <x:c r="J6" s="78" t="str"/>
      <x:c r="K6" s="78" t="str"/>
      <x:c r="L6" s="78" t="str"/>
      <x:c r="M6" s="74" t="str"/>
      <x:c r="N6" t="str"/>
      <x:c r="O6" t="str"/>
      <x:c r="P6" t="str"/>
    </x:row>
    <x:row r="7">
      <x:c r="A7" s="86" t="str"/>
      <x:c r="B7" t="str"/>
      <x:c r="C7" t="str"/>
      <x:c r="D7" t="str"/>
      <x:c r="E7" t="str"/>
      <x:c r="F7" t="str"/>
      <x:c r="G7" t="str"/>
      <x:c r="H7" s="76" t="str"/>
      <x:c r="I7" s="76" t="str"/>
      <x:c r="J7" s="78" t="str"/>
      <x:c r="K7" s="78" t="str"/>
      <x:c r="L7" s="78" t="str"/>
      <x:c r="M7" s="74" t="str"/>
      <x:c r="N7" t="str"/>
      <x:c r="O7" t="str"/>
      <x:c r="P7" t="str"/>
    </x:row>
    <x:row r="8">
      <x:c r="A8" s="86" t="str"/>
      <x:c r="B8" t="str"/>
      <x:c r="C8" t="str"/>
      <x:c r="D8" t="str"/>
      <x:c r="E8" t="str"/>
      <x:c r="F8" t="str"/>
      <x:c r="G8" t="str"/>
      <x:c r="H8" s="76" t="str"/>
      <x:c r="I8" s="76" t="str"/>
      <x:c r="J8" s="78" t="str"/>
      <x:c r="K8" s="78" t="str"/>
      <x:c r="L8" s="78" t="str"/>
      <x:c r="M8" s="74" t="str"/>
      <x:c r="N8" t="str"/>
      <x:c r="O8" t="str"/>
      <x:c r="P8" t="str"/>
    </x:row>
    <x:row r="9">
      <x:c r="A9" s="86" t="str"/>
      <x:c r="B9" t="str"/>
      <x:c r="C9" t="str"/>
      <x:c r="D9" t="str"/>
      <x:c r="E9" t="str"/>
      <x:c r="F9" t="str"/>
      <x:c r="G9" t="str"/>
      <x:c r="H9" s="76" t="str"/>
      <x:c r="I9" s="76" t="str"/>
      <x:c r="J9" s="78" t="str"/>
      <x:c r="K9" s="78" t="str"/>
      <x:c r="L9" s="78" t="str"/>
      <x:c r="M9" s="74" t="str"/>
      <x:c r="N9" t="str"/>
      <x:c r="O9" t="str"/>
      <x:c r="P9" t="str"/>
    </x:row>
    <x:row r="10">
      <x:c r="A10" s="86" t="str"/>
      <x:c r="B10" t="str"/>
      <x:c r="C10" t="str"/>
      <x:c r="D10" t="str"/>
      <x:c r="E10" t="str"/>
      <x:c r="F10" t="str"/>
      <x:c r="G10" t="str"/>
      <x:c r="H10" s="76" t="str"/>
      <x:c r="I10" s="76" t="str"/>
      <x:c r="J10" s="78" t="str"/>
      <x:c r="K10" s="78" t="str"/>
      <x:c r="L10" s="78" t="str"/>
      <x:c r="M10" s="74" t="str"/>
      <x:c r="N10" t="str"/>
      <x:c r="O10" t="str"/>
      <x:c r="P10" t="str"/>
    </x:row>
    <x:row r="11">
      <x:c r="A11" s="86" t="str"/>
      <x:c r="B11" t="str"/>
      <x:c r="C11" t="str"/>
      <x:c r="D11" t="str"/>
      <x:c r="E11" t="str"/>
      <x:c r="F11" t="str"/>
      <x:c r="G11" t="str"/>
      <x:c r="H11" s="76" t="str"/>
      <x:c r="I11" s="76" t="str"/>
      <x:c r="J11" s="78" t="str"/>
      <x:c r="K11" s="78" t="str"/>
      <x:c r="L11" s="78" t="str"/>
      <x:c r="M11" s="74" t="str"/>
      <x:c r="N11" t="str"/>
      <x:c r="O11" t="str"/>
      <x:c r="P11" t="str"/>
    </x:row>
    <x:row r="12">
      <x:c r="A12" s="86" t="str"/>
      <x:c r="B12" t="str"/>
      <x:c r="C12" t="str"/>
      <x:c r="D12" t="str"/>
      <x:c r="E12" t="str"/>
      <x:c r="F12" t="str"/>
      <x:c r="G12" t="str"/>
      <x:c r="H12" s="76" t="str"/>
      <x:c r="I12" s="76" t="str"/>
      <x:c r="J12" s="78" t="str"/>
      <x:c r="K12" s="78" t="str"/>
      <x:c r="L12" s="78" t="str"/>
      <x:c r="M12" s="74" t="str"/>
      <x:c r="N12" t="str"/>
      <x:c r="O12" t="str"/>
      <x:c r="P12" t="str"/>
    </x:row>
    <x:row r="13">
      <x:c r="A13" s="86" t="str"/>
      <x:c r="B13" t="str"/>
      <x:c r="C13" t="str"/>
      <x:c r="D13" t="str"/>
      <x:c r="E13" t="str"/>
      <x:c r="F13" t="str"/>
      <x:c r="G13" t="str"/>
      <x:c r="H13" s="76" t="str"/>
      <x:c r="I13" s="76" t="str"/>
      <x:c r="J13" s="78" t="str"/>
      <x:c r="K13" s="78" t="str"/>
      <x:c r="L13" s="78" t="str"/>
      <x:c r="M13" s="74" t="str"/>
      <x:c r="N13" t="str"/>
      <x:c r="O13" t="str"/>
      <x:c r="P13" t="str"/>
    </x:row>
    <x:row r="14">
      <x:c r="A14" s="86" t="str"/>
      <x:c r="B14" t="str"/>
      <x:c r="C14" t="str"/>
      <x:c r="D14" t="str"/>
      <x:c r="E14" t="str"/>
      <x:c r="F14" t="str"/>
      <x:c r="G14" t="str"/>
      <x:c r="H14" s="76" t="str"/>
      <x:c r="I14" s="76" t="str"/>
      <x:c r="J14" s="78" t="str"/>
      <x:c r="K14" s="78" t="str"/>
      <x:c r="L14" s="78" t="str"/>
      <x:c r="M14" s="74" t="str"/>
      <x:c r="N14" t="str"/>
      <x:c r="O14" t="str"/>
      <x:c r="P14" t="str"/>
    </x:row>
    <x:row r="15">
      <x:c r="A15" s="86" t="str"/>
      <x:c r="B15" t="str"/>
      <x:c r="C15" t="str"/>
      <x:c r="D15" t="str"/>
      <x:c r="E15" t="str"/>
      <x:c r="F15" t="str"/>
      <x:c r="G15" t="str"/>
      <x:c r="H15" s="76" t="str"/>
      <x:c r="I15" s="76" t="str"/>
      <x:c r="J15" s="78" t="str"/>
      <x:c r="K15" s="78" t="str"/>
      <x:c r="L15" s="78" t="str"/>
      <x:c r="M15" s="74" t="str"/>
      <x:c r="N15" t="str"/>
      <x:c r="O15" t="str"/>
      <x:c r="P15" t="str"/>
    </x:row>
    <x:row r="16">
      <x:c r="A16" s="86" t="str"/>
      <x:c r="B16" t="str"/>
      <x:c r="C16" t="str"/>
      <x:c r="D16" t="str"/>
      <x:c r="E16" t="str"/>
      <x:c r="F16" t="str"/>
      <x:c r="G16" t="str"/>
      <x:c r="H16" s="76" t="str"/>
      <x:c r="I16" s="76" t="str"/>
      <x:c r="J16" s="78" t="str"/>
      <x:c r="K16" s="78" t="str"/>
      <x:c r="L16" s="78" t="str"/>
      <x:c r="M16" s="74" t="str"/>
      <x:c r="N16" t="str"/>
      <x:c r="O16" t="str"/>
      <x:c r="P16" t="str"/>
    </x:row>
    <x:row r="17">
      <x:c r="A17" s="86" t="str"/>
      <x:c r="B17" t="str"/>
      <x:c r="C17" t="str"/>
      <x:c r="D17" t="str"/>
      <x:c r="E17" t="str"/>
      <x:c r="F17" t="str"/>
      <x:c r="G17" t="str"/>
      <x:c r="H17" s="76" t="str"/>
      <x:c r="I17" s="76" t="str"/>
      <x:c r="J17" s="78" t="str"/>
      <x:c r="K17" s="78" t="str"/>
      <x:c r="L17" s="78" t="str"/>
      <x:c r="M17" s="74" t="str"/>
      <x:c r="N17" t="str"/>
      <x:c r="O17" t="str"/>
      <x:c r="P17" t="str"/>
    </x:row>
    <x:row r="18">
      <x:c r="A18" s="86" t="str"/>
      <x:c r="B18" t="str"/>
      <x:c r="C18" t="str"/>
      <x:c r="D18" t="str"/>
      <x:c r="E18" t="str"/>
      <x:c r="F18" t="str"/>
      <x:c r="G18" t="str"/>
      <x:c r="H18" s="76" t="str"/>
      <x:c r="I18" s="76" t="str"/>
      <x:c r="J18" s="78" t="str"/>
      <x:c r="K18" s="78" t="str"/>
      <x:c r="L18" s="78" t="str"/>
      <x:c r="M18" s="74" t="str"/>
      <x:c r="N18" t="str"/>
      <x:c r="O18" t="str"/>
      <x:c r="P18" t="str"/>
    </x:row>
    <x:row r="19">
      <x:c r="A19" s="86" t="str"/>
      <x:c r="B19" t="str"/>
      <x:c r="C19" t="str"/>
      <x:c r="D19" t="str"/>
      <x:c r="E19" t="str"/>
      <x:c r="F19" t="str"/>
      <x:c r="G19" t="str"/>
      <x:c r="H19" s="76" t="str"/>
      <x:c r="I19" s="76" t="str"/>
      <x:c r="J19" s="78" t="str"/>
      <x:c r="K19" s="78" t="str"/>
      <x:c r="L19" s="78" t="str"/>
      <x:c r="M19" s="74" t="str"/>
      <x:c r="N19" t="str"/>
      <x:c r="O19" t="str"/>
      <x:c r="P19" t="str"/>
    </x:row>
    <x:row r="20">
      <x:c r="A20" s="86" t="str"/>
      <x:c r="B20" t="str"/>
      <x:c r="C20" t="str"/>
      <x:c r="D20" t="str"/>
      <x:c r="E20" t="str"/>
      <x:c r="F20" t="str"/>
      <x:c r="G20" t="str"/>
      <x:c r="H20" s="76" t="str"/>
      <x:c r="I20" s="76" t="str"/>
      <x:c r="J20" s="78" t="str"/>
      <x:c r="K20" s="78" t="str"/>
      <x:c r="L20" s="78" t="str"/>
      <x:c r="M20" s="74" t="str"/>
      <x:c r="N20" t="str"/>
      <x:c r="O20" t="str"/>
      <x:c r="P20" t="str"/>
    </x:row>
    <x:row r="21">
      <x:c r="A21" s="86" t="str"/>
      <x:c r="B21" t="str"/>
      <x:c r="C21" t="str"/>
      <x:c r="D21" t="str"/>
      <x:c r="E21" t="str"/>
      <x:c r="F21" t="str"/>
      <x:c r="G21" t="str"/>
      <x:c r="H21" s="76" t="str"/>
      <x:c r="I21" s="76" t="str"/>
      <x:c r="J21" s="78" t="str"/>
      <x:c r="K21" s="78" t="str"/>
      <x:c r="L21" s="78" t="str"/>
      <x:c r="M21" s="74" t="str"/>
      <x:c r="N21" t="str"/>
      <x:c r="O21" t="str"/>
      <x:c r="P21" t="str"/>
    </x:row>
    <x:row r="22">
      <x:c r="A22" s="86" t="str"/>
      <x:c r="B22" t="str"/>
      <x:c r="C22" t="str"/>
      <x:c r="D22" t="str"/>
      <x:c r="E22" t="str"/>
      <x:c r="F22" t="str"/>
      <x:c r="G22" t="str"/>
      <x:c r="H22" s="76" t="str"/>
      <x:c r="I22" s="76" t="str"/>
      <x:c r="J22" s="78" t="str"/>
      <x:c r="K22" s="78" t="str"/>
      <x:c r="L22" s="78" t="str"/>
      <x:c r="M22" s="74" t="str"/>
      <x:c r="N22" t="str"/>
      <x:c r="O22" t="str"/>
      <x:c r="P22" t="str"/>
    </x:row>
    <x:row r="23">
      <x:c r="A23" s="86" t="str"/>
      <x:c r="B23" t="str"/>
      <x:c r="C23" t="str"/>
      <x:c r="D23" t="str"/>
      <x:c r="E23" t="str"/>
      <x:c r="F23" t="str"/>
      <x:c r="G23" t="str"/>
      <x:c r="H23" s="76" t="str"/>
      <x:c r="I23" s="76" t="str"/>
      <x:c r="J23" s="78" t="str"/>
      <x:c r="K23" s="78" t="str"/>
      <x:c r="L23" s="78" t="str"/>
      <x:c r="M23" s="74" t="str"/>
      <x:c r="N23" t="str"/>
      <x:c r="O23" t="str"/>
      <x:c r="P23" t="str"/>
    </x:row>
    <x:row r="24">
      <x:c r="A24" s="86" t="str"/>
      <x:c r="B24" t="str"/>
      <x:c r="C24" t="str"/>
      <x:c r="D24" t="str"/>
      <x:c r="E24" t="str"/>
      <x:c r="F24" t="str"/>
      <x:c r="G24" t="str"/>
      <x:c r="H24" s="76" t="str"/>
      <x:c r="I24" s="76" t="str"/>
      <x:c r="J24" s="78" t="str"/>
      <x:c r="K24" s="78" t="str"/>
      <x:c r="L24" s="78" t="str"/>
      <x:c r="M24" s="74" t="str"/>
      <x:c r="N24" t="str"/>
      <x:c r="O24" t="str"/>
      <x:c r="P24" t="str"/>
    </x:row>
    <x:row r="25">
      <x:c r="A25" s="86" t="str"/>
      <x:c r="B25" t="str"/>
      <x:c r="C25" t="str"/>
      <x:c r="D25" t="str"/>
      <x:c r="E25" t="str"/>
      <x:c r="F25" t="str"/>
      <x:c r="G25" t="str"/>
      <x:c r="H25" s="76" t="str"/>
      <x:c r="I25" s="76" t="str"/>
      <x:c r="J25" s="78" t="str"/>
      <x:c r="K25" s="78" t="str"/>
      <x:c r="L25" s="78" t="str"/>
      <x:c r="M25" s="74" t="str"/>
      <x:c r="N25" t="str"/>
      <x:c r="O25" t="str"/>
      <x:c r="P25" t="str"/>
    </x:row>
    <x:row r="26">
      <x:c r="A26" s="86" t="str"/>
      <x:c r="B26" t="str"/>
      <x:c r="C26" t="str"/>
      <x:c r="D26" t="str"/>
      <x:c r="E26" t="str"/>
      <x:c r="F26" t="str"/>
      <x:c r="G26" t="str"/>
      <x:c r="H26" s="76" t="str"/>
      <x:c r="I26" s="76" t="str"/>
      <x:c r="J26" s="78" t="str"/>
      <x:c r="K26" s="78" t="str"/>
      <x:c r="L26" s="78" t="str"/>
      <x:c r="M26" s="74" t="str"/>
      <x:c r="N26" t="str"/>
      <x:c r="O26" t="str"/>
      <x:c r="P26" t="str"/>
    </x:row>
    <x:row r="27">
      <x:c r="A27" s="86" t="str"/>
      <x:c r="B27" t="str"/>
      <x:c r="C27" t="str"/>
      <x:c r="D27" t="str"/>
      <x:c r="E27" t="str"/>
      <x:c r="F27" t="str"/>
      <x:c r="G27" t="str"/>
      <x:c r="H27" s="76" t="str"/>
      <x:c r="I27" s="76" t="str"/>
      <x:c r="J27" s="78" t="str"/>
      <x:c r="K27" s="78" t="str"/>
      <x:c r="L27" s="78" t="str"/>
      <x:c r="M27" s="74" t="str"/>
      <x:c r="N27" t="str"/>
      <x:c r="O27" t="str"/>
      <x:c r="P27" t="str"/>
    </x:row>
    <x:row r="28">
      <x:c r="A28" s="86" t="str"/>
      <x:c r="B28" t="str"/>
      <x:c r="C28" t="str"/>
      <x:c r="D28" t="str"/>
      <x:c r="E28" t="str"/>
      <x:c r="F28" t="str"/>
      <x:c r="G28" t="str"/>
      <x:c r="H28" s="76" t="str"/>
      <x:c r="I28" s="76" t="str"/>
      <x:c r="J28" s="78" t="str"/>
      <x:c r="K28" s="78" t="str"/>
      <x:c r="L28" s="78" t="str"/>
      <x:c r="M28" s="74" t="str"/>
      <x:c r="N28" t="str"/>
      <x:c r="O28" t="str"/>
      <x:c r="P28" t="str"/>
    </x:row>
    <x:row r="29">
      <x:c r="A29" s="86" t="str"/>
      <x:c r="B29" t="str"/>
      <x:c r="C29" t="str"/>
      <x:c r="D29" t="str"/>
      <x:c r="E29" t="str"/>
      <x:c r="F29" t="str"/>
      <x:c r="G29" t="str"/>
      <x:c r="H29" s="76" t="str"/>
      <x:c r="I29" s="76" t="str"/>
      <x:c r="J29" s="78" t="str"/>
      <x:c r="K29" s="78" t="str"/>
      <x:c r="L29" s="78" t="str"/>
      <x:c r="M29" s="74" t="str"/>
      <x:c r="N29" t="str"/>
      <x:c r="O29" t="str"/>
      <x:c r="P29" t="str"/>
    </x:row>
    <x:row r="30">
      <x:c r="A30" s="86" t="str"/>
      <x:c r="B30" t="str"/>
      <x:c r="C30" t="str"/>
      <x:c r="D30" t="str"/>
      <x:c r="E30" t="str"/>
      <x:c r="F30" t="str"/>
      <x:c r="G30" t="str"/>
      <x:c r="H30" s="76" t="str"/>
      <x:c r="I30" s="76" t="str"/>
      <x:c r="J30" s="78" t="str"/>
      <x:c r="K30" s="78" t="str"/>
      <x:c r="L30" s="78" t="str"/>
      <x:c r="M30" s="74" t="str"/>
      <x:c r="N30" t="str"/>
      <x:c r="O30" t="str"/>
      <x:c r="P30" t="str"/>
    </x:row>
    <x:row r="31">
      <x:c r="A31" s="86" t="str"/>
      <x:c r="B31" t="str"/>
      <x:c r="C31" t="str"/>
      <x:c r="D31" t="str"/>
      <x:c r="E31" t="str"/>
      <x:c r="F31" t="str"/>
      <x:c r="G31" t="str"/>
      <x:c r="H31" s="76" t="str"/>
      <x:c r="I31" s="76" t="str"/>
      <x:c r="J31" s="78" t="str"/>
      <x:c r="K31" s="78" t="str"/>
      <x:c r="L31" s="78" t="str"/>
      <x:c r="M31" s="74" t="str"/>
      <x:c r="N31" t="str"/>
      <x:c r="O31" t="str"/>
      <x:c r="P31" t="str"/>
    </x:row>
    <x:row r="32">
      <x:c r="A32" s="86" t="str"/>
      <x:c r="B32" t="str"/>
      <x:c r="C32" t="str"/>
      <x:c r="D32" t="str"/>
      <x:c r="E32" t="str"/>
      <x:c r="F32" t="str"/>
      <x:c r="G32" t="str"/>
      <x:c r="H32" s="76" t="str"/>
      <x:c r="I32" s="76" t="str"/>
      <x:c r="J32" s="78" t="str"/>
      <x:c r="K32" s="78" t="str"/>
      <x:c r="L32" s="78" t="str"/>
      <x:c r="M32" s="74" t="str"/>
      <x:c r="N32" t="str"/>
      <x:c r="O32" t="str"/>
      <x:c r="P32" t="str"/>
    </x:row>
    <x:row r="33">
      <x:c r="A33" s="86" t="str"/>
      <x:c r="B33" t="str"/>
      <x:c r="C33" t="str"/>
      <x:c r="D33" t="str"/>
      <x:c r="E33" t="str"/>
      <x:c r="F33" t="str"/>
      <x:c r="G33" t="str"/>
      <x:c r="H33" s="76" t="str"/>
      <x:c r="I33" s="76" t="str"/>
      <x:c r="J33" s="78" t="str"/>
      <x:c r="K33" s="78" t="str"/>
      <x:c r="L33" s="78" t="str"/>
      <x:c r="M33" s="74" t="str"/>
      <x:c r="N33" t="str"/>
      <x:c r="O33" t="str"/>
      <x:c r="P33" t="str"/>
    </x:row>
    <x:row r="34">
      <x:c r="A34" s="86" t="str"/>
      <x:c r="B34" t="str"/>
      <x:c r="C34" t="str"/>
      <x:c r="D34" t="str"/>
      <x:c r="E34" t="str"/>
      <x:c r="F34" t="str"/>
      <x:c r="G34" t="str"/>
      <x:c r="H34" s="76" t="str"/>
      <x:c r="I34" s="76" t="str"/>
      <x:c r="J34" s="78" t="str"/>
      <x:c r="K34" s="78" t="str"/>
      <x:c r="L34" s="78" t="str"/>
      <x:c r="M34" s="74" t="str"/>
      <x:c r="N34" t="str"/>
      <x:c r="O34" t="str"/>
      <x:c r="P34" t="str"/>
    </x:row>
    <x:row r="35">
      <x:c r="A35" s="86" t="str"/>
      <x:c r="B35" t="str"/>
      <x:c r="C35" t="str"/>
      <x:c r="D35" t="str"/>
      <x:c r="E35" t="str"/>
      <x:c r="F35" t="str"/>
      <x:c r="G35" t="str"/>
      <x:c r="H35" s="76" t="str"/>
      <x:c r="I35" s="76" t="str"/>
      <x:c r="J35" s="78" t="str"/>
      <x:c r="K35" s="78" t="str"/>
      <x:c r="L35" s="78" t="str"/>
      <x:c r="M35" s="74" t="str"/>
      <x:c r="N35" t="str"/>
      <x:c r="O35" t="str"/>
      <x:c r="P35" t="str"/>
    </x:row>
    <x:row r="36">
      <x:c r="A36" s="86" t="str"/>
      <x:c r="B36" t="str"/>
      <x:c r="C36" t="str"/>
      <x:c r="D36" t="str"/>
      <x:c r="E36" t="str"/>
      <x:c r="F36" t="str"/>
      <x:c r="G36" t="str"/>
      <x:c r="H36" s="76" t="str"/>
      <x:c r="I36" s="76" t="str"/>
      <x:c r="J36" s="78" t="str"/>
      <x:c r="K36" s="78" t="str"/>
      <x:c r="L36" s="78" t="str"/>
      <x:c r="M36" s="74" t="str"/>
      <x:c r="N36" t="str"/>
      <x:c r="O36" t="str"/>
      <x:c r="P36" t="str"/>
    </x:row>
    <x:row r="37">
      <x:c r="A37" s="86" t="str"/>
      <x:c r="B37" t="str"/>
      <x:c r="C37" t="str"/>
      <x:c r="D37" t="str"/>
      <x:c r="E37" t="str"/>
      <x:c r="F37" t="str"/>
      <x:c r="G37" t="str"/>
      <x:c r="H37" s="76" t="str"/>
      <x:c r="I37" s="76" t="str"/>
      <x:c r="J37" s="78" t="str"/>
      <x:c r="K37" s="78" t="str"/>
      <x:c r="L37" s="78" t="str"/>
      <x:c r="M37" s="74" t="str"/>
      <x:c r="N37" t="str"/>
      <x:c r="O37" t="str"/>
      <x:c r="P37" t="str"/>
    </x:row>
    <x:row r="38">
      <x:c r="A38" s="86" t="str"/>
      <x:c r="B38" t="str"/>
      <x:c r="C38" t="str"/>
      <x:c r="D38" t="str"/>
      <x:c r="E38" t="str"/>
      <x:c r="F38" t="str"/>
      <x:c r="G38" t="str"/>
      <x:c r="H38" s="76" t="str"/>
      <x:c r="I38" s="76" t="str"/>
      <x:c r="J38" s="78" t="str"/>
      <x:c r="K38" s="78" t="str"/>
      <x:c r="L38" s="78" t="str"/>
      <x:c r="M38" s="74" t="str"/>
      <x:c r="N38" t="str"/>
      <x:c r="O38" t="str"/>
      <x:c r="P38" t="str"/>
    </x:row>
    <x:row r="39">
      <x:c r="A39" s="86" t="str"/>
      <x:c r="B39" t="str"/>
      <x:c r="C39" t="str"/>
      <x:c r="D39" t="str"/>
      <x:c r="E39" t="str"/>
      <x:c r="F39" t="str"/>
      <x:c r="G39" t="str"/>
      <x:c r="H39" s="76" t="str"/>
      <x:c r="I39" s="76" t="str"/>
      <x:c r="J39" s="78" t="str"/>
      <x:c r="K39" s="78" t="str"/>
      <x:c r="L39" s="78" t="str"/>
      <x:c r="M39" s="74" t="str"/>
      <x:c r="N39" t="str"/>
      <x:c r="O39" t="str"/>
      <x:c r="P39" t="str"/>
    </x:row>
    <x:row r="40">
      <x:c r="A40" s="86" t="str"/>
      <x:c r="B40" t="str"/>
      <x:c r="C40" t="str"/>
      <x:c r="D40" t="str"/>
      <x:c r="E40" t="str"/>
      <x:c r="F40" t="str"/>
      <x:c r="G40" t="str"/>
      <x:c r="H40" s="76" t="str"/>
      <x:c r="I40" s="76" t="str"/>
      <x:c r="J40" s="78" t="str"/>
      <x:c r="K40" s="78" t="str"/>
      <x:c r="L40" s="78" t="str"/>
      <x:c r="M40" s="74" t="str"/>
      <x:c r="N40" t="str"/>
      <x:c r="O40" t="str"/>
      <x:c r="P40" t="str"/>
    </x:row>
    <x:row r="41">
      <x:c r="A41" s="86" t="str"/>
      <x:c r="B41" t="str"/>
      <x:c r="C41" t="str"/>
      <x:c r="D41" t="str"/>
      <x:c r="E41" t="str"/>
      <x:c r="F41" t="str"/>
      <x:c r="G41" t="str"/>
      <x:c r="H41" s="76" t="str"/>
      <x:c r="I41" s="76" t="str"/>
      <x:c r="J41" s="78" t="str"/>
      <x:c r="K41" s="78" t="str"/>
      <x:c r="L41" s="78" t="str"/>
      <x:c r="M41" s="74" t="str"/>
      <x:c r="N41" t="str"/>
      <x:c r="O41" t="str"/>
      <x:c r="P41" t="str"/>
    </x:row>
    <x:row r="42">
      <x:c r="A42" s="86" t="str"/>
      <x:c r="B42" t="str"/>
      <x:c r="C42" t="str"/>
      <x:c r="D42" t="str"/>
      <x:c r="E42" t="str"/>
      <x:c r="F42" t="str"/>
      <x:c r="G42" t="str"/>
      <x:c r="H42" s="76" t="str"/>
      <x:c r="I42" s="76" t="str"/>
      <x:c r="J42" s="78" t="str"/>
      <x:c r="K42" s="78" t="str"/>
      <x:c r="L42" s="78" t="str"/>
      <x:c r="M42" s="74" t="str"/>
      <x:c r="N42" t="str"/>
      <x:c r="O42" t="str"/>
      <x:c r="P42" t="str"/>
    </x:row>
    <x:row r="43">
      <x:c r="A43" s="86" t="str"/>
      <x:c r="B43" t="str"/>
      <x:c r="C43" t="str"/>
      <x:c r="D43" t="str"/>
      <x:c r="E43" t="str"/>
      <x:c r="F43" t="str"/>
      <x:c r="G43" t="str"/>
      <x:c r="H43" s="76" t="str"/>
      <x:c r="I43" s="76" t="str"/>
      <x:c r="J43" s="78" t="str"/>
      <x:c r="K43" s="78" t="str"/>
      <x:c r="L43" s="78" t="str"/>
      <x:c r="M43" s="74" t="str"/>
      <x:c r="N43" t="str"/>
      <x:c r="O43" t="str"/>
      <x:c r="P43" t="str"/>
    </x:row>
    <x:row r="44">
      <x:c r="A44" s="86" t="str"/>
      <x:c r="B44" t="str"/>
      <x:c r="C44" t="str"/>
      <x:c r="D44" t="str"/>
      <x:c r="E44" t="str"/>
      <x:c r="F44" t="str"/>
      <x:c r="G44" t="str"/>
      <x:c r="H44" s="76" t="str"/>
      <x:c r="I44" s="76" t="str"/>
      <x:c r="J44" s="78" t="str"/>
      <x:c r="K44" s="78" t="str"/>
      <x:c r="L44" s="78" t="str"/>
      <x:c r="M44" s="74" t="str"/>
      <x:c r="N44" t="str"/>
      <x:c r="O44" t="str"/>
      <x:c r="P44" t="str"/>
    </x:row>
    <x:row r="45">
      <x:c r="A45" s="86" t="str"/>
      <x:c r="B45" t="str"/>
      <x:c r="C45" t="str"/>
      <x:c r="D45" t="str"/>
      <x:c r="E45" t="str"/>
      <x:c r="F45" t="str"/>
      <x:c r="G45" t="str"/>
      <x:c r="H45" s="76" t="str"/>
      <x:c r="I45" s="76" t="str"/>
      <x:c r="J45" s="78" t="str"/>
      <x:c r="K45" s="78" t="str"/>
      <x:c r="L45" s="78" t="str"/>
      <x:c r="M45" s="74" t="str"/>
      <x:c r="N45" t="str"/>
      <x:c r="O45" t="str"/>
      <x:c r="P45" t="str"/>
    </x:row>
    <x:row r="46">
      <x:c r="A46" s="86" t="str"/>
      <x:c r="B46" t="str"/>
      <x:c r="C46" t="str"/>
      <x:c r="D46" t="str"/>
      <x:c r="E46" t="str"/>
      <x:c r="F46" t="str"/>
      <x:c r="G46" t="str"/>
      <x:c r="H46" s="76" t="str"/>
      <x:c r="I46" s="76" t="str"/>
      <x:c r="J46" s="78" t="str"/>
      <x:c r="K46" s="78" t="str"/>
      <x:c r="L46" s="78" t="str"/>
      <x:c r="M46" s="74" t="str"/>
      <x:c r="N46" t="str"/>
      <x:c r="O46" t="str"/>
      <x:c r="P46" t="str"/>
    </x:row>
    <x:row r="47">
      <x:c r="A47" s="86" t="str"/>
      <x:c r="B47" t="str"/>
      <x:c r="C47" t="str"/>
      <x:c r="D47" t="str"/>
      <x:c r="E47" t="str"/>
      <x:c r="F47" t="str"/>
      <x:c r="G47" t="str"/>
      <x:c r="H47" s="76" t="str"/>
      <x:c r="I47" s="76" t="str"/>
      <x:c r="J47" s="78" t="str"/>
      <x:c r="K47" s="78" t="str"/>
      <x:c r="L47" s="78" t="str"/>
      <x:c r="M47" s="74" t="str"/>
      <x:c r="N47" t="str"/>
      <x:c r="O47" t="str"/>
      <x:c r="P47" t="str"/>
    </x:row>
    <x:row r="48">
      <x:c r="A48" s="86" t="str"/>
      <x:c r="B48" t="str"/>
      <x:c r="C48" t="str"/>
      <x:c r="D48" t="str"/>
      <x:c r="E48" t="str"/>
      <x:c r="F48" t="str"/>
      <x:c r="G48" t="str"/>
      <x:c r="H48" s="76" t="str"/>
      <x:c r="I48" s="76" t="str"/>
      <x:c r="J48" s="78" t="str"/>
      <x:c r="K48" s="78" t="str"/>
      <x:c r="L48" s="78" t="str"/>
      <x:c r="M48" s="74" t="str"/>
      <x:c r="N48" t="str"/>
      <x:c r="O48" t="str"/>
      <x:c r="P48" t="str"/>
    </x:row>
    <x:row r="49">
      <x:c r="A49" s="86" t="str"/>
      <x:c r="B49" t="str"/>
      <x:c r="C49" t="str"/>
      <x:c r="D49" t="str"/>
      <x:c r="E49" t="str"/>
      <x:c r="F49" t="str"/>
      <x:c r="G49" t="str"/>
      <x:c r="H49" s="76" t="str"/>
      <x:c r="I49" s="76" t="str"/>
      <x:c r="J49" s="78" t="str"/>
      <x:c r="K49" s="78" t="str"/>
      <x:c r="L49" s="78" t="str"/>
      <x:c r="M49" s="74" t="str"/>
      <x:c r="N49" t="str"/>
      <x:c r="O49" t="str"/>
      <x:c r="P49" t="str"/>
    </x:row>
    <x:row r="50">
      <x:c r="A50" s="86" t="str"/>
      <x:c r="B50" t="str"/>
      <x:c r="C50" t="str"/>
      <x:c r="D50" t="str"/>
      <x:c r="E50" t="str"/>
      <x:c r="F50" t="str"/>
      <x:c r="G50" t="str"/>
      <x:c r="H50" s="76" t="str"/>
      <x:c r="I50" s="76" t="str"/>
      <x:c r="J50" s="78" t="str"/>
      <x:c r="K50" s="78" t="str"/>
      <x:c r="L50" s="78" t="str"/>
      <x:c r="M50" s="74" t="str"/>
      <x:c r="N50" t="str"/>
      <x:c r="O50" t="str"/>
      <x:c r="P50" t="str"/>
    </x:row>
    <x:row r="51">
      <x:c r="A51" s="86" t="str"/>
      <x:c r="B51" t="str"/>
      <x:c r="C51" t="str"/>
      <x:c r="D51" t="str"/>
      <x:c r="E51" t="str"/>
      <x:c r="F51" t="str"/>
      <x:c r="G51" t="str"/>
      <x:c r="H51" s="76" t="str"/>
      <x:c r="I51" s="76" t="str"/>
      <x:c r="J51" s="78" t="str"/>
      <x:c r="K51" s="78" t="str"/>
      <x:c r="L51" s="78" t="str"/>
      <x:c r="M51" s="74" t="str"/>
      <x:c r="N51" t="str"/>
      <x:c r="O51" t="str"/>
      <x:c r="P51" t="str"/>
    </x:row>
    <x:row r="52">
      <x:c r="A52" s="86" t="str"/>
      <x:c r="B52" t="str"/>
      <x:c r="C52" t="str"/>
      <x:c r="D52" t="str"/>
      <x:c r="E52" t="str"/>
      <x:c r="F52" t="str"/>
      <x:c r="G52" t="str"/>
      <x:c r="H52" s="76" t="str"/>
      <x:c r="I52" s="76" t="str"/>
      <x:c r="J52" s="78" t="str"/>
      <x:c r="K52" s="78" t="str"/>
      <x:c r="L52" s="78" t="str"/>
      <x:c r="M52" s="74" t="str"/>
      <x:c r="N52" t="str"/>
      <x:c r="O52" t="str"/>
      <x:c r="P52" t="str"/>
    </x:row>
    <x:row r="53">
      <x:c r="A53" s="86" t="str"/>
      <x:c r="B53" t="str"/>
      <x:c r="C53" t="str"/>
      <x:c r="D53" t="str"/>
      <x:c r="E53" t="str"/>
      <x:c r="F53" t="str"/>
      <x:c r="G53" t="str"/>
      <x:c r="H53" s="76" t="str"/>
      <x:c r="I53" s="76" t="str"/>
      <x:c r="J53" s="78" t="str"/>
      <x:c r="K53" s="78" t="str"/>
      <x:c r="L53" s="78" t="str"/>
      <x:c r="M53" s="74" t="str"/>
      <x:c r="N53" t="str"/>
      <x:c r="O53" t="str"/>
      <x:c r="P53" t="str"/>
    </x:row>
    <x:row r="54">
      <x:c r="A54" s="86" t="str"/>
      <x:c r="B54" t="str"/>
      <x:c r="C54" t="str"/>
      <x:c r="D54" t="str"/>
      <x:c r="E54" t="str"/>
      <x:c r="F54" t="str"/>
      <x:c r="G54" t="str"/>
      <x:c r="H54" s="76" t="str"/>
      <x:c r="I54" s="76" t="str"/>
      <x:c r="J54" s="78" t="str"/>
      <x:c r="K54" s="78" t="str"/>
      <x:c r="L54" s="78" t="str"/>
      <x:c r="M54" s="74" t="str"/>
      <x:c r="N54" t="str"/>
      <x:c r="O54" t="str"/>
      <x:c r="P54" t="str"/>
    </x:row>
    <x:row r="55">
      <x:c r="A55" s="86" t="str"/>
      <x:c r="B55" t="str"/>
      <x:c r="C55" t="str"/>
      <x:c r="D55" t="str"/>
      <x:c r="E55" t="str"/>
      <x:c r="F55" t="str"/>
      <x:c r="G55" t="str"/>
      <x:c r="H55" s="76" t="str"/>
      <x:c r="I55" s="76" t="str"/>
      <x:c r="J55" s="78" t="str"/>
      <x:c r="K55" s="78" t="str"/>
      <x:c r="L55" s="78" t="str"/>
      <x:c r="M55" s="74" t="str"/>
      <x:c r="N55" t="str"/>
      <x:c r="O55" t="str"/>
      <x:c r="P55" t="str"/>
    </x:row>
    <x:row r="56">
      <x:c r="A56" s="86" t="str"/>
      <x:c r="B56" t="str"/>
      <x:c r="C56" t="str"/>
      <x:c r="D56" t="str"/>
      <x:c r="E56" t="str"/>
      <x:c r="F56" t="str"/>
      <x:c r="G56" t="str"/>
      <x:c r="H56" s="76" t="str"/>
      <x:c r="I56" s="76" t="str"/>
      <x:c r="J56" s="78" t="str"/>
      <x:c r="K56" s="78" t="str"/>
      <x:c r="L56" s="78" t="str"/>
      <x:c r="M56" s="74" t="str"/>
      <x:c r="N56" t="str"/>
      <x:c r="O56" t="str"/>
      <x:c r="P56" t="str"/>
    </x:row>
    <x:row r="57">
      <x:c r="A57" s="86" t="str"/>
      <x:c r="B57" t="str"/>
      <x:c r="C57" t="str"/>
      <x:c r="D57" t="str"/>
      <x:c r="E57" t="str"/>
      <x:c r="F57" t="str"/>
      <x:c r="G57" t="str"/>
      <x:c r="H57" s="76" t="str"/>
      <x:c r="I57" s="76" t="str"/>
      <x:c r="J57" s="78" t="str"/>
      <x:c r="K57" s="78" t="str"/>
      <x:c r="L57" s="78" t="str"/>
      <x:c r="M57" s="74" t="str"/>
      <x:c r="N57" t="str"/>
      <x:c r="O57" t="str"/>
      <x:c r="P57" t="str"/>
    </x:row>
    <x:row r="58">
      <x:c r="A58" s="86" t="str"/>
      <x:c r="B58" t="str"/>
      <x:c r="C58" t="str"/>
      <x:c r="D58" t="str"/>
      <x:c r="E58" t="str"/>
      <x:c r="F58" t="str"/>
      <x:c r="G58" t="str"/>
      <x:c r="H58" s="76" t="str"/>
      <x:c r="I58" s="76" t="str"/>
      <x:c r="J58" s="78" t="str"/>
      <x:c r="K58" s="78" t="str"/>
      <x:c r="L58" s="78" t="str"/>
      <x:c r="M58" s="74" t="str"/>
      <x:c r="N58" t="str"/>
      <x:c r="O58" t="str"/>
      <x:c r="P58" t="str"/>
    </x:row>
    <x:row r="59">
      <x:c r="A59" s="86" t="str"/>
      <x:c r="B59" t="str"/>
      <x:c r="C59" t="str"/>
      <x:c r="D59" t="str"/>
      <x:c r="E59" t="str"/>
      <x:c r="F59" t="str"/>
      <x:c r="G59" t="str"/>
      <x:c r="H59" s="76" t="str"/>
      <x:c r="I59" s="76" t="str"/>
      <x:c r="J59" s="78" t="str"/>
      <x:c r="K59" s="78" t="str"/>
      <x:c r="L59" s="78" t="str"/>
      <x:c r="M59" s="74" t="str"/>
      <x:c r="N59" t="str"/>
      <x:c r="O59" t="str"/>
      <x:c r="P59" t="str"/>
    </x:row>
    <x:row r="60">
      <x:c r="A60" s="86" t="str"/>
      <x:c r="B60" t="str"/>
      <x:c r="C60" t="str"/>
      <x:c r="D60" t="str"/>
      <x:c r="E60" t="str"/>
      <x:c r="F60" t="str"/>
      <x:c r="G60" t="str"/>
      <x:c r="H60" s="76" t="str"/>
      <x:c r="I60" s="76" t="str"/>
      <x:c r="J60" s="78" t="str"/>
      <x:c r="K60" s="78" t="str"/>
      <x:c r="L60" s="78" t="str"/>
      <x:c r="M60" s="74" t="str"/>
      <x:c r="N60" t="str"/>
      <x:c r="O60" t="str"/>
      <x:c r="P60" t="str"/>
    </x:row>
    <x:row r="61">
      <x:c r="A61" s="86" t="str"/>
      <x:c r="B61" t="str"/>
      <x:c r="C61" t="str"/>
      <x:c r="D61" t="str"/>
      <x:c r="E61" t="str"/>
      <x:c r="F61" t="str"/>
      <x:c r="G61" t="str"/>
      <x:c r="H61" s="76" t="str"/>
      <x:c r="I61" s="76" t="str"/>
      <x:c r="J61" s="78" t="str"/>
      <x:c r="K61" s="78" t="str"/>
      <x:c r="L61" s="78" t="str"/>
      <x:c r="M61" s="74" t="str"/>
      <x:c r="N61" t="str"/>
      <x:c r="O61" t="str"/>
      <x:c r="P61" t="str"/>
    </x:row>
    <x:row r="62">
      <x:c r="A62" s="86" t="str"/>
      <x:c r="B62" t="str"/>
      <x:c r="C62" t="str"/>
      <x:c r="D62" t="str"/>
      <x:c r="E62" t="str"/>
      <x:c r="F62" t="str"/>
      <x:c r="G62" t="str"/>
      <x:c r="H62" s="76" t="str"/>
      <x:c r="I62" s="76" t="str"/>
      <x:c r="J62" s="78" t="str"/>
      <x:c r="K62" s="78" t="str"/>
      <x:c r="L62" s="78" t="str"/>
      <x:c r="M62" s="74" t="str"/>
      <x:c r="N62" t="str"/>
      <x:c r="O62" t="str"/>
      <x:c r="P62" t="str"/>
    </x:row>
    <x:row r="63">
      <x:c r="A63" s="86" t="str"/>
      <x:c r="B63" t="str"/>
      <x:c r="C63" t="str"/>
      <x:c r="D63" t="str"/>
      <x:c r="E63" t="str"/>
      <x:c r="F63" t="str"/>
      <x:c r="G63" t="str"/>
      <x:c r="H63" s="76" t="str"/>
      <x:c r="I63" s="76" t="str"/>
      <x:c r="J63" s="78" t="str"/>
      <x:c r="K63" s="78" t="str"/>
      <x:c r="L63" s="78" t="str"/>
      <x:c r="M63" s="74" t="str"/>
      <x:c r="N63" t="str"/>
      <x:c r="O63" t="str"/>
      <x:c r="P63" t="str"/>
    </x:row>
    <x:row r="64">
      <x:c r="A64" s="86" t="str"/>
      <x:c r="B64" t="str"/>
      <x:c r="C64" t="str"/>
      <x:c r="D64" t="str"/>
      <x:c r="E64" t="str"/>
      <x:c r="F64" t="str"/>
      <x:c r="G64" t="str"/>
      <x:c r="H64" s="76" t="str"/>
      <x:c r="I64" s="76" t="str"/>
      <x:c r="J64" s="78" t="str"/>
      <x:c r="K64" s="78" t="str"/>
      <x:c r="L64" s="78" t="str"/>
      <x:c r="M64" s="74" t="str"/>
      <x:c r="N64" t="str"/>
      <x:c r="O64" t="str"/>
      <x:c r="P64" t="str"/>
    </x:row>
    <x:row r="65">
      <x:c r="A65" s="86" t="str"/>
      <x:c r="B65" t="str"/>
      <x:c r="C65" t="str"/>
      <x:c r="D65" t="str"/>
      <x:c r="E65" t="str"/>
      <x:c r="F65" t="str"/>
      <x:c r="G65" t="str"/>
      <x:c r="H65" s="76" t="str"/>
      <x:c r="I65" s="76" t="str"/>
      <x:c r="J65" s="78" t="str"/>
      <x:c r="K65" s="78" t="str"/>
      <x:c r="L65" s="78" t="str"/>
      <x:c r="M65" s="74" t="str"/>
      <x:c r="N65" t="str"/>
      <x:c r="O65" t="str"/>
      <x:c r="P65" t="str"/>
    </x:row>
    <x:row r="66">
      <x:c r="A66" s="86" t="str"/>
      <x:c r="B66" t="str"/>
      <x:c r="C66" t="str"/>
      <x:c r="D66" t="str"/>
      <x:c r="E66" t="str"/>
      <x:c r="F66" t="str"/>
      <x:c r="G66" t="str"/>
      <x:c r="H66" s="76" t="str"/>
      <x:c r="I66" s="76" t="str"/>
      <x:c r="J66" s="78" t="str"/>
      <x:c r="K66" s="78" t="str"/>
      <x:c r="L66" s="78" t="str"/>
      <x:c r="M66" s="74" t="str"/>
      <x:c r="N66" t="str"/>
      <x:c r="O66" t="str"/>
      <x:c r="P66" t="str"/>
    </x:row>
    <x:row r="67">
      <x:c r="A67" s="86" t="str"/>
      <x:c r="B67" t="str"/>
      <x:c r="C67" t="str"/>
      <x:c r="D67" t="str"/>
      <x:c r="E67" t="str"/>
      <x:c r="F67" t="str"/>
      <x:c r="G67" t="str"/>
      <x:c r="H67" s="76" t="str"/>
      <x:c r="I67" s="76" t="str"/>
      <x:c r="J67" s="78" t="str"/>
      <x:c r="K67" s="78" t="str"/>
      <x:c r="L67" s="78" t="str"/>
      <x:c r="M67" s="74" t="str"/>
      <x:c r="N67" t="str"/>
      <x:c r="O67" t="str"/>
      <x:c r="P67" t="str"/>
    </x:row>
    <x:row r="68">
      <x:c r="A68" s="86" t="str"/>
      <x:c r="B68" t="str"/>
      <x:c r="C68" t="str"/>
      <x:c r="D68" t="str"/>
      <x:c r="E68" t="str"/>
      <x:c r="F68" t="str"/>
      <x:c r="G68" t="str"/>
      <x:c r="H68" s="76" t="str"/>
      <x:c r="I68" s="76" t="str"/>
      <x:c r="J68" s="78" t="str"/>
      <x:c r="K68" s="78" t="str"/>
      <x:c r="L68" s="78" t="str"/>
      <x:c r="M68" s="74" t="str"/>
      <x:c r="N68" t="str"/>
      <x:c r="O68" t="str"/>
      <x:c r="P68" t="str"/>
    </x:row>
    <x:row r="69">
      <x:c r="A69" s="86" t="str"/>
      <x:c r="B69" t="str"/>
      <x:c r="C69" t="str"/>
      <x:c r="D69" t="str"/>
      <x:c r="E69" t="str"/>
      <x:c r="F69" t="str"/>
      <x:c r="G69" t="str"/>
      <x:c r="H69" s="76" t="str"/>
      <x:c r="I69" s="76" t="str"/>
      <x:c r="J69" s="78" t="str"/>
      <x:c r="K69" s="78" t="str"/>
      <x:c r="L69" s="78" t="str"/>
      <x:c r="M69" s="74" t="str"/>
      <x:c r="N69" t="str"/>
      <x:c r="O69" t="str"/>
      <x:c r="P69" t="str"/>
    </x:row>
    <x:row r="70">
      <x:c r="A70" s="86" t="str"/>
      <x:c r="B70" t="str"/>
      <x:c r="C70" t="str"/>
      <x:c r="D70" t="str"/>
      <x:c r="E70" t="str"/>
      <x:c r="F70" t="str"/>
      <x:c r="G70" t="str"/>
      <x:c r="H70" s="76" t="str"/>
      <x:c r="I70" s="76" t="str"/>
      <x:c r="J70" s="78" t="str"/>
      <x:c r="K70" s="78" t="str"/>
      <x:c r="L70" s="78" t="str"/>
      <x:c r="M70" s="74" t="str"/>
      <x:c r="N70" t="str"/>
      <x:c r="O70" t="str"/>
      <x:c r="P70" t="str"/>
    </x:row>
    <x:row r="71">
      <x:c r="A71" s="86" t="str"/>
      <x:c r="B71" t="str"/>
      <x:c r="C71" t="str"/>
      <x:c r="D71" t="str"/>
      <x:c r="E71" t="str"/>
      <x:c r="F71" t="str"/>
      <x:c r="G71" t="str"/>
      <x:c r="H71" s="76" t="str"/>
      <x:c r="I71" s="76" t="str"/>
      <x:c r="J71" s="78" t="str"/>
      <x:c r="K71" s="78" t="str"/>
      <x:c r="L71" s="78" t="str"/>
      <x:c r="M71" s="74" t="str"/>
      <x:c r="N71" t="str"/>
      <x:c r="O71" t="str"/>
      <x:c r="P71" t="str"/>
    </x:row>
    <x:row r="72">
      <x:c r="A72" s="86" t="str"/>
      <x:c r="B72" t="str"/>
      <x:c r="C72" t="str"/>
      <x:c r="D72" t="str"/>
      <x:c r="E72" t="str"/>
      <x:c r="F72" t="str"/>
      <x:c r="G72" t="str"/>
      <x:c r="H72" s="76" t="str"/>
      <x:c r="I72" s="76" t="str"/>
      <x:c r="J72" s="78" t="str"/>
      <x:c r="K72" s="78" t="str"/>
      <x:c r="L72" s="78" t="str"/>
      <x:c r="M72" s="74" t="str"/>
      <x:c r="N72" t="str"/>
      <x:c r="O72" t="str"/>
      <x:c r="P72" t="str"/>
    </x:row>
    <x:row r="73">
      <x:c r="A73" s="86" t="str"/>
      <x:c r="B73" t="str"/>
      <x:c r="C73" t="str"/>
      <x:c r="D73" t="str"/>
      <x:c r="E73" t="str"/>
      <x:c r="F73" t="str"/>
      <x:c r="G73" t="str"/>
      <x:c r="H73" s="76" t="str"/>
      <x:c r="I73" s="76" t="str"/>
      <x:c r="J73" s="78" t="str"/>
      <x:c r="K73" s="78" t="str"/>
      <x:c r="L73" s="78" t="str"/>
      <x:c r="M73" s="74" t="str"/>
      <x:c r="N73" t="str"/>
      <x:c r="O73" t="str"/>
      <x:c r="P73" t="str"/>
    </x:row>
    <x:row r="74">
      <x:c r="A74" s="86" t="str"/>
      <x:c r="B74" t="str"/>
      <x:c r="C74" t="str"/>
      <x:c r="D74" t="str"/>
      <x:c r="E74" t="str"/>
      <x:c r="F74" t="str"/>
      <x:c r="G74" t="str"/>
      <x:c r="H74" s="76" t="str"/>
      <x:c r="I74" s="76" t="str"/>
      <x:c r="J74" s="78" t="str"/>
      <x:c r="K74" s="78" t="str"/>
      <x:c r="L74" s="78" t="str"/>
      <x:c r="M74" s="74" t="str"/>
      <x:c r="N74" t="str"/>
      <x:c r="O74" t="str"/>
      <x:c r="P74" t="str"/>
    </x:row>
    <x:row r="75">
      <x:c r="A75" s="86" t="str"/>
      <x:c r="B75" t="str"/>
      <x:c r="C75" t="str"/>
      <x:c r="D75" t="str"/>
      <x:c r="E75" t="str"/>
      <x:c r="F75" t="str"/>
      <x:c r="G75" t="str"/>
      <x:c r="H75" s="76" t="str"/>
      <x:c r="I75" s="76" t="str"/>
      <x:c r="J75" s="78" t="str"/>
      <x:c r="K75" s="78" t="str"/>
      <x:c r="L75" s="78" t="str"/>
      <x:c r="M75" s="74" t="str"/>
      <x:c r="N75" t="str"/>
      <x:c r="O75" t="str"/>
      <x:c r="P75" t="str"/>
    </x:row>
    <x:row r="76">
      <x:c r="A76" s="86" t="str"/>
      <x:c r="B76" t="str"/>
      <x:c r="C76" t="str"/>
      <x:c r="D76" t="str"/>
      <x:c r="E76" t="str"/>
      <x:c r="F76" t="str"/>
      <x:c r="G76" t="str"/>
      <x:c r="H76" s="76" t="str"/>
      <x:c r="I76" s="76" t="str"/>
      <x:c r="J76" s="78" t="str"/>
      <x:c r="K76" s="78" t="str"/>
      <x:c r="L76" s="78" t="str"/>
      <x:c r="M76" s="74" t="str"/>
      <x:c r="N76" t="str"/>
      <x:c r="O76" t="str"/>
      <x:c r="P76" t="str"/>
    </x:row>
    <x:row r="77">
      <x:c r="A77" s="86" t="str"/>
      <x:c r="B77" t="str"/>
      <x:c r="C77" t="str"/>
      <x:c r="D77" t="str"/>
      <x:c r="E77" t="str"/>
      <x:c r="F77" t="str"/>
      <x:c r="G77" t="str"/>
      <x:c r="H77" s="76" t="str"/>
      <x:c r="I77" s="76" t="str"/>
      <x:c r="J77" s="78" t="str"/>
      <x:c r="K77" s="78" t="str"/>
      <x:c r="L77" s="78" t="str"/>
      <x:c r="M77" s="74" t="str"/>
      <x:c r="N77" t="str"/>
      <x:c r="O77" t="str"/>
      <x:c r="P77" t="str"/>
    </x:row>
    <x:row r="78">
      <x:c r="A78" s="86" t="str"/>
      <x:c r="B78" t="str"/>
      <x:c r="C78" t="str"/>
      <x:c r="D78" t="str"/>
      <x:c r="E78" t="str"/>
      <x:c r="F78" t="str"/>
      <x:c r="G78" t="str"/>
      <x:c r="H78" s="76" t="str"/>
      <x:c r="I78" s="76" t="str"/>
      <x:c r="J78" s="78" t="str"/>
      <x:c r="K78" s="78" t="str"/>
      <x:c r="L78" s="78" t="str"/>
      <x:c r="M78" s="74" t="str"/>
      <x:c r="N78" t="str"/>
      <x:c r="O78" t="str"/>
      <x:c r="P78" t="str"/>
    </x:row>
    <x:row r="79">
      <x:c r="A79" s="86" t="str"/>
      <x:c r="B79" t="str"/>
      <x:c r="C79" t="str"/>
      <x:c r="D79" t="str"/>
      <x:c r="E79" t="str"/>
      <x:c r="F79" t="str"/>
      <x:c r="G79" t="str"/>
      <x:c r="H79" s="76" t="str"/>
      <x:c r="I79" s="76" t="str"/>
      <x:c r="J79" s="78" t="str"/>
      <x:c r="K79" s="78" t="str"/>
      <x:c r="L79" s="78" t="str"/>
      <x:c r="M79" s="74" t="str"/>
      <x:c r="N79" t="str"/>
      <x:c r="O79" t="str"/>
      <x:c r="P79" t="str"/>
    </x:row>
    <x:row r="80">
      <x:c r="A80" s="86" t="str"/>
      <x:c r="B80" t="str"/>
      <x:c r="C80" t="str"/>
      <x:c r="D80" t="str"/>
      <x:c r="E80" t="str"/>
      <x:c r="F80" t="str"/>
      <x:c r="G80" t="str"/>
      <x:c r="H80" s="76" t="str"/>
      <x:c r="I80" s="76" t="str"/>
      <x:c r="J80" s="78" t="str"/>
      <x:c r="K80" s="78" t="str"/>
      <x:c r="L80" s="78" t="str"/>
      <x:c r="M80" s="74" t="str"/>
      <x:c r="N80" t="str"/>
      <x:c r="O80" t="str"/>
      <x:c r="P80" t="str"/>
    </x:row>
    <x:row r="81">
      <x:c r="A81" s="86" t="str"/>
      <x:c r="B81" t="str"/>
      <x:c r="C81" t="str"/>
      <x:c r="D81" t="str"/>
      <x:c r="E81" t="str"/>
      <x:c r="F81" t="str"/>
      <x:c r="G81" t="str"/>
      <x:c r="H81" s="76" t="str"/>
      <x:c r="I81" s="76" t="str"/>
      <x:c r="J81" s="78" t="str"/>
      <x:c r="K81" s="78" t="str"/>
      <x:c r="L81" s="78" t="str"/>
      <x:c r="M81" s="74" t="str"/>
      <x:c r="N81" t="str"/>
      <x:c r="O81" t="str"/>
      <x:c r="P81" t="str"/>
    </x:row>
    <x:row r="82">
      <x:c r="A82" s="86" t="str"/>
      <x:c r="B82" t="str"/>
      <x:c r="C82" t="str"/>
      <x:c r="D82" t="str"/>
      <x:c r="E82" t="str"/>
      <x:c r="F82" t="str"/>
      <x:c r="G82" t="str"/>
      <x:c r="H82" s="76" t="str"/>
      <x:c r="I82" s="76" t="str"/>
      <x:c r="J82" s="78" t="str"/>
      <x:c r="K82" s="78" t="str"/>
      <x:c r="L82" s="78" t="str"/>
      <x:c r="M82" s="74" t="str"/>
      <x:c r="N82" t="str"/>
      <x:c r="O82" t="str"/>
      <x:c r="P82" t="str"/>
    </x:row>
    <x:row r="83">
      <x:c r="A83" s="86" t="str"/>
      <x:c r="B83" t="str"/>
      <x:c r="C83" t="str"/>
      <x:c r="D83" t="str"/>
      <x:c r="E83" t="str"/>
      <x:c r="F83" t="str"/>
      <x:c r="G83" t="str"/>
      <x:c r="H83" s="76" t="str"/>
      <x:c r="I83" s="76" t="str"/>
      <x:c r="J83" s="78" t="str"/>
      <x:c r="K83" s="78" t="str"/>
      <x:c r="L83" s="78" t="str"/>
      <x:c r="M83" s="74" t="str"/>
      <x:c r="N83" t="str"/>
      <x:c r="O83" t="str"/>
      <x:c r="P83" t="str"/>
    </x:row>
    <x:row r="84">
      <x:c r="A84" s="86" t="str"/>
      <x:c r="B84" t="str"/>
      <x:c r="C84" t="str"/>
      <x:c r="D84" t="str"/>
      <x:c r="E84" t="str"/>
      <x:c r="F84" t="str"/>
      <x:c r="G84" t="str"/>
      <x:c r="H84" s="76" t="str"/>
      <x:c r="I84" s="76" t="str"/>
      <x:c r="J84" s="78" t="str"/>
      <x:c r="K84" s="78" t="str"/>
      <x:c r="L84" s="78" t="str"/>
      <x:c r="M84" s="74" t="str"/>
      <x:c r="N84" t="str"/>
      <x:c r="O84" t="str"/>
      <x:c r="P84" t="str"/>
    </x:row>
    <x:row r="85">
      <x:c r="A85" s="86" t="str"/>
      <x:c r="B85" t="str"/>
      <x:c r="C85" t="str"/>
      <x:c r="D85" t="str"/>
      <x:c r="E85" t="str"/>
      <x:c r="F85" t="str"/>
      <x:c r="G85" t="str"/>
      <x:c r="H85" s="76" t="str"/>
      <x:c r="I85" s="76" t="str"/>
      <x:c r="J85" s="78" t="str"/>
      <x:c r="K85" s="78" t="str"/>
      <x:c r="L85" s="78" t="str"/>
      <x:c r="M85" s="74" t="str"/>
      <x:c r="N85" t="str"/>
      <x:c r="O85" t="str"/>
      <x:c r="P85" t="str"/>
    </x:row>
    <x:row r="86">
      <x:c r="A86" s="86" t="str"/>
      <x:c r="B86" t="str"/>
      <x:c r="C86" t="str"/>
      <x:c r="D86" t="str"/>
      <x:c r="E86" t="str"/>
      <x:c r="F86" t="str"/>
      <x:c r="G86" t="str"/>
      <x:c r="H86" s="76" t="str"/>
      <x:c r="I86" s="76" t="str"/>
      <x:c r="J86" s="78" t="str"/>
      <x:c r="K86" s="78" t="str"/>
      <x:c r="L86" s="78" t="str"/>
      <x:c r="M86" s="74" t="str"/>
      <x:c r="N86" t="str"/>
      <x:c r="O86" t="str"/>
      <x:c r="P86" t="str"/>
    </x:row>
    <x:row r="87">
      <x:c r="A87" s="86" t="str"/>
      <x:c r="B87" t="str"/>
      <x:c r="C87" t="str"/>
      <x:c r="D87" t="str"/>
      <x:c r="E87" t="str"/>
      <x:c r="F87" t="str"/>
      <x:c r="G87" t="str"/>
      <x:c r="H87" s="76" t="str"/>
      <x:c r="I87" s="76" t="str"/>
      <x:c r="J87" s="78" t="str"/>
      <x:c r="K87" s="78" t="str"/>
      <x:c r="L87" s="78" t="str"/>
      <x:c r="M87" s="74" t="str"/>
      <x:c r="N87" t="str"/>
      <x:c r="O87" t="str"/>
      <x:c r="P87" t="str"/>
    </x:row>
    <x:row r="88">
      <x:c r="A88" s="86" t="str"/>
      <x:c r="B88" t="str"/>
      <x:c r="C88" t="str"/>
      <x:c r="D88" t="str"/>
      <x:c r="E88" t="str"/>
      <x:c r="F88" t="str"/>
      <x:c r="G88" t="str"/>
      <x:c r="H88" s="76" t="str"/>
      <x:c r="I88" s="76" t="str"/>
      <x:c r="J88" s="78" t="str"/>
      <x:c r="K88" s="78" t="str"/>
      <x:c r="L88" s="78" t="str"/>
      <x:c r="M88" s="74" t="str"/>
      <x:c r="N88" t="str"/>
      <x:c r="O88" t="str"/>
      <x:c r="P88" t="str"/>
    </x:row>
    <x:row r="89">
      <x:c r="A89" s="86" t="str"/>
      <x:c r="B89" t="str"/>
      <x:c r="C89" t="str"/>
      <x:c r="D89" t="str"/>
      <x:c r="E89" t="str"/>
      <x:c r="F89" t="str"/>
      <x:c r="G89" t="str"/>
      <x:c r="H89" s="76" t="str"/>
      <x:c r="I89" s="76" t="str"/>
      <x:c r="J89" s="78" t="str"/>
      <x:c r="K89" s="78" t="str"/>
      <x:c r="L89" s="78" t="str"/>
      <x:c r="M89" s="74" t="str"/>
      <x:c r="N89" t="str"/>
      <x:c r="O89" t="str"/>
      <x:c r="P89" t="str"/>
    </x:row>
    <x:row r="90">
      <x:c r="A90" s="86" t="str"/>
      <x:c r="B90" t="str"/>
      <x:c r="C90" t="str"/>
      <x:c r="D90" t="str"/>
      <x:c r="E90" t="str"/>
      <x:c r="F90" t="str"/>
      <x:c r="G90" t="str"/>
      <x:c r="H90" s="76" t="str"/>
      <x:c r="I90" s="76" t="str"/>
      <x:c r="J90" s="78" t="str"/>
      <x:c r="K90" s="78" t="str"/>
      <x:c r="L90" s="78" t="str"/>
      <x:c r="M90" s="74" t="str"/>
      <x:c r="N90" t="str"/>
      <x:c r="O90" t="str"/>
      <x:c r="P90" t="str"/>
    </x:row>
    <x:row r="91">
      <x:c r="A91" s="86" t="str"/>
      <x:c r="B91" t="str"/>
      <x:c r="C91" t="str"/>
      <x:c r="D91" t="str"/>
      <x:c r="E91" t="str"/>
      <x:c r="F91" t="str"/>
      <x:c r="G91" t="str"/>
      <x:c r="H91" s="76" t="str"/>
      <x:c r="I91" s="76" t="str"/>
      <x:c r="J91" s="78" t="str"/>
      <x:c r="K91" s="78" t="str"/>
      <x:c r="L91" s="78" t="str"/>
      <x:c r="M91" s="74" t="str"/>
      <x:c r="N91" t="str"/>
      <x:c r="O91" t="str"/>
      <x:c r="P91" t="str"/>
    </x:row>
    <x:row r="92">
      <x:c r="A92" s="86" t="str"/>
      <x:c r="B92" t="str"/>
      <x:c r="C92" t="str"/>
      <x:c r="D92" t="str"/>
      <x:c r="E92" t="str"/>
      <x:c r="F92" t="str"/>
      <x:c r="G92" t="str"/>
      <x:c r="H92" s="76" t="str"/>
      <x:c r="I92" s="76" t="str"/>
      <x:c r="J92" s="78" t="str"/>
      <x:c r="K92" s="78" t="str"/>
      <x:c r="L92" s="78" t="str"/>
      <x:c r="M92" s="74" t="str"/>
      <x:c r="N92" t="str"/>
      <x:c r="O92" t="str"/>
      <x:c r="P92" t="str"/>
    </x:row>
    <x:row r="93">
      <x:c r="A93" s="86" t="str"/>
      <x:c r="B93" t="str"/>
      <x:c r="C93" t="str"/>
      <x:c r="D93" t="str"/>
      <x:c r="E93" t="str"/>
      <x:c r="F93" t="str"/>
      <x:c r="G93" t="str"/>
      <x:c r="H93" s="76" t="str"/>
      <x:c r="I93" s="76" t="str"/>
      <x:c r="J93" s="78" t="str"/>
      <x:c r="K93" s="78" t="str"/>
      <x:c r="L93" s="78" t="str"/>
      <x:c r="M93" s="74" t="str"/>
      <x:c r="N93" t="str"/>
      <x:c r="O93" t="str"/>
      <x:c r="P93" t="str"/>
    </x:row>
    <x:row r="94">
      <x:c r="A94" s="86" t="str"/>
      <x:c r="B94" t="str"/>
      <x:c r="C94" t="str"/>
      <x:c r="D94" t="str"/>
      <x:c r="E94" t="str"/>
      <x:c r="F94" t="str"/>
      <x:c r="G94" t="str"/>
      <x:c r="H94" s="76" t="str"/>
      <x:c r="I94" s="76" t="str"/>
      <x:c r="J94" s="78" t="str"/>
      <x:c r="K94" s="78" t="str"/>
      <x:c r="L94" s="78" t="str"/>
      <x:c r="M94" s="74" t="str"/>
      <x:c r="N94" t="str"/>
      <x:c r="O94" t="str"/>
      <x:c r="P94" t="str"/>
    </x:row>
    <x:row r="95">
      <x:c r="A95" s="86" t="str"/>
      <x:c r="B95" t="str"/>
      <x:c r="C95" t="str"/>
      <x:c r="D95" t="str"/>
      <x:c r="E95" t="str"/>
      <x:c r="F95" t="str"/>
      <x:c r="G95" t="str"/>
      <x:c r="H95" s="76" t="str"/>
      <x:c r="I95" s="76" t="str"/>
      <x:c r="J95" s="78" t="str"/>
      <x:c r="K95" s="78" t="str"/>
      <x:c r="L95" s="78" t="str"/>
      <x:c r="M95" s="74" t="str"/>
      <x:c r="N95" t="str"/>
      <x:c r="O95" t="str"/>
      <x:c r="P95" t="str"/>
    </x:row>
    <x:row r="96">
      <x:c r="A96" s="86" t="str"/>
      <x:c r="B96" t="str"/>
      <x:c r="C96" t="str"/>
      <x:c r="D96" t="str"/>
      <x:c r="E96" t="str"/>
      <x:c r="F96" t="str"/>
      <x:c r="G96" t="str"/>
      <x:c r="H96" s="76" t="str"/>
      <x:c r="I96" s="76" t="str"/>
      <x:c r="J96" s="78" t="str"/>
      <x:c r="K96" s="78" t="str"/>
      <x:c r="L96" s="78" t="str"/>
      <x:c r="M96" s="74" t="str"/>
      <x:c r="N96" t="str"/>
      <x:c r="O96" t="str"/>
      <x:c r="P96" t="str"/>
    </x:row>
    <x:row r="97">
      <x:c r="A97" s="86" t="str"/>
      <x:c r="B97" t="str"/>
      <x:c r="C97" t="str"/>
      <x:c r="D97" t="str"/>
      <x:c r="E97" t="str"/>
      <x:c r="F97" t="str"/>
      <x:c r="G97" t="str"/>
      <x:c r="H97" s="76" t="str"/>
      <x:c r="I97" s="76" t="str"/>
      <x:c r="J97" s="78" t="str"/>
      <x:c r="K97" s="78" t="str"/>
      <x:c r="L97" s="78" t="str"/>
      <x:c r="M97" s="74" t="str"/>
      <x:c r="N97" t="str"/>
      <x:c r="O97" t="str"/>
      <x:c r="P97" t="str"/>
    </x:row>
    <x:row r="98">
      <x:c r="A98" s="86" t="str"/>
      <x:c r="B98" t="str"/>
      <x:c r="C98" t="str"/>
      <x:c r="D98" t="str"/>
      <x:c r="E98" t="str"/>
      <x:c r="F98" t="str"/>
      <x:c r="G98" t="str"/>
      <x:c r="H98" s="76" t="str"/>
      <x:c r="I98" s="76" t="str"/>
      <x:c r="J98" s="78" t="str"/>
      <x:c r="K98" s="78" t="str"/>
      <x:c r="L98" s="78" t="str"/>
      <x:c r="M98" s="74" t="str"/>
      <x:c r="N98" t="str"/>
      <x:c r="O98" t="str"/>
      <x:c r="P98" t="str"/>
    </x:row>
    <x:row r="99">
      <x:c r="A99" s="86" t="str"/>
      <x:c r="B99" t="str"/>
      <x:c r="C99" t="str"/>
      <x:c r="D99" t="str"/>
      <x:c r="E99" t="str"/>
      <x:c r="F99" t="str"/>
      <x:c r="G99" t="str"/>
      <x:c r="H99" s="76" t="str"/>
      <x:c r="I99" s="76" t="str"/>
      <x:c r="J99" s="78" t="str"/>
      <x:c r="K99" s="78" t="str"/>
      <x:c r="L99" s="78" t="str"/>
      <x:c r="M99" s="74" t="str"/>
      <x:c r="N99" t="str"/>
      <x:c r="O99" t="str"/>
      <x:c r="P99" t="str"/>
    </x:row>
    <x:row r="100">
      <x:c r="A100" s="86" t="str"/>
      <x:c r="B100" t="str"/>
      <x:c r="C100" t="str"/>
      <x:c r="D100" t="str"/>
      <x:c r="E100" t="str"/>
      <x:c r="F100" t="str"/>
      <x:c r="G100" t="str"/>
      <x:c r="H100" s="76" t="str"/>
      <x:c r="I100" s="76" t="str"/>
      <x:c r="J100" s="78" t="str"/>
      <x:c r="K100" s="78" t="str"/>
      <x:c r="L100" s="78" t="str"/>
      <x:c r="M100" s="74" t="str"/>
      <x:c r="N100" t="str"/>
      <x:c r="O100" t="str"/>
      <x:c r="P100" t="str"/>
    </x:row>
    <x:row r="101">
      <x:c r="A101" s="86" t="str"/>
      <x:c r="B101" t="str"/>
      <x:c r="C101" t="str"/>
      <x:c r="D101" t="str"/>
      <x:c r="E101" t="str"/>
      <x:c r="F101" t="str"/>
      <x:c r="G101" t="str"/>
      <x:c r="H101" s="76" t="str"/>
      <x:c r="I101" s="76" t="str"/>
      <x:c r="J101" s="78" t="str"/>
      <x:c r="K101" s="78" t="str"/>
      <x:c r="L101" s="78" t="str"/>
      <x:c r="M101" s="74" t="str"/>
      <x:c r="N101" t="str"/>
      <x:c r="O101" t="str"/>
      <x:c r="P101" t="str"/>
    </x:row>
    <x:row r="102">
      <x:c r="A102" s="86" t="str"/>
      <x:c r="B102" t="str"/>
      <x:c r="C102" t="str"/>
      <x:c r="D102" t="str"/>
      <x:c r="E102" t="str"/>
      <x:c r="F102" t="str"/>
      <x:c r="G102" t="str"/>
      <x:c r="H102" s="76" t="str"/>
      <x:c r="I102" s="76" t="str"/>
      <x:c r="J102" s="78" t="str"/>
      <x:c r="K102" s="78" t="str"/>
      <x:c r="L102" s="78" t="str"/>
      <x:c r="M102" s="74" t="str"/>
      <x:c r="N102" t="str"/>
      <x:c r="O102" t="str"/>
      <x:c r="P102" t="str"/>
    </x:row>
    <x:row r="103">
      <x:c r="A103" s="86" t="str"/>
      <x:c r="B103" t="str"/>
      <x:c r="C103" t="str"/>
      <x:c r="D103" t="str"/>
      <x:c r="E103" t="str"/>
      <x:c r="F103" t="str"/>
      <x:c r="G103" t="str"/>
      <x:c r="H103" s="76" t="str"/>
      <x:c r="I103" s="76" t="str"/>
      <x:c r="J103" s="78" t="str"/>
      <x:c r="K103" s="78" t="str"/>
      <x:c r="L103" s="78" t="str"/>
      <x:c r="M103" s="74" t="str"/>
      <x:c r="N103" t="str"/>
      <x:c r="O103" t="str"/>
      <x:c r="P103" t="str"/>
    </x:row>
    <x:row r="104">
      <x:c r="A104" s="86" t="str"/>
      <x:c r="B104" t="str"/>
      <x:c r="C104" t="str"/>
      <x:c r="D104" t="str"/>
      <x:c r="E104" t="str"/>
      <x:c r="F104" t="str"/>
      <x:c r="G104" t="str"/>
      <x:c r="H104" s="76" t="str"/>
      <x:c r="I104" s="76" t="str"/>
      <x:c r="J104" s="78" t="str"/>
      <x:c r="K104" s="78" t="str"/>
      <x:c r="L104" s="78" t="str"/>
      <x:c r="M104" s="74" t="str"/>
      <x:c r="N104" t="str"/>
      <x:c r="O104" t="str"/>
      <x:c r="P104" t="str"/>
    </x:row>
    <x:row r="105">
      <x:c r="A105" s="86" t="str"/>
      <x:c r="B105" t="str"/>
      <x:c r="C105" t="str"/>
      <x:c r="D105" t="str"/>
      <x:c r="E105" t="str"/>
      <x:c r="F105" t="str"/>
      <x:c r="G105" t="str"/>
      <x:c r="H105" s="76" t="str"/>
      <x:c r="I105" s="76" t="str"/>
      <x:c r="J105" s="78" t="str"/>
      <x:c r="K105" s="78" t="str"/>
      <x:c r="L105" s="78" t="str"/>
      <x:c r="M105" s="74" t="str"/>
      <x:c r="N105" t="str"/>
      <x:c r="O105" t="str"/>
      <x:c r="P105" t="str"/>
    </x:row>
    <x:row r="106">
      <x:c r="A106" s="86" t="str"/>
      <x:c r="B106" t="str"/>
      <x:c r="C106" t="str"/>
      <x:c r="D106" t="str"/>
      <x:c r="E106" t="str"/>
      <x:c r="F106" t="str"/>
      <x:c r="G106" t="str"/>
      <x:c r="H106" s="76" t="str"/>
      <x:c r="I106" s="76" t="str"/>
      <x:c r="J106" s="78" t="str"/>
      <x:c r="K106" s="78" t="str"/>
      <x:c r="L106" s="78" t="str"/>
      <x:c r="M106" s="74" t="str"/>
      <x:c r="N106" t="str"/>
      <x:c r="O106" t="str"/>
      <x:c r="P106" t="str"/>
    </x:row>
    <x:row r="107">
      <x:c r="A107" s="86" t="str"/>
      <x:c r="B107" t="str"/>
      <x:c r="C107" t="str"/>
      <x:c r="D107" t="str"/>
      <x:c r="E107" t="str"/>
      <x:c r="F107" t="str"/>
      <x:c r="G107" t="str"/>
      <x:c r="H107" s="76" t="str"/>
      <x:c r="I107" s="76" t="str"/>
      <x:c r="J107" s="78" t="str"/>
      <x:c r="K107" s="78" t="str"/>
      <x:c r="L107" s="78" t="str"/>
      <x:c r="M107" s="74" t="str"/>
      <x:c r="N107" t="str"/>
      <x:c r="O107" t="str"/>
      <x:c r="P107" t="str"/>
    </x:row>
    <x:row r="108">
      <x:c r="A108" s="86" t="str"/>
      <x:c r="B108" t="str"/>
      <x:c r="C108" t="str"/>
      <x:c r="D108" t="str"/>
      <x:c r="E108" t="str"/>
      <x:c r="F108" t="str"/>
      <x:c r="G108" t="str"/>
      <x:c r="H108" s="76" t="str"/>
      <x:c r="I108" s="76" t="str"/>
      <x:c r="J108" s="78" t="str"/>
      <x:c r="K108" s="78" t="str"/>
      <x:c r="L108" s="78" t="str"/>
      <x:c r="M108" s="74" t="str"/>
      <x:c r="N108" t="str"/>
      <x:c r="O108" t="str"/>
      <x:c r="P108" t="str"/>
    </x:row>
    <x:row r="109">
      <x:c r="A109" s="86" t="str"/>
      <x:c r="B109" t="str"/>
      <x:c r="C109" t="str"/>
      <x:c r="D109" t="str"/>
      <x:c r="E109" t="str"/>
      <x:c r="F109" t="str"/>
      <x:c r="G109" t="str"/>
      <x:c r="H109" s="76" t="str"/>
      <x:c r="I109" s="76" t="str"/>
      <x:c r="J109" s="78" t="str"/>
      <x:c r="K109" s="78" t="str"/>
      <x:c r="L109" s="78" t="str"/>
      <x:c r="M109" s="74" t="str"/>
      <x:c r="N109" t="str"/>
      <x:c r="O109" t="str"/>
      <x:c r="P109" t="str"/>
    </x:row>
    <x:row r="110">
      <x:c r="A110" s="86" t="str"/>
      <x:c r="B110" t="str"/>
      <x:c r="C110" t="str"/>
      <x:c r="D110" t="str"/>
      <x:c r="E110" t="str"/>
      <x:c r="F110" t="str"/>
      <x:c r="G110" t="str"/>
      <x:c r="H110" s="76" t="str"/>
      <x:c r="I110" s="76" t="str"/>
      <x:c r="J110" s="78" t="str"/>
      <x:c r="K110" s="78" t="str"/>
      <x:c r="L110" s="78" t="str"/>
      <x:c r="M110" s="74" t="str"/>
      <x:c r="N110" t="str"/>
      <x:c r="O110" t="str"/>
      <x:c r="P110" t="str"/>
    </x:row>
    <x:row r="111">
      <x:c r="A111" s="86" t="str"/>
      <x:c r="B111" t="str"/>
      <x:c r="C111" t="str"/>
      <x:c r="D111" t="str"/>
      <x:c r="E111" t="str"/>
      <x:c r="F111" t="str"/>
      <x:c r="G111" t="str"/>
      <x:c r="H111" s="76" t="str"/>
      <x:c r="I111" s="76" t="str"/>
      <x:c r="J111" s="78" t="str"/>
      <x:c r="K111" s="78" t="str"/>
      <x:c r="L111" s="78" t="str"/>
      <x:c r="M111" s="74" t="str"/>
      <x:c r="N111" t="str"/>
      <x:c r="O111" t="str"/>
      <x:c r="P111" t="str"/>
    </x:row>
    <x:row r="112">
      <x:c r="A112" s="86" t="str"/>
      <x:c r="B112" t="str"/>
      <x:c r="C112" t="str"/>
      <x:c r="D112" t="str"/>
      <x:c r="E112" t="str"/>
      <x:c r="F112" t="str"/>
      <x:c r="G112" t="str"/>
      <x:c r="H112" s="76" t="str"/>
      <x:c r="I112" s="76" t="str"/>
      <x:c r="J112" s="78" t="str"/>
      <x:c r="K112" s="78" t="str"/>
      <x:c r="L112" s="78" t="str"/>
      <x:c r="M112" s="74" t="str"/>
      <x:c r="N112" t="str"/>
      <x:c r="O112" t="str"/>
      <x:c r="P112" t="str"/>
    </x:row>
    <x:row r="113">
      <x:c r="A113" s="86" t="str"/>
      <x:c r="B113" t="str"/>
      <x:c r="C113" t="str"/>
      <x:c r="D113" t="str"/>
      <x:c r="E113" t="str"/>
      <x:c r="F113" t="str"/>
      <x:c r="G113" t="str"/>
      <x:c r="H113" s="76" t="str"/>
      <x:c r="I113" s="76" t="str"/>
      <x:c r="J113" s="78" t="str"/>
      <x:c r="K113" s="78" t="str"/>
      <x:c r="L113" s="78" t="str"/>
      <x:c r="M113" s="74" t="str"/>
      <x:c r="N113" t="str"/>
      <x:c r="O113" t="str"/>
      <x:c r="P113" t="str"/>
    </x:row>
    <x:row r="114">
      <x:c r="A114" s="86" t="str"/>
      <x:c r="B114" t="str"/>
      <x:c r="C114" t="str"/>
      <x:c r="D114" t="str"/>
      <x:c r="E114" t="str"/>
      <x:c r="F114" t="str"/>
      <x:c r="G114" t="str"/>
      <x:c r="H114" s="76" t="str"/>
      <x:c r="I114" s="76" t="str"/>
      <x:c r="J114" s="78" t="str"/>
      <x:c r="K114" s="78" t="str"/>
      <x:c r="L114" s="78" t="str"/>
      <x:c r="M114" s="74" t="str"/>
      <x:c r="N114" t="str"/>
      <x:c r="O114" t="str"/>
      <x:c r="P114" t="str"/>
    </x:row>
    <x:row r="115">
      <x:c r="A115" s="86" t="str"/>
      <x:c r="B115" t="str"/>
      <x:c r="C115" t="str"/>
      <x:c r="D115" t="str"/>
      <x:c r="E115" t="str"/>
      <x:c r="F115" t="str"/>
      <x:c r="G115" t="str"/>
      <x:c r="H115" s="76" t="str"/>
      <x:c r="I115" s="76" t="str"/>
      <x:c r="J115" s="78" t="str"/>
      <x:c r="K115" s="78" t="str"/>
      <x:c r="L115" s="78" t="str"/>
      <x:c r="M115" s="74" t="str"/>
      <x:c r="N115" t="str"/>
      <x:c r="O115" t="str"/>
      <x:c r="P115" t="str"/>
    </x:row>
    <x:row r="116">
      <x:c r="A116" s="86" t="str"/>
      <x:c r="B116" t="str"/>
      <x:c r="C116" t="str"/>
      <x:c r="D116" t="str"/>
      <x:c r="E116" t="str"/>
      <x:c r="F116" t="str"/>
      <x:c r="G116" t="str"/>
      <x:c r="H116" s="76" t="str"/>
      <x:c r="I116" s="76" t="str"/>
      <x:c r="J116" s="78" t="str"/>
      <x:c r="K116" s="78" t="str"/>
      <x:c r="L116" s="78" t="str"/>
      <x:c r="M116" s="74" t="str"/>
      <x:c r="N116" t="str"/>
      <x:c r="O116" t="str"/>
      <x:c r="P116" t="str"/>
    </x:row>
    <x:row r="117">
      <x:c r="A117" s="86" t="str"/>
      <x:c r="B117" t="str"/>
      <x:c r="C117" t="str"/>
      <x:c r="D117" t="str"/>
      <x:c r="E117" t="str"/>
      <x:c r="F117" t="str"/>
      <x:c r="G117" t="str"/>
      <x:c r="H117" s="76" t="str"/>
      <x:c r="I117" s="76" t="str"/>
      <x:c r="J117" s="78" t="str"/>
      <x:c r="K117" s="78" t="str"/>
      <x:c r="L117" s="78" t="str"/>
      <x:c r="M117" s="74" t="str"/>
      <x:c r="N117" t="str"/>
      <x:c r="O117" t="str"/>
      <x:c r="P117" t="str"/>
    </x:row>
    <x:row r="118">
      <x:c r="A118" s="86" t="str"/>
      <x:c r="B118" t="str"/>
      <x:c r="C118" t="str"/>
      <x:c r="D118" t="str"/>
      <x:c r="E118" t="str"/>
      <x:c r="F118" t="str"/>
      <x:c r="G118" t="str"/>
      <x:c r="H118" s="76" t="str"/>
      <x:c r="I118" s="76" t="str"/>
      <x:c r="J118" s="78" t="str"/>
      <x:c r="K118" s="78" t="str"/>
      <x:c r="L118" s="78" t="str"/>
      <x:c r="M118" s="74" t="str"/>
      <x:c r="N118" t="str"/>
      <x:c r="O118" t="str"/>
      <x:c r="P118" t="str"/>
    </x:row>
    <x:row r="119">
      <x:c r="A119" s="86" t="str"/>
      <x:c r="B119" t="str"/>
      <x:c r="C119" t="str"/>
      <x:c r="D119" t="str"/>
      <x:c r="E119" t="str"/>
      <x:c r="F119" t="str"/>
      <x:c r="G119" t="str"/>
      <x:c r="H119" s="76" t="str"/>
      <x:c r="I119" s="76" t="str"/>
      <x:c r="J119" s="78" t="str"/>
      <x:c r="K119" s="78" t="str"/>
      <x:c r="L119" s="78" t="str"/>
      <x:c r="M119" s="74" t="str"/>
      <x:c r="N119" t="str"/>
      <x:c r="O119" t="str"/>
      <x:c r="P119" t="str"/>
    </x:row>
    <x:row r="120">
      <x:c r="A120" s="86" t="str"/>
      <x:c r="B120" t="str"/>
      <x:c r="C120" t="str"/>
      <x:c r="D120" t="str"/>
      <x:c r="E120" t="str"/>
      <x:c r="F120" t="str"/>
      <x:c r="G120" t="str"/>
      <x:c r="H120" s="76" t="str"/>
      <x:c r="I120" s="76" t="str"/>
      <x:c r="J120" s="78" t="str"/>
      <x:c r="K120" s="78" t="str"/>
      <x:c r="L120" s="78" t="str"/>
      <x:c r="M120" s="74" t="str"/>
      <x:c r="N120" t="str"/>
      <x:c r="O120" t="str"/>
      <x:c r="P120" t="str"/>
    </x:row>
    <x:row r="121">
      <x:c r="A121" s="86" t="str"/>
      <x:c r="B121" t="str"/>
      <x:c r="C121" t="str"/>
      <x:c r="D121" t="str"/>
      <x:c r="E121" t="str"/>
      <x:c r="F121" t="str"/>
      <x:c r="G121" t="str"/>
      <x:c r="H121" s="76" t="str"/>
      <x:c r="I121" s="76" t="str"/>
      <x:c r="J121" s="78" t="str"/>
      <x:c r="K121" s="78" t="str"/>
      <x:c r="L121" s="78" t="str"/>
      <x:c r="M121" s="74" t="str"/>
      <x:c r="N121" t="str"/>
      <x:c r="O121" t="str"/>
      <x:c r="P121" t="str"/>
    </x:row>
    <x:row r="122">
      <x:c r="A122" s="86" t="str"/>
      <x:c r="B122" t="str"/>
      <x:c r="C122" t="str"/>
      <x:c r="D122" t="str"/>
      <x:c r="E122" t="str"/>
      <x:c r="F122" t="str"/>
      <x:c r="G122" t="str"/>
      <x:c r="H122" s="76" t="str"/>
      <x:c r="I122" s="76" t="str"/>
      <x:c r="J122" s="78" t="str"/>
      <x:c r="K122" s="78" t="str"/>
      <x:c r="L122" s="78" t="str"/>
      <x:c r="M122" s="74" t="str"/>
      <x:c r="N122" t="str"/>
      <x:c r="O122" t="str"/>
      <x:c r="P122" t="str"/>
    </x:row>
    <x:row r="123">
      <x:c r="A123" s="86" t="str"/>
      <x:c r="B123" t="str"/>
      <x:c r="C123" t="str"/>
      <x:c r="D123" t="str"/>
      <x:c r="E123" t="str"/>
      <x:c r="F123" t="str"/>
      <x:c r="G123" t="str"/>
      <x:c r="H123" s="76" t="str"/>
      <x:c r="I123" s="76" t="str"/>
      <x:c r="J123" s="78" t="str"/>
      <x:c r="K123" s="78" t="str"/>
      <x:c r="L123" s="78" t="str"/>
      <x:c r="M123" s="74" t="str"/>
      <x:c r="N123" t="str"/>
      <x:c r="O123" t="str"/>
      <x:c r="P123" t="str"/>
    </x:row>
    <x:row r="124">
      <x:c r="A124" s="86" t="str"/>
      <x:c r="B124" t="str"/>
      <x:c r="C124" t="str"/>
      <x:c r="D124" t="str"/>
      <x:c r="E124" t="str"/>
      <x:c r="F124" t="str"/>
      <x:c r="G124" t="str"/>
      <x:c r="H124" s="76" t="str"/>
      <x:c r="I124" s="76" t="str"/>
      <x:c r="J124" s="78" t="str"/>
      <x:c r="K124" s="78" t="str"/>
      <x:c r="L124" s="78" t="str"/>
      <x:c r="M124" s="74" t="str"/>
      <x:c r="N124" t="str"/>
      <x:c r="O124" t="str"/>
      <x:c r="P124" t="str"/>
    </x:row>
    <x:row r="125">
      <x:c r="A125" s="86" t="str"/>
      <x:c r="B125" t="str"/>
      <x:c r="C125" t="str"/>
      <x:c r="D125" t="str"/>
      <x:c r="E125" t="str"/>
      <x:c r="F125" t="str"/>
      <x:c r="G125" t="str"/>
      <x:c r="H125" s="76" t="str"/>
      <x:c r="I125" s="76" t="str"/>
      <x:c r="J125" s="78" t="str"/>
      <x:c r="K125" s="78" t="str"/>
      <x:c r="L125" s="78" t="str"/>
      <x:c r="M125" s="74" t="str"/>
      <x:c r="N125" t="str"/>
      <x:c r="O125" t="str"/>
      <x:c r="P125" t="str"/>
    </x:row>
    <x:row r="126">
      <x:c r="A126" s="86" t="str"/>
      <x:c r="B126" t="str"/>
      <x:c r="C126" t="str"/>
      <x:c r="D126" t="str"/>
      <x:c r="E126" t="str"/>
      <x:c r="F126" t="str"/>
      <x:c r="G126" t="str"/>
      <x:c r="H126" s="76" t="str"/>
      <x:c r="I126" s="76" t="str"/>
      <x:c r="J126" s="78" t="str"/>
      <x:c r="K126" s="78" t="str"/>
      <x:c r="L126" s="78" t="str"/>
      <x:c r="M126" s="74" t="str"/>
      <x:c r="N126" t="str"/>
      <x:c r="O126" t="str"/>
      <x:c r="P126" t="str"/>
    </x:row>
    <x:row r="127">
      <x:c r="A127" s="86" t="str"/>
      <x:c r="B127" t="str"/>
      <x:c r="C127" t="str"/>
      <x:c r="D127" t="str"/>
      <x:c r="E127" t="str"/>
      <x:c r="F127" t="str"/>
      <x:c r="G127" t="str"/>
      <x:c r="H127" s="76" t="str"/>
      <x:c r="I127" s="76" t="str"/>
      <x:c r="J127" s="78" t="str"/>
      <x:c r="K127" s="78" t="str"/>
      <x:c r="L127" s="78" t="str"/>
      <x:c r="M127" s="74" t="str"/>
      <x:c r="N127" t="str"/>
      <x:c r="O127" t="str"/>
      <x:c r="P127" t="str"/>
    </x:row>
    <x:row r="128">
      <x:c r="A128" s="86" t="str"/>
      <x:c r="B128" t="str"/>
      <x:c r="C128" t="str"/>
      <x:c r="D128" t="str"/>
      <x:c r="E128" t="str"/>
      <x:c r="F128" t="str"/>
      <x:c r="G128" t="str"/>
      <x:c r="H128" s="76" t="str"/>
      <x:c r="I128" s="76" t="str"/>
      <x:c r="J128" s="78" t="str"/>
      <x:c r="K128" s="78" t="str"/>
      <x:c r="L128" s="78" t="str"/>
      <x:c r="M128" s="74" t="str"/>
      <x:c r="N128" t="str"/>
      <x:c r="O128" t="str"/>
      <x:c r="P128" t="str"/>
    </x:row>
    <x:row r="129">
      <x:c r="A129" s="86" t="str"/>
      <x:c r="B129" t="str"/>
      <x:c r="C129" t="str"/>
      <x:c r="D129" t="str"/>
      <x:c r="E129" t="str"/>
      <x:c r="F129" t="str"/>
      <x:c r="G129" t="str"/>
      <x:c r="H129" s="76" t="str"/>
      <x:c r="I129" s="76" t="str"/>
      <x:c r="J129" s="78" t="str"/>
      <x:c r="K129" s="78" t="str"/>
      <x:c r="L129" s="78" t="str"/>
      <x:c r="M129" s="74" t="str"/>
      <x:c r="N129" t="str"/>
      <x:c r="O129" t="str"/>
      <x:c r="P129" t="str"/>
    </x:row>
    <x:row r="130">
      <x:c r="A130" s="86" t="str"/>
      <x:c r="B130" t="str"/>
      <x:c r="C130" t="str"/>
      <x:c r="D130" t="str"/>
      <x:c r="E130" t="str"/>
      <x:c r="F130" t="str"/>
      <x:c r="G130" t="str"/>
      <x:c r="H130" s="76" t="str"/>
      <x:c r="I130" s="76" t="str"/>
      <x:c r="J130" s="78" t="str"/>
      <x:c r="K130" s="78" t="str"/>
      <x:c r="L130" s="78" t="str"/>
      <x:c r="M130" s="74" t="str"/>
      <x:c r="N130" t="str"/>
      <x:c r="O130" t="str"/>
      <x:c r="P130" t="str"/>
    </x:row>
    <x:row r="131">
      <x:c r="A131" s="86" t="str"/>
      <x:c r="B131" t="str"/>
      <x:c r="C131" t="str"/>
      <x:c r="D131" t="str"/>
      <x:c r="E131" t="str"/>
      <x:c r="F131" t="str"/>
      <x:c r="G131" t="str"/>
      <x:c r="H131" s="76" t="str"/>
      <x:c r="I131" s="76" t="str"/>
      <x:c r="J131" s="78" t="str"/>
      <x:c r="K131" s="78" t="str"/>
      <x:c r="L131" s="78" t="str"/>
      <x:c r="M131" s="74" t="str"/>
      <x:c r="N131" t="str"/>
      <x:c r="O131" t="str"/>
      <x:c r="P131" t="str"/>
    </x:row>
    <x:row r="132">
      <x:c r="A132" s="86" t="str"/>
      <x:c r="B132" t="str"/>
      <x:c r="C132" t="str"/>
      <x:c r="D132" t="str"/>
      <x:c r="E132" t="str"/>
      <x:c r="F132" t="str"/>
      <x:c r="G132" t="str"/>
      <x:c r="H132" s="76" t="str"/>
      <x:c r="I132" s="76" t="str"/>
      <x:c r="J132" s="78" t="str"/>
      <x:c r="K132" s="78" t="str"/>
      <x:c r="L132" s="78" t="str"/>
      <x:c r="M132" s="74" t="str"/>
      <x:c r="N132" t="str"/>
      <x:c r="O132" t="str"/>
      <x:c r="P132" t="str"/>
    </x:row>
    <x:row r="133">
      <x:c r="A133" s="86" t="str"/>
      <x:c r="B133" t="str"/>
      <x:c r="C133" t="str"/>
      <x:c r="D133" t="str"/>
      <x:c r="E133" t="str"/>
      <x:c r="F133" t="str"/>
      <x:c r="G133" t="str"/>
      <x:c r="H133" s="76" t="str"/>
      <x:c r="I133" s="76" t="str"/>
      <x:c r="J133" s="78" t="str"/>
      <x:c r="K133" s="78" t="str"/>
      <x:c r="L133" s="78" t="str"/>
      <x:c r="M133" s="74" t="str"/>
      <x:c r="N133" t="str"/>
      <x:c r="O133" t="str"/>
      <x:c r="P133" t="str"/>
    </x:row>
    <x:row r="134">
      <x:c r="A134" s="86" t="str"/>
      <x:c r="B134" t="str"/>
      <x:c r="C134" t="str"/>
      <x:c r="D134" t="str"/>
      <x:c r="E134" t="str"/>
      <x:c r="F134" t="str"/>
      <x:c r="G134" t="str"/>
      <x:c r="H134" s="76" t="str"/>
      <x:c r="I134" s="76" t="str"/>
      <x:c r="J134" s="78" t="str"/>
      <x:c r="K134" s="78" t="str"/>
      <x:c r="L134" s="78" t="str"/>
      <x:c r="M134" s="74" t="str"/>
      <x:c r="N134" t="str"/>
      <x:c r="O134" t="str"/>
      <x:c r="P134" t="str"/>
    </x:row>
    <x:row r="135">
      <x:c r="A135" s="86" t="str"/>
      <x:c r="B135" t="str"/>
      <x:c r="C135" t="str"/>
      <x:c r="D135" t="str"/>
      <x:c r="E135" t="str"/>
      <x:c r="F135" t="str"/>
      <x:c r="G135" t="str"/>
      <x:c r="H135" s="76" t="str"/>
      <x:c r="I135" s="76" t="str"/>
      <x:c r="J135" s="78" t="str"/>
      <x:c r="K135" s="78" t="str"/>
      <x:c r="L135" s="78" t="str"/>
      <x:c r="M135" s="74" t="str"/>
      <x:c r="N135" t="str"/>
      <x:c r="O135" t="str"/>
      <x:c r="P135" t="str"/>
    </x:row>
    <x:row r="136">
      <x:c r="A136" s="86" t="str"/>
      <x:c r="B136" t="str"/>
      <x:c r="C136" t="str"/>
      <x:c r="D136" t="str"/>
      <x:c r="E136" t="str"/>
      <x:c r="F136" t="str"/>
      <x:c r="G136" t="str"/>
      <x:c r="H136" s="76" t="str"/>
      <x:c r="I136" s="76" t="str"/>
      <x:c r="J136" s="78" t="str"/>
      <x:c r="K136" s="78" t="str"/>
      <x:c r="L136" s="78" t="str"/>
      <x:c r="M136" s="74" t="str"/>
      <x:c r="N136" t="str"/>
      <x:c r="O136" t="str"/>
      <x:c r="P136" t="str"/>
    </x:row>
    <x:row r="137">
      <x:c r="A137" s="86" t="str"/>
      <x:c r="B137" t="str"/>
      <x:c r="C137" t="str"/>
      <x:c r="D137" t="str"/>
      <x:c r="E137" t="str"/>
      <x:c r="F137" t="str"/>
      <x:c r="G137" t="str"/>
      <x:c r="H137" s="76" t="str"/>
      <x:c r="I137" s="76" t="str"/>
      <x:c r="J137" s="78" t="str"/>
      <x:c r="K137" s="78" t="str"/>
      <x:c r="L137" s="78" t="str"/>
      <x:c r="M137" s="74" t="str"/>
      <x:c r="N137" t="str"/>
      <x:c r="O137" t="str"/>
      <x:c r="P137" t="str"/>
    </x:row>
    <x:row r="138">
      <x:c r="A138" s="86" t="str"/>
      <x:c r="B138" t="str"/>
      <x:c r="C138" t="str"/>
      <x:c r="D138" t="str"/>
      <x:c r="E138" t="str"/>
      <x:c r="F138" t="str"/>
      <x:c r="G138" t="str"/>
      <x:c r="H138" s="76" t="str"/>
      <x:c r="I138" s="76" t="str"/>
      <x:c r="J138" s="78" t="str"/>
      <x:c r="K138" s="78" t="str"/>
      <x:c r="L138" s="78" t="str"/>
      <x:c r="M138" s="74" t="str"/>
      <x:c r="N138" t="str"/>
      <x:c r="O138" t="str"/>
      <x:c r="P138" t="str"/>
    </x:row>
    <x:row r="139">
      <x:c r="A139" s="86" t="str"/>
      <x:c r="B139" t="str"/>
      <x:c r="C139" t="str"/>
      <x:c r="D139" t="str"/>
      <x:c r="E139" t="str"/>
      <x:c r="F139" t="str"/>
      <x:c r="G139" t="str"/>
      <x:c r="H139" s="76" t="str"/>
      <x:c r="I139" s="76" t="str"/>
      <x:c r="J139" s="78" t="str"/>
      <x:c r="K139" s="78" t="str"/>
      <x:c r="L139" s="78" t="str"/>
      <x:c r="M139" s="74" t="str"/>
      <x:c r="N139" t="str"/>
      <x:c r="O139" t="str"/>
      <x:c r="P139" t="str"/>
    </x:row>
    <x:row r="140">
      <x:c r="A140" s="86" t="str"/>
      <x:c r="B140" t="str"/>
      <x:c r="C140" t="str"/>
      <x:c r="D140" t="str"/>
      <x:c r="E140" t="str"/>
      <x:c r="F140" t="str"/>
      <x:c r="G140" t="str"/>
      <x:c r="H140" s="76" t="str"/>
      <x:c r="I140" s="76" t="str"/>
      <x:c r="J140" s="78" t="str"/>
      <x:c r="K140" s="78" t="str"/>
      <x:c r="L140" s="78" t="str"/>
      <x:c r="M140" s="74" t="str"/>
      <x:c r="N140" t="str"/>
      <x:c r="O140" t="str"/>
      <x:c r="P140" t="str"/>
    </x:row>
    <x:row r="141">
      <x:c r="A141" s="86" t="str"/>
      <x:c r="B141" t="str"/>
      <x:c r="C141" t="str"/>
      <x:c r="D141" t="str"/>
      <x:c r="E141" t="str"/>
      <x:c r="F141" t="str"/>
      <x:c r="G141" t="str"/>
      <x:c r="H141" s="76" t="str"/>
      <x:c r="I141" s="76" t="str"/>
      <x:c r="J141" s="78" t="str"/>
      <x:c r="K141" s="78" t="str"/>
      <x:c r="L141" s="78" t="str"/>
      <x:c r="M141" s="74" t="str"/>
      <x:c r="N141" t="str"/>
      <x:c r="O141" t="str"/>
      <x:c r="P141" t="str"/>
    </x:row>
    <x:row r="142">
      <x:c r="A142" s="86" t="str"/>
      <x:c r="B142" t="str"/>
      <x:c r="C142" t="str"/>
      <x:c r="D142" t="str"/>
      <x:c r="E142" t="str"/>
      <x:c r="F142" t="str"/>
      <x:c r="G142" t="str"/>
      <x:c r="H142" s="76" t="str"/>
      <x:c r="I142" s="76" t="str"/>
      <x:c r="J142" s="78" t="str"/>
      <x:c r="K142" s="78" t="str"/>
      <x:c r="L142" s="78" t="str"/>
      <x:c r="M142" s="74" t="str"/>
      <x:c r="N142" t="str"/>
      <x:c r="O142" t="str"/>
      <x:c r="P142" t="str"/>
    </x:row>
    <x:row r="143">
      <x:c r="A143" s="86" t="str"/>
      <x:c r="B143" t="str"/>
      <x:c r="C143" t="str"/>
      <x:c r="D143" t="str"/>
      <x:c r="E143" t="str"/>
      <x:c r="F143" t="str"/>
      <x:c r="G143" t="str"/>
      <x:c r="H143" s="76" t="str"/>
      <x:c r="I143" s="76" t="str"/>
      <x:c r="J143" s="78" t="str"/>
      <x:c r="K143" s="78" t="str"/>
      <x:c r="L143" s="78" t="str"/>
      <x:c r="M143" s="74" t="str"/>
      <x:c r="N143" t="str"/>
      <x:c r="O143" t="str"/>
      <x:c r="P143" t="str"/>
    </x:row>
    <x:row r="144">
      <x:c r="A144" s="86" t="str"/>
      <x:c r="B144" t="str"/>
      <x:c r="C144" t="str"/>
      <x:c r="D144" t="str"/>
      <x:c r="E144" t="str"/>
      <x:c r="F144" t="str"/>
      <x:c r="G144" t="str"/>
      <x:c r="H144" s="76" t="str"/>
      <x:c r="I144" s="76" t="str"/>
      <x:c r="J144" s="78" t="str"/>
      <x:c r="K144" s="78" t="str"/>
      <x:c r="L144" s="78" t="str"/>
      <x:c r="M144" s="74" t="str"/>
      <x:c r="N144" t="str"/>
      <x:c r="O144" t="str"/>
      <x:c r="P144" t="str"/>
    </x:row>
    <x:row r="145">
      <x:c r="A145" s="86" t="str"/>
      <x:c r="B145" t="str"/>
      <x:c r="C145" t="str"/>
      <x:c r="D145" t="str"/>
      <x:c r="E145" t="str"/>
      <x:c r="F145" t="str"/>
      <x:c r="G145" t="str"/>
      <x:c r="H145" s="76" t="str"/>
      <x:c r="I145" s="76" t="str"/>
      <x:c r="J145" s="78" t="str"/>
      <x:c r="K145" s="78" t="str"/>
      <x:c r="L145" s="78" t="str"/>
      <x:c r="M145" s="74" t="str"/>
      <x:c r="N145" t="str"/>
      <x:c r="O145" t="str"/>
      <x:c r="P145" t="str"/>
    </x:row>
    <x:row r="146">
      <x:c r="A146" s="86" t="str"/>
      <x:c r="B146" t="str"/>
      <x:c r="C146" t="str"/>
      <x:c r="D146" t="str"/>
      <x:c r="E146" t="str"/>
      <x:c r="F146" t="str"/>
      <x:c r="G146" t="str"/>
      <x:c r="H146" s="76" t="str"/>
      <x:c r="I146" s="76" t="str"/>
      <x:c r="J146" s="78" t="str"/>
      <x:c r="K146" s="78" t="str"/>
      <x:c r="L146" s="78" t="str"/>
      <x:c r="M146" s="74" t="str"/>
      <x:c r="N146" t="str"/>
      <x:c r="O146" t="str"/>
      <x:c r="P146" t="str"/>
    </x:row>
    <x:row r="147">
      <x:c r="A147" s="86" t="str"/>
      <x:c r="B147" t="str"/>
      <x:c r="C147" t="str"/>
      <x:c r="D147" t="str"/>
      <x:c r="E147" t="str"/>
      <x:c r="F147" t="str"/>
      <x:c r="G147" t="str"/>
      <x:c r="H147" s="76" t="str"/>
      <x:c r="I147" s="76" t="str"/>
      <x:c r="J147" s="78" t="str"/>
      <x:c r="K147" s="78" t="str"/>
      <x:c r="L147" s="78" t="str"/>
      <x:c r="M147" s="74" t="str"/>
      <x:c r="N147" t="str"/>
      <x:c r="O147" t="str"/>
      <x:c r="P147" t="str"/>
    </x:row>
    <x:row r="148">
      <x:c r="A148" s="86" t="str"/>
      <x:c r="B148" t="str"/>
      <x:c r="C148" t="str"/>
      <x:c r="D148" t="str"/>
      <x:c r="E148" t="str"/>
      <x:c r="F148" t="str"/>
      <x:c r="G148" t="str"/>
      <x:c r="H148" s="76" t="str"/>
      <x:c r="I148" s="76" t="str"/>
      <x:c r="J148" s="78" t="str"/>
      <x:c r="K148" s="78" t="str"/>
      <x:c r="L148" s="78" t="str"/>
      <x:c r="M148" s="74" t="str"/>
      <x:c r="N148" t="str"/>
      <x:c r="O148" t="str"/>
      <x:c r="P148" t="str"/>
    </x:row>
    <x:row r="149">
      <x:c r="A149" s="86" t="str"/>
      <x:c r="B149" t="str"/>
      <x:c r="C149" t="str"/>
      <x:c r="D149" t="str"/>
      <x:c r="E149" t="str"/>
      <x:c r="F149" t="str"/>
      <x:c r="G149" t="str"/>
      <x:c r="H149" s="76" t="str"/>
      <x:c r="I149" s="76" t="str"/>
      <x:c r="J149" s="78" t="str"/>
      <x:c r="K149" s="78" t="str"/>
      <x:c r="L149" s="78" t="str"/>
      <x:c r="M149" s="74" t="str"/>
      <x:c r="N149" t="str"/>
      <x:c r="O149" t="str"/>
      <x:c r="P149" t="str"/>
    </x:row>
    <x:row r="150">
      <x:c r="A150" s="86" t="str"/>
      <x:c r="B150" t="str"/>
      <x:c r="C150" t="str"/>
      <x:c r="D150" t="str"/>
      <x:c r="E150" t="str"/>
      <x:c r="F150" t="str"/>
      <x:c r="G150" t="str"/>
      <x:c r="H150" s="76" t="str"/>
      <x:c r="I150" s="76" t="str"/>
      <x:c r="J150" s="78" t="str"/>
      <x:c r="K150" s="78" t="str"/>
      <x:c r="L150" s="78" t="str"/>
      <x:c r="M150" s="74" t="str"/>
      <x:c r="N150" t="str"/>
      <x:c r="O150" t="str"/>
      <x:c r="P150" t="str"/>
    </x:row>
    <x:row r="151">
      <x:c r="A151" s="86" t="str"/>
      <x:c r="B151" t="str"/>
      <x:c r="C151" t="str"/>
      <x:c r="D151" t="str"/>
      <x:c r="E151" t="str"/>
      <x:c r="F151" t="str"/>
      <x:c r="G151" t="str"/>
      <x:c r="H151" s="76" t="str"/>
      <x:c r="I151" s="76" t="str"/>
      <x:c r="J151" s="78" t="str"/>
      <x:c r="K151" s="78" t="str"/>
      <x:c r="L151" s="78" t="str"/>
      <x:c r="M151" s="74" t="str"/>
      <x:c r="N151" t="str"/>
      <x:c r="O151" t="str"/>
      <x:c r="P151" t="str"/>
    </x:row>
    <x:row r="152">
      <x:c r="A152" s="86" t="str"/>
      <x:c r="B152" t="str"/>
      <x:c r="C152" t="str"/>
      <x:c r="D152" t="str"/>
      <x:c r="E152" t="str"/>
      <x:c r="F152" t="str"/>
      <x:c r="G152" t="str"/>
      <x:c r="H152" s="76" t="str"/>
      <x:c r="I152" s="76" t="str"/>
      <x:c r="J152" s="78" t="str"/>
      <x:c r="K152" s="78" t="str"/>
      <x:c r="L152" s="78" t="str"/>
      <x:c r="M152" s="74" t="str"/>
      <x:c r="N152" t="str"/>
      <x:c r="O152" t="str"/>
      <x:c r="P152" t="str"/>
    </x:row>
    <x:row r="153">
      <x:c r="A153" s="86" t="str"/>
      <x:c r="B153" t="str"/>
      <x:c r="C153" t="str"/>
      <x:c r="D153" t="str"/>
      <x:c r="E153" t="str"/>
      <x:c r="F153" t="str"/>
      <x:c r="G153" t="str"/>
      <x:c r="H153" s="76" t="str"/>
      <x:c r="I153" s="76" t="str"/>
      <x:c r="J153" s="78" t="str"/>
      <x:c r="K153" s="78" t="str"/>
      <x:c r="L153" s="78" t="str"/>
      <x:c r="M153" s="74" t="str"/>
      <x:c r="N153" t="str"/>
      <x:c r="O153" t="str"/>
      <x:c r="P153" t="str"/>
    </x:row>
    <x:row r="154">
      <x:c r="A154" s="86" t="str"/>
      <x:c r="B154" t="str"/>
      <x:c r="C154" t="str"/>
      <x:c r="D154" t="str"/>
      <x:c r="E154" t="str"/>
      <x:c r="F154" t="str"/>
      <x:c r="G154" t="str"/>
      <x:c r="H154" s="76" t="str"/>
      <x:c r="I154" s="76" t="str"/>
      <x:c r="J154" s="78" t="str"/>
      <x:c r="K154" s="78" t="str"/>
      <x:c r="L154" s="78" t="str"/>
      <x:c r="M154" s="74" t="str"/>
      <x:c r="N154" t="str"/>
      <x:c r="O154" t="str"/>
      <x:c r="P154" t="str"/>
    </x:row>
    <x:row r="155">
      <x:c r="A155" s="86" t="str"/>
      <x:c r="B155" t="str"/>
      <x:c r="C155" t="str"/>
      <x:c r="D155" t="str"/>
      <x:c r="E155" t="str"/>
      <x:c r="F155" t="str"/>
      <x:c r="G155" t="str"/>
      <x:c r="H155" s="76" t="str"/>
      <x:c r="I155" s="76" t="str"/>
      <x:c r="J155" s="78" t="str"/>
      <x:c r="K155" s="78" t="str"/>
      <x:c r="L155" s="78" t="str"/>
      <x:c r="M155" s="74" t="str"/>
      <x:c r="N155" t="str"/>
      <x:c r="O155" t="str"/>
      <x:c r="P155" t="str"/>
    </x:row>
    <x:row r="156">
      <x:c r="A156" s="86" t="str"/>
      <x:c r="B156" t="str"/>
      <x:c r="C156" t="str"/>
      <x:c r="D156" t="str"/>
      <x:c r="E156" t="str"/>
      <x:c r="F156" t="str"/>
      <x:c r="G156" t="str"/>
      <x:c r="H156" s="76" t="str"/>
      <x:c r="I156" s="76" t="str"/>
      <x:c r="J156" s="78" t="str"/>
      <x:c r="K156" s="78" t="str"/>
      <x:c r="L156" s="78" t="str"/>
      <x:c r="M156" s="74" t="str"/>
      <x:c r="N156" t="str"/>
      <x:c r="O156" t="str"/>
      <x:c r="P156" t="str"/>
    </x:row>
    <x:row r="157">
      <x:c r="A157" s="86" t="str"/>
      <x:c r="B157" t="str"/>
      <x:c r="C157" t="str"/>
      <x:c r="D157" t="str"/>
      <x:c r="E157" t="str"/>
      <x:c r="F157" t="str"/>
      <x:c r="G157" t="str"/>
      <x:c r="H157" s="76" t="str"/>
      <x:c r="I157" s="76" t="str"/>
      <x:c r="J157" s="78" t="str"/>
      <x:c r="K157" s="78" t="str"/>
      <x:c r="L157" s="78" t="str"/>
      <x:c r="M157" s="74" t="str"/>
      <x:c r="N157" t="str"/>
      <x:c r="O157" t="str"/>
      <x:c r="P157" t="str"/>
    </x:row>
    <x:row r="158">
      <x:c r="A158" s="86" t="str"/>
      <x:c r="B158" t="str"/>
      <x:c r="C158" t="str"/>
      <x:c r="D158" t="str"/>
      <x:c r="E158" t="str"/>
      <x:c r="F158" t="str"/>
      <x:c r="G158" t="str"/>
      <x:c r="H158" s="76" t="str"/>
      <x:c r="I158" s="76" t="str"/>
      <x:c r="J158" s="78" t="str"/>
      <x:c r="K158" s="78" t="str"/>
      <x:c r="L158" s="78" t="str"/>
      <x:c r="M158" s="74" t="str"/>
      <x:c r="N158" t="str"/>
      <x:c r="O158" t="str"/>
      <x:c r="P158" t="str"/>
    </x:row>
    <x:row r="159">
      <x:c r="A159" s="86" t="str"/>
      <x:c r="B159" t="str"/>
      <x:c r="C159" t="str"/>
      <x:c r="D159" t="str"/>
      <x:c r="E159" t="str"/>
      <x:c r="F159" t="str"/>
      <x:c r="G159" t="str"/>
      <x:c r="H159" s="76" t="str"/>
      <x:c r="I159" s="76" t="str"/>
      <x:c r="J159" s="78" t="str"/>
      <x:c r="K159" s="78" t="str"/>
      <x:c r="L159" s="78" t="str"/>
      <x:c r="M159" s="74" t="str"/>
      <x:c r="N159" t="str"/>
      <x:c r="O159" t="str"/>
      <x:c r="P159" t="str"/>
    </x:row>
    <x:row r="160">
      <x:c r="A160" s="86" t="str"/>
      <x:c r="B160" t="str"/>
      <x:c r="C160" t="str"/>
      <x:c r="D160" t="str"/>
      <x:c r="E160" t="str"/>
      <x:c r="F160" t="str"/>
      <x:c r="G160" t="str"/>
      <x:c r="H160" s="76" t="str"/>
      <x:c r="I160" s="76" t="str"/>
      <x:c r="J160" s="78" t="str"/>
      <x:c r="K160" s="78" t="str"/>
      <x:c r="L160" s="78" t="str"/>
      <x:c r="M160" s="74" t="str"/>
      <x:c r="N160" t="str"/>
      <x:c r="O160" t="str"/>
      <x:c r="P160" t="str"/>
    </x:row>
    <x:row r="161">
      <x:c r="A161" s="86" t="str"/>
      <x:c r="B161" t="str"/>
      <x:c r="C161" t="str"/>
      <x:c r="D161" t="str"/>
      <x:c r="E161" t="str"/>
      <x:c r="F161" t="str"/>
      <x:c r="G161" t="str"/>
      <x:c r="H161" s="76" t="str"/>
      <x:c r="I161" s="76" t="str"/>
      <x:c r="J161" s="78" t="str"/>
      <x:c r="K161" s="78" t="str"/>
      <x:c r="L161" s="78" t="str"/>
      <x:c r="M161" s="74" t="str"/>
      <x:c r="N161" t="str"/>
      <x:c r="O161" t="str"/>
      <x:c r="P161" t="str"/>
    </x:row>
    <x:row r="162">
      <x:c r="A162" s="86" t="str"/>
      <x:c r="B162" t="str"/>
      <x:c r="C162" t="str"/>
      <x:c r="D162" t="str"/>
      <x:c r="E162" t="str"/>
      <x:c r="F162" t="str"/>
      <x:c r="G162" t="str"/>
      <x:c r="H162" s="76" t="str"/>
      <x:c r="I162" s="76" t="str"/>
      <x:c r="J162" s="78" t="str"/>
      <x:c r="K162" s="78" t="str"/>
      <x:c r="L162" s="78" t="str"/>
      <x:c r="M162" s="74" t="str"/>
      <x:c r="N162" t="str"/>
      <x:c r="O162" t="str"/>
      <x:c r="P162" t="str"/>
    </x:row>
    <x:row r="163">
      <x:c r="A163" s="86" t="str"/>
      <x:c r="B163" t="str"/>
      <x:c r="C163" t="str"/>
      <x:c r="D163" t="str"/>
      <x:c r="E163" t="str"/>
      <x:c r="F163" t="str"/>
      <x:c r="G163" t="str"/>
      <x:c r="H163" s="76" t="str"/>
      <x:c r="I163" s="76" t="str"/>
      <x:c r="J163" s="78" t="str"/>
      <x:c r="K163" s="78" t="str"/>
      <x:c r="L163" s="78" t="str"/>
      <x:c r="M163" s="74" t="str"/>
      <x:c r="N163" t="str"/>
      <x:c r="O163" t="str"/>
      <x:c r="P163" t="str"/>
    </x:row>
    <x:row r="164">
      <x:c r="A164" s="86" t="str"/>
      <x:c r="B164" t="str"/>
      <x:c r="C164" t="str"/>
      <x:c r="D164" t="str"/>
      <x:c r="E164" t="str"/>
      <x:c r="F164" t="str"/>
      <x:c r="G164" t="str"/>
      <x:c r="H164" s="76" t="str"/>
      <x:c r="I164" s="76" t="str"/>
      <x:c r="J164" s="78" t="str"/>
      <x:c r="K164" s="78" t="str"/>
      <x:c r="L164" s="78" t="str"/>
      <x:c r="M164" s="74" t="str"/>
      <x:c r="N164" t="str"/>
      <x:c r="O164" t="str"/>
      <x:c r="P164" t="str"/>
    </x:row>
    <x:row r="165">
      <x:c r="A165" s="86" t="str"/>
      <x:c r="B165" t="str"/>
      <x:c r="C165" t="str"/>
      <x:c r="D165" t="str"/>
      <x:c r="E165" t="str"/>
      <x:c r="F165" t="str"/>
      <x:c r="G165" t="str"/>
      <x:c r="H165" s="76" t="str"/>
      <x:c r="I165" s="76" t="str"/>
      <x:c r="J165" s="78" t="str"/>
      <x:c r="K165" s="78" t="str"/>
      <x:c r="L165" s="78" t="str"/>
      <x:c r="M165" s="74" t="str"/>
      <x:c r="N165" t="str"/>
      <x:c r="O165" t="str"/>
      <x:c r="P165" t="str"/>
    </x:row>
    <x:row r="166">
      <x:c r="A166" s="86" t="str"/>
      <x:c r="B166" t="str"/>
      <x:c r="C166" t="str"/>
      <x:c r="D166" t="str"/>
      <x:c r="E166" t="str"/>
      <x:c r="F166" t="str"/>
      <x:c r="G166" t="str"/>
      <x:c r="H166" s="76" t="str"/>
      <x:c r="I166" s="76" t="str"/>
      <x:c r="J166" s="78" t="str"/>
      <x:c r="K166" s="78" t="str"/>
      <x:c r="L166" s="78" t="str"/>
      <x:c r="M166" s="74" t="str"/>
      <x:c r="N166" t="str"/>
      <x:c r="O166" t="str"/>
      <x:c r="P166" t="str"/>
    </x:row>
    <x:row r="167">
      <x:c r="A167" s="86" t="str"/>
      <x:c r="B167" t="str"/>
      <x:c r="C167" t="str"/>
      <x:c r="D167" t="str"/>
      <x:c r="E167" t="str"/>
      <x:c r="F167" t="str"/>
      <x:c r="G167" t="str"/>
      <x:c r="H167" s="76" t="str"/>
      <x:c r="I167" s="76" t="str"/>
      <x:c r="J167" s="78" t="str"/>
      <x:c r="K167" s="78" t="str"/>
      <x:c r="L167" s="78" t="str"/>
      <x:c r="M167" s="74" t="str"/>
      <x:c r="N167" t="str"/>
      <x:c r="O167" t="str"/>
      <x:c r="P167" t="str"/>
    </x:row>
    <x:row r="168">
      <x:c r="A168" s="86" t="str"/>
      <x:c r="B168" t="str"/>
      <x:c r="C168" t="str"/>
      <x:c r="D168" t="str"/>
      <x:c r="E168" t="str"/>
      <x:c r="F168" t="str"/>
      <x:c r="G168" t="str"/>
      <x:c r="H168" s="76" t="str"/>
      <x:c r="I168" s="76" t="str"/>
      <x:c r="J168" s="78" t="str"/>
      <x:c r="K168" s="78" t="str"/>
      <x:c r="L168" s="78" t="str"/>
      <x:c r="M168" s="74" t="str"/>
      <x:c r="N168" t="str"/>
      <x:c r="O168" t="str"/>
      <x:c r="P168" t="str"/>
    </x:row>
    <x:row r="169">
      <x:c r="A169" s="86" t="str"/>
      <x:c r="B169" t="str"/>
      <x:c r="C169" t="str"/>
      <x:c r="D169" t="str"/>
      <x:c r="E169" t="str"/>
      <x:c r="F169" t="str"/>
      <x:c r="G169" t="str"/>
      <x:c r="H169" s="76" t="str"/>
      <x:c r="I169" s="76" t="str"/>
      <x:c r="J169" s="78" t="str"/>
      <x:c r="K169" s="78" t="str"/>
      <x:c r="L169" s="78" t="str"/>
      <x:c r="M169" s="74" t="str"/>
      <x:c r="N169" t="str"/>
      <x:c r="O169" t="str"/>
      <x:c r="P169" t="str"/>
    </x:row>
    <x:row r="170">
      <x:c r="A170" s="86" t="str"/>
      <x:c r="B170" t="str"/>
      <x:c r="C170" t="str"/>
      <x:c r="D170" t="str"/>
      <x:c r="E170" t="str"/>
      <x:c r="F170" t="str"/>
      <x:c r="G170" t="str"/>
      <x:c r="H170" s="76" t="str"/>
      <x:c r="I170" s="76" t="str"/>
      <x:c r="J170" s="78" t="str"/>
      <x:c r="K170" s="78" t="str"/>
      <x:c r="L170" s="78" t="str"/>
      <x:c r="M170" s="74" t="str"/>
      <x:c r="N170" t="str"/>
      <x:c r="O170" t="str"/>
      <x:c r="P170" t="str"/>
    </x:row>
    <x:row r="171">
      <x:c r="A171" s="86" t="str"/>
      <x:c r="B171" t="str"/>
      <x:c r="C171" t="str"/>
      <x:c r="D171" t="str"/>
      <x:c r="E171" t="str"/>
      <x:c r="F171" t="str"/>
      <x:c r="G171" t="str"/>
      <x:c r="H171" s="76" t="str"/>
      <x:c r="I171" s="76" t="str"/>
      <x:c r="J171" s="78" t="str"/>
      <x:c r="K171" s="78" t="str"/>
      <x:c r="L171" s="78" t="str"/>
      <x:c r="M171" s="74" t="str"/>
      <x:c r="N171" t="str"/>
      <x:c r="O171" t="str"/>
      <x:c r="P171" t="str"/>
    </x:row>
    <x:row r="172">
      <x:c r="A172" s="86" t="str"/>
      <x:c r="B172" t="str"/>
      <x:c r="C172" t="str"/>
      <x:c r="D172" t="str"/>
      <x:c r="E172" t="str"/>
      <x:c r="F172" t="str"/>
      <x:c r="G172" t="str"/>
      <x:c r="H172" s="76" t="str"/>
      <x:c r="I172" s="76" t="str"/>
      <x:c r="J172" s="78" t="str"/>
      <x:c r="K172" s="78" t="str"/>
      <x:c r="L172" s="78" t="str"/>
      <x:c r="M172" s="74" t="str"/>
      <x:c r="N172" t="str"/>
      <x:c r="O172" t="str"/>
      <x:c r="P172" t="str"/>
    </x:row>
    <x:row r="173">
      <x:c r="A173" s="86" t="str"/>
      <x:c r="B173" t="str"/>
      <x:c r="C173" t="str"/>
      <x:c r="D173" t="str"/>
      <x:c r="E173" t="str"/>
      <x:c r="F173" t="str"/>
      <x:c r="G173" t="str"/>
      <x:c r="H173" s="76" t="str"/>
      <x:c r="I173" s="76" t="str"/>
      <x:c r="J173" s="78" t="str"/>
      <x:c r="K173" s="78" t="str"/>
      <x:c r="L173" s="78" t="str"/>
      <x:c r="M173" s="74" t="str"/>
      <x:c r="N173" t="str"/>
      <x:c r="O173" t="str"/>
      <x:c r="P173" t="str"/>
    </x:row>
    <x:row r="174">
      <x:c r="A174" s="86" t="str"/>
      <x:c r="B174" t="str"/>
      <x:c r="C174" t="str"/>
      <x:c r="D174" t="str"/>
      <x:c r="E174" t="str"/>
      <x:c r="F174" t="str"/>
      <x:c r="G174" t="str"/>
      <x:c r="H174" s="76" t="str"/>
      <x:c r="I174" s="76" t="str"/>
      <x:c r="J174" s="78" t="str"/>
      <x:c r="K174" s="78" t="str"/>
      <x:c r="L174" s="78" t="str"/>
      <x:c r="M174" s="74" t="str"/>
      <x:c r="N174" t="str"/>
      <x:c r="O174" t="str"/>
      <x:c r="P174" t="str"/>
    </x:row>
    <x:row r="175">
      <x:c r="A175" s="86" t="str"/>
      <x:c r="B175" t="str"/>
      <x:c r="C175" t="str"/>
      <x:c r="D175" t="str"/>
      <x:c r="E175" t="str"/>
      <x:c r="F175" t="str"/>
      <x:c r="G175" t="str"/>
      <x:c r="H175" s="76" t="str"/>
      <x:c r="I175" s="76" t="str"/>
      <x:c r="J175" s="78" t="str"/>
      <x:c r="K175" s="78" t="str"/>
      <x:c r="L175" s="78" t="str"/>
      <x:c r="M175" s="74" t="str"/>
      <x:c r="N175" t="str"/>
      <x:c r="O175" t="str"/>
      <x:c r="P175" t="str"/>
    </x:row>
    <x:row r="176">
      <x:c r="A176" s="86" t="str"/>
      <x:c r="B176" t="str"/>
      <x:c r="C176" t="str"/>
      <x:c r="D176" t="str"/>
      <x:c r="E176" t="str"/>
      <x:c r="F176" t="str"/>
      <x:c r="G176" t="str"/>
      <x:c r="H176" s="76" t="str"/>
      <x:c r="I176" s="76" t="str"/>
      <x:c r="J176" s="78" t="str"/>
      <x:c r="K176" s="78" t="str"/>
      <x:c r="L176" s="78" t="str"/>
      <x:c r="M176" s="74" t="str"/>
      <x:c r="N176" t="str"/>
      <x:c r="O176" t="str"/>
      <x:c r="P176" t="str"/>
    </x:row>
    <x:row r="177">
      <x:c r="A177" s="86" t="str"/>
      <x:c r="B177" t="str"/>
      <x:c r="C177" t="str"/>
      <x:c r="D177" t="str"/>
      <x:c r="E177" t="str"/>
      <x:c r="F177" t="str"/>
      <x:c r="G177" t="str"/>
      <x:c r="H177" s="76" t="str"/>
      <x:c r="I177" s="76" t="str"/>
      <x:c r="J177" s="78" t="str"/>
      <x:c r="K177" s="78" t="str"/>
      <x:c r="L177" s="78" t="str"/>
      <x:c r="M177" s="74" t="str"/>
      <x:c r="N177" t="str"/>
      <x:c r="O177" t="str"/>
      <x:c r="P177" t="str"/>
    </x:row>
    <x:row r="178">
      <x:c r="A178" s="86" t="str"/>
      <x:c r="B178" t="str"/>
      <x:c r="C178" t="str"/>
      <x:c r="D178" t="str"/>
      <x:c r="E178" t="str"/>
      <x:c r="F178" t="str"/>
      <x:c r="G178" t="str"/>
      <x:c r="H178" s="76" t="str"/>
      <x:c r="I178" s="76" t="str"/>
      <x:c r="J178" s="78" t="str"/>
      <x:c r="K178" s="78" t="str"/>
      <x:c r="L178" s="78" t="str"/>
      <x:c r="M178" s="74" t="str"/>
      <x:c r="N178" t="str"/>
      <x:c r="O178" t="str"/>
      <x:c r="P178" t="str"/>
    </x:row>
    <x:row r="179">
      <x:c r="A179" s="86" t="str"/>
      <x:c r="B179" t="str"/>
      <x:c r="C179" t="str"/>
      <x:c r="D179" t="str"/>
      <x:c r="E179" t="str"/>
      <x:c r="F179" t="str"/>
      <x:c r="G179" t="str"/>
      <x:c r="H179" s="76" t="str"/>
      <x:c r="I179" s="76" t="str"/>
      <x:c r="J179" s="78" t="str"/>
      <x:c r="K179" s="78" t="str"/>
      <x:c r="L179" s="78" t="str"/>
      <x:c r="M179" s="74" t="str"/>
      <x:c r="N179" t="str"/>
      <x:c r="O179" t="str"/>
      <x:c r="P179" t="str"/>
    </x:row>
    <x:row r="180">
      <x:c r="A180" s="86" t="str"/>
      <x:c r="B180" t="str"/>
      <x:c r="C180" t="str"/>
      <x:c r="D180" t="str"/>
      <x:c r="E180" t="str"/>
      <x:c r="F180" t="str"/>
      <x:c r="G180" t="str"/>
      <x:c r="H180" s="76" t="str"/>
      <x:c r="I180" s="76" t="str"/>
      <x:c r="J180" s="78" t="str"/>
      <x:c r="K180" s="78" t="str"/>
      <x:c r="L180" s="78" t="str"/>
      <x:c r="M180" s="74" t="str"/>
      <x:c r="N180" t="str"/>
      <x:c r="O180" t="str"/>
      <x:c r="P180" t="str"/>
    </x:row>
    <x:row r="181">
      <x:c r="A181" s="86" t="str"/>
      <x:c r="B181" t="str"/>
      <x:c r="C181" t="str"/>
      <x:c r="D181" t="str"/>
      <x:c r="E181" t="str"/>
      <x:c r="F181" t="str"/>
      <x:c r="G181" t="str"/>
      <x:c r="H181" s="76" t="str"/>
      <x:c r="I181" s="76" t="str"/>
      <x:c r="J181" s="78" t="str"/>
      <x:c r="K181" s="78" t="str"/>
      <x:c r="L181" s="78" t="str"/>
      <x:c r="M181" s="74" t="str"/>
      <x:c r="N181" t="str"/>
      <x:c r="O181" t="str"/>
      <x:c r="P181" t="str"/>
    </x:row>
    <x:row r="182">
      <x:c r="A182" s="86" t="str"/>
      <x:c r="B182" t="str"/>
      <x:c r="C182" t="str"/>
      <x:c r="D182" t="str"/>
      <x:c r="E182" t="str"/>
      <x:c r="F182" t="str"/>
      <x:c r="G182" t="str"/>
      <x:c r="H182" s="76" t="str"/>
      <x:c r="I182" s="76" t="str"/>
      <x:c r="J182" s="78" t="str"/>
      <x:c r="K182" s="78" t="str"/>
      <x:c r="L182" s="78" t="str"/>
      <x:c r="M182" s="74" t="str"/>
      <x:c r="N182" t="str"/>
      <x:c r="O182" t="str"/>
      <x:c r="P182" t="str"/>
    </x:row>
    <x:row r="183">
      <x:c r="A183" s="86" t="str"/>
      <x:c r="B183" t="str"/>
      <x:c r="C183" t="str"/>
      <x:c r="D183" t="str"/>
      <x:c r="E183" t="str"/>
      <x:c r="F183" t="str"/>
      <x:c r="G183" t="str"/>
      <x:c r="H183" s="76" t="str"/>
      <x:c r="I183" s="76" t="str"/>
      <x:c r="J183" s="78" t="str"/>
      <x:c r="K183" s="78" t="str"/>
      <x:c r="L183" s="78" t="str"/>
      <x:c r="M183" s="74" t="str"/>
      <x:c r="N183" t="str"/>
      <x:c r="O183" t="str"/>
      <x:c r="P183" t="str"/>
    </x:row>
    <x:row r="184">
      <x:c r="A184" s="86" t="str"/>
      <x:c r="B184" t="str"/>
      <x:c r="C184" t="str"/>
      <x:c r="D184" t="str"/>
      <x:c r="E184" t="str"/>
      <x:c r="F184" t="str"/>
      <x:c r="G184" t="str"/>
      <x:c r="H184" s="76" t="str"/>
      <x:c r="I184" s="76" t="str"/>
      <x:c r="J184" s="78" t="str"/>
      <x:c r="K184" s="78" t="str"/>
      <x:c r="L184" s="78" t="str"/>
      <x:c r="M184" s="74" t="str"/>
      <x:c r="N184" t="str"/>
      <x:c r="O184" t="str"/>
      <x:c r="P184" t="str"/>
    </x:row>
    <x:row r="185">
      <x:c r="A185" s="86" t="str"/>
      <x:c r="B185" t="str"/>
      <x:c r="C185" t="str"/>
      <x:c r="D185" t="str"/>
      <x:c r="E185" t="str"/>
      <x:c r="F185" t="str"/>
      <x:c r="G185" t="str"/>
      <x:c r="H185" s="76" t="str"/>
      <x:c r="I185" s="76" t="str"/>
      <x:c r="J185" s="78" t="str"/>
      <x:c r="K185" s="78" t="str"/>
      <x:c r="L185" s="78" t="str"/>
      <x:c r="M185" s="74" t="str"/>
      <x:c r="N185" t="str"/>
      <x:c r="O185" t="str"/>
      <x:c r="P185" t="str"/>
    </x:row>
    <x:row r="186">
      <x:c r="A186" s="86" t="str"/>
      <x:c r="B186" t="str"/>
      <x:c r="C186" t="str"/>
      <x:c r="D186" t="str"/>
      <x:c r="E186" t="str"/>
      <x:c r="F186" t="str"/>
      <x:c r="G186" t="str"/>
      <x:c r="H186" s="76" t="str"/>
      <x:c r="I186" s="76" t="str"/>
      <x:c r="J186" s="78" t="str"/>
      <x:c r="K186" s="78" t="str"/>
      <x:c r="L186" s="78" t="str"/>
      <x:c r="M186" s="74" t="str"/>
      <x:c r="N186" t="str"/>
      <x:c r="O186" t="str"/>
      <x:c r="P186" t="str"/>
    </x:row>
    <x:row r="187">
      <x:c r="A187" s="86" t="str"/>
      <x:c r="B187" t="str"/>
      <x:c r="C187" t="str"/>
      <x:c r="D187" t="str"/>
      <x:c r="E187" t="str"/>
      <x:c r="F187" t="str"/>
      <x:c r="G187" t="str"/>
      <x:c r="H187" s="76" t="str"/>
      <x:c r="I187" s="76" t="str"/>
      <x:c r="J187" s="78" t="str"/>
      <x:c r="K187" s="78" t="str"/>
      <x:c r="L187" s="78" t="str"/>
      <x:c r="M187" s="74" t="str"/>
      <x:c r="N187" t="str"/>
      <x:c r="O187" t="str"/>
      <x:c r="P187" t="str"/>
    </x:row>
    <x:row r="188">
      <x:c r="A188" s="86" t="str"/>
      <x:c r="B188" t="str"/>
      <x:c r="C188" t="str"/>
      <x:c r="D188" t="str"/>
      <x:c r="E188" t="str"/>
      <x:c r="F188" t="str"/>
      <x:c r="G188" t="str"/>
      <x:c r="H188" s="76" t="str"/>
      <x:c r="I188" s="76" t="str"/>
      <x:c r="J188" s="78" t="str"/>
      <x:c r="K188" s="78" t="str"/>
      <x:c r="L188" s="78" t="str"/>
      <x:c r="M188" s="74" t="str"/>
      <x:c r="N188" t="str"/>
      <x:c r="O188" t="str"/>
      <x:c r="P188" t="str"/>
    </x:row>
    <x:row r="189">
      <x:c r="A189" s="86" t="str"/>
      <x:c r="B189" t="str"/>
      <x:c r="C189" t="str"/>
      <x:c r="D189" t="str"/>
      <x:c r="E189" t="str"/>
      <x:c r="F189" t="str"/>
      <x:c r="G189" t="str"/>
      <x:c r="H189" s="76" t="str"/>
      <x:c r="I189" s="76" t="str"/>
      <x:c r="J189" s="78" t="str"/>
      <x:c r="K189" s="78" t="str"/>
      <x:c r="L189" s="78" t="str"/>
      <x:c r="M189" s="74" t="str"/>
      <x:c r="N189" t="str"/>
      <x:c r="O189" t="str"/>
      <x:c r="P189" t="str"/>
    </x:row>
    <x:row r="190">
      <x:c r="A190" s="86" t="str"/>
      <x:c r="B190" t="str"/>
      <x:c r="C190" t="str"/>
      <x:c r="D190" t="str"/>
      <x:c r="E190" t="str"/>
      <x:c r="F190" t="str"/>
      <x:c r="G190" t="str"/>
      <x:c r="H190" s="76" t="str"/>
      <x:c r="I190" s="76" t="str"/>
      <x:c r="J190" s="78" t="str"/>
      <x:c r="K190" s="78" t="str"/>
      <x:c r="L190" s="78" t="str"/>
      <x:c r="M190" s="74" t="str"/>
      <x:c r="N190" t="str"/>
      <x:c r="O190" t="str"/>
      <x:c r="P190" t="str"/>
    </x:row>
    <x:row r="191">
      <x:c r="A191" s="86" t="str"/>
      <x:c r="B191" t="str"/>
      <x:c r="C191" t="str"/>
      <x:c r="D191" t="str"/>
      <x:c r="E191" t="str"/>
      <x:c r="F191" t="str"/>
      <x:c r="G191" t="str"/>
      <x:c r="H191" s="76" t="str"/>
      <x:c r="I191" s="76" t="str"/>
      <x:c r="J191" s="78" t="str"/>
      <x:c r="K191" s="78" t="str"/>
      <x:c r="L191" s="78" t="str"/>
      <x:c r="M191" s="74" t="str"/>
      <x:c r="N191" t="str"/>
      <x:c r="O191" t="str"/>
      <x:c r="P191" t="str"/>
    </x:row>
    <x:row r="192">
      <x:c r="A192" s="86" t="str"/>
      <x:c r="B192" t="str"/>
      <x:c r="C192" t="str"/>
      <x:c r="D192" t="str"/>
      <x:c r="E192" t="str"/>
      <x:c r="F192" t="str"/>
      <x:c r="G192" t="str"/>
      <x:c r="H192" s="76" t="str"/>
      <x:c r="I192" s="76" t="str"/>
      <x:c r="J192" s="78" t="str"/>
      <x:c r="K192" s="78" t="str"/>
      <x:c r="L192" s="78" t="str"/>
      <x:c r="M192" s="74" t="str"/>
      <x:c r="N192" t="str"/>
      <x:c r="O192" t="str"/>
      <x:c r="P192" t="str"/>
    </x:row>
    <x:row r="193">
      <x:c r="A193" s="86" t="str"/>
      <x:c r="B193" t="str"/>
      <x:c r="C193" t="str"/>
      <x:c r="D193" t="str"/>
      <x:c r="E193" t="str"/>
      <x:c r="F193" t="str"/>
      <x:c r="G193" t="str"/>
      <x:c r="H193" s="76" t="str"/>
      <x:c r="I193" s="76" t="str"/>
      <x:c r="J193" s="78" t="str"/>
      <x:c r="K193" s="78" t="str"/>
      <x:c r="L193" s="78" t="str"/>
      <x:c r="M193" s="74" t="str"/>
      <x:c r="N193" t="str"/>
      <x:c r="O193" t="str"/>
      <x:c r="P193" t="str"/>
    </x:row>
    <x:row r="194">
      <x:c r="A194" s="86" t="str"/>
      <x:c r="B194" t="str"/>
      <x:c r="C194" t="str"/>
      <x:c r="D194" t="str"/>
      <x:c r="E194" t="str"/>
      <x:c r="F194" t="str"/>
      <x:c r="G194" t="str"/>
      <x:c r="H194" s="76" t="str"/>
      <x:c r="I194" s="76" t="str"/>
      <x:c r="J194" s="78" t="str"/>
      <x:c r="K194" s="78" t="str"/>
      <x:c r="L194" s="78" t="str"/>
      <x:c r="M194" s="74" t="str"/>
      <x:c r="N194" t="str"/>
      <x:c r="O194" t="str"/>
      <x:c r="P194" t="str"/>
    </x:row>
    <x:row r="195">
      <x:c r="A195" s="86" t="str"/>
      <x:c r="B195" t="str"/>
      <x:c r="C195" t="str"/>
      <x:c r="D195" t="str"/>
      <x:c r="E195" t="str"/>
      <x:c r="F195" t="str"/>
      <x:c r="G195" t="str"/>
      <x:c r="H195" s="76" t="str"/>
      <x:c r="I195" s="76" t="str"/>
      <x:c r="J195" s="78" t="str"/>
      <x:c r="K195" s="78" t="str"/>
      <x:c r="L195" s="78" t="str"/>
      <x:c r="M195" s="74" t="str"/>
      <x:c r="N195" t="str"/>
      <x:c r="O195" t="str"/>
      <x:c r="P195" t="str"/>
    </x:row>
    <x:row r="196">
      <x:c r="A196" s="86" t="str"/>
      <x:c r="B196" t="str"/>
      <x:c r="C196" t="str"/>
      <x:c r="D196" t="str"/>
      <x:c r="E196" t="str"/>
      <x:c r="F196" t="str"/>
      <x:c r="G196" t="str"/>
      <x:c r="H196" s="76" t="str"/>
      <x:c r="I196" s="76" t="str"/>
      <x:c r="J196" s="78" t="str"/>
      <x:c r="K196" s="78" t="str"/>
      <x:c r="L196" s="78" t="str"/>
      <x:c r="M196" s="74" t="str"/>
      <x:c r="N196" t="str"/>
      <x:c r="O196" t="str"/>
      <x:c r="P196" t="str"/>
    </x:row>
    <x:row r="197">
      <x:c r="A197" s="86" t="str"/>
      <x:c r="B197" t="str"/>
      <x:c r="C197" t="str"/>
      <x:c r="D197" t="str"/>
      <x:c r="E197" t="str"/>
      <x:c r="F197" t="str"/>
      <x:c r="G197" t="str"/>
      <x:c r="H197" s="76" t="str"/>
      <x:c r="I197" s="76" t="str"/>
      <x:c r="J197" s="78" t="str"/>
      <x:c r="K197" s="78" t="str"/>
      <x:c r="L197" s="78" t="str"/>
      <x:c r="M197" s="74" t="str"/>
      <x:c r="N197" t="str"/>
      <x:c r="O197" t="str"/>
      <x:c r="P197" t="str"/>
    </x:row>
    <x:row r="198">
      <x:c r="A198" s="86" t="str"/>
      <x:c r="B198" t="str"/>
      <x:c r="C198" t="str"/>
      <x:c r="D198" t="str"/>
      <x:c r="E198" t="str"/>
      <x:c r="F198" t="str"/>
      <x:c r="G198" t="str"/>
      <x:c r="H198" s="76" t="str"/>
      <x:c r="I198" s="76" t="str"/>
      <x:c r="J198" s="78" t="str"/>
      <x:c r="K198" s="78" t="str"/>
      <x:c r="L198" s="78" t="str"/>
      <x:c r="M198" s="74" t="str"/>
      <x:c r="N198" t="str"/>
      <x:c r="O198" t="str"/>
      <x:c r="P198" t="str"/>
    </x:row>
    <x:row r="199">
      <x:c r="A199" s="86" t="str"/>
      <x:c r="B199" t="str"/>
      <x:c r="C199" t="str"/>
      <x:c r="D199" t="str"/>
      <x:c r="E199" t="str"/>
      <x:c r="F199" t="str"/>
      <x:c r="G199" t="str"/>
      <x:c r="H199" s="76" t="str"/>
      <x:c r="I199" s="76" t="str"/>
      <x:c r="J199" s="78" t="str"/>
      <x:c r="K199" s="78" t="str"/>
      <x:c r="L199" s="78" t="str"/>
      <x:c r="M199" s="74" t="str"/>
      <x:c r="N199" t="str"/>
      <x:c r="O199" t="str"/>
      <x:c r="P199" t="str"/>
    </x:row>
    <x:row r="200">
      <x:c r="A200" s="86" t="str"/>
      <x:c r="B200" t="str"/>
      <x:c r="C200" t="str"/>
      <x:c r="D200" t="str"/>
      <x:c r="E200" t="str"/>
      <x:c r="F200" t="str"/>
      <x:c r="G200" t="str"/>
      <x:c r="H200" s="76" t="str"/>
      <x:c r="I200" s="76" t="str"/>
      <x:c r="J200" s="78" t="str"/>
      <x:c r="K200" s="78" t="str"/>
      <x:c r="L200" s="78" t="str"/>
      <x:c r="M200" s="74" t="str"/>
      <x:c r="N200" t="str"/>
      <x:c r="O200" t="str"/>
      <x:c r="P200" t="str"/>
    </x:row>
    <x:row r="201">
      <x:c r="A201" s="86" t="str"/>
      <x:c r="B201" t="str"/>
      <x:c r="C201" t="str"/>
      <x:c r="D201" t="str"/>
      <x:c r="E201" t="str"/>
      <x:c r="F201" t="str"/>
      <x:c r="G201" t="str"/>
      <x:c r="H201" s="76" t="str"/>
      <x:c r="I201" s="76" t="str"/>
      <x:c r="J201" s="78" t="str"/>
      <x:c r="K201" s="78" t="str"/>
      <x:c r="L201" s="78" t="str"/>
      <x:c r="M201" s="74" t="str"/>
      <x:c r="N201" t="str"/>
      <x:c r="O201" t="str"/>
      <x:c r="P201" t="str"/>
    </x:row>
    <x:row r="202">
      <x:c r="A202" s="86" t="str"/>
      <x:c r="B202" t="str"/>
      <x:c r="C202" t="str"/>
      <x:c r="D202" t="str"/>
      <x:c r="E202" t="str"/>
      <x:c r="F202" t="str"/>
      <x:c r="G202" t="str"/>
      <x:c r="H202" s="76" t="str"/>
      <x:c r="I202" s="76" t="str"/>
      <x:c r="J202" s="78" t="str"/>
      <x:c r="K202" s="78" t="str"/>
      <x:c r="L202" s="78" t="str"/>
      <x:c r="M202" s="74" t="str"/>
      <x:c r="N202" t="str"/>
      <x:c r="O202" t="str"/>
      <x:c r="P202" t="str"/>
    </x:row>
    <x:row r="203">
      <x:c r="A203" s="86" t="str"/>
      <x:c r="B203" t="str"/>
      <x:c r="C203" t="str"/>
      <x:c r="D203" t="str"/>
      <x:c r="E203" t="str"/>
      <x:c r="F203" t="str"/>
      <x:c r="G203" t="str"/>
      <x:c r="H203" s="76" t="str"/>
      <x:c r="I203" s="76" t="str"/>
      <x:c r="J203" s="78" t="str"/>
      <x:c r="K203" s="78" t="str"/>
      <x:c r="L203" s="78" t="str"/>
      <x:c r="M203" s="74" t="str"/>
      <x:c r="N203" t="str"/>
      <x:c r="O203" t="str"/>
      <x:c r="P203" t="str"/>
    </x:row>
    <x:row r="204">
      <x:c r="A204" s="86" t="str"/>
      <x:c r="B204" t="str"/>
      <x:c r="C204" t="str"/>
      <x:c r="D204" t="str"/>
      <x:c r="E204" t="str"/>
      <x:c r="F204" t="str"/>
      <x:c r="G204" t="str"/>
      <x:c r="H204" s="76" t="str"/>
      <x:c r="I204" s="76" t="str"/>
      <x:c r="J204" s="78" t="str"/>
      <x:c r="K204" s="78" t="str"/>
      <x:c r="L204" s="78" t="str"/>
      <x:c r="M204" s="74" t="str"/>
      <x:c r="N204" t="str"/>
      <x:c r="O204" t="str"/>
      <x:c r="P204" t="str"/>
    </x:row>
  </x:sheetData>
  <x:mergeCells>
    <x:mergeCell ref="A1:P1"/>
  </x:mergeCells>
  <x:dataValidations count="1">
    <x:dataValidation type="list" sqref="N4:N204">
      <x:formula1>"KEEP,DROP,RETEST,PROMOTE,ROLLBACK"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04d44e9d34e3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42" hidden="0" customWidth="1"/>
    <x:col min="4" max="4" width="14" hidden="0" customWidth="1"/>
    <x:col min="5" max="5" width="60" hidden="0" customWidth="1"/>
  </x:cols>
  <x:sheetData>
    <x:row r="1" ht="28" customHeight="1">
      <x:c r="A1" s="5" t="str">
        <x:v>Sources｜官方文档与研究参考</x:v>
      </x:c>
      <x:c r="B1" s="5"/>
      <x:c r="C1" s="5"/>
      <x:c r="D1" s="5"/>
      <x:c r="E1" s="5"/>
    </x:row>
    <x:row r="3" ht="32" customHeight="1">
      <x:c r="A3" s="13" t="str">
        <x:v>Source</x:v>
      </x:c>
      <x:c r="B3" s="13" t="str">
        <x:v>URL</x:v>
      </x:c>
      <x:c r="C3" s="13" t="str">
        <x:v>Used for</x:v>
      </x:c>
      <x:c r="D3" s="13" t="str">
        <x:v>Reliability</x:v>
      </x:c>
      <x:c r="E3" s="13" t="str">
        <x:v>Notes</x:v>
      </x:c>
    </x:row>
    <x:row r="4">
      <x:c r="A4" s="18" t="str">
        <x:v>Polymarket Documentation - Overview</x:v>
      </x:c>
      <x:c r="B4" s="18" t="str">
        <x:v>https://docs.polymarket.com/</x:v>
      </x:c>
      <x:c r="C4" s="18" t="str">
        <x:v>API / platform docs</x:v>
      </x:c>
      <x:c r="D4" s="18" t="str">
        <x:v>Official</x:v>
      </x:c>
      <x:c r="E4" s="18" t="str">
        <x:v>用于确认平台与开发文档入口。</x:v>
      </x:c>
    </x:row>
    <x:row r="5">
      <x:c r="A5" s="18" t="str">
        <x:v>Polymarket 101</x:v>
      </x:c>
      <x:c r="B5" s="18" t="str">
        <x:v>https://docs.polymarket.com/polymarket-101</x:v>
      </x:c>
      <x:c r="C5" s="18" t="str">
        <x:v>价格即概率、0-1 价格区间</x:v>
      </x:c>
      <x:c r="D5" s="18" t="str">
        <x:v>Official</x:v>
      </x:c>
      <x:c r="E5" s="18" t="str">
        <x:v>二元预测市场核心定义。</x:v>
      </x:c>
    </x:row>
    <x:row r="6">
      <x:c r="A6" s="18" t="str">
        <x:v>Prices &amp; Orderbook</x:v>
      </x:c>
      <x:c r="B6" s="18" t="str">
        <x:v>https://docs.polymarket.com/concepts/prices-orderbook</x:v>
      </x:c>
      <x:c r="C6" s="18" t="str">
        <x:v>CLOB、bid/ask、display price、spread</x:v>
      </x:c>
      <x:c r="D6" s="18" t="str">
        <x:v>Official</x:v>
      </x:c>
      <x:c r="E6" s="18" t="str">
        <x:v>回测必须用可执行 bid/ask。</x:v>
      </x:c>
    </x:row>
    <x:row r="7">
      <x:c r="A7" s="18" t="str">
        <x:v>Positions &amp; Tokens</x:v>
      </x:c>
      <x:c r="B7" s="18" t="str">
        <x:v>https://docs.polymarket.com/concepts/positions-tokens</x:v>
      </x:c>
      <x:c r="C7" s="18" t="str">
        <x:v>YES/NO outcome tokens and positions</x:v>
      </x:c>
      <x:c r="D7" s="18" t="str">
        <x:v>Official</x:v>
      </x:c>
      <x:c r="E7" s="18" t="str">
        <x:v>持仓与结果代币机制。</x:v>
      </x:c>
    </x:row>
    <x:row r="8">
      <x:c r="A8" s="18" t="str">
        <x:v>Redeem Tokens</x:v>
      </x:c>
      <x:c r="B8" s="18" t="str">
        <x:v>https://docs.polymarket.com/trading/ctf/redeem</x:v>
      </x:c>
      <x:c r="C8" s="18" t="str">
        <x:v>winning token payout = $1, losing = $0</x:v>
      </x:c>
      <x:c r="D8" s="18" t="str">
        <x:v>Official</x:v>
      </x:c>
      <x:c r="E8" s="18" t="str">
        <x:v>二元 payoff 公式来源。</x:v>
      </x:c>
    </x:row>
    <x:row r="9">
      <x:c r="A9" s="18" t="str">
        <x:v>Trading Fees</x:v>
      </x:c>
      <x:c r="B9" s="18" t="str">
        <x:v>https://docs.polymarket.com/trading/fees</x:v>
      </x:c>
      <x:c r="C9" s="18" t="str">
        <x:v>fee model / taker fee caveat</x:v>
      </x:c>
      <x:c r="D9" s="18" t="str">
        <x:v>Official</x:v>
      </x:c>
      <x:c r="E9" s="18" t="str">
        <x:v>实际费用要以当前市场/API为准。</x:v>
      </x:c>
    </x:row>
    <x:row r="10">
      <x:c r="A10" s="18" t="str">
        <x:v>Orderbook API</x:v>
      </x:c>
      <x:c r="B10" s="18" t="str">
        <x:v>https://docs.polymarket.com/trading/orderbook</x:v>
      </x:c>
      <x:c r="C10" s="18" t="str">
        <x:v>orderbook, price, spread, real-time data</x:v>
      </x:c>
      <x:c r="D10" s="18" t="str">
        <x:v>Official</x:v>
      </x:c>
      <x:c r="E10" s="18" t="str">
        <x:v>执行和数据接入参考。</x:v>
      </x:c>
    </x:row>
    <x:row r="11">
      <x:c r="A11" s="18" t="str">
        <x:v>Arbitrage in Prediction Markets</x:v>
      </x:c>
      <x:c r="B11" s="18" t="str">
        <x:v>https://arxiv.org/abs/2508.03474</x:v>
      </x:c>
      <x:c r="C11" s="18" t="str">
        <x:v>prediction market arbitrage and dependent outcomes</x:v>
      </x:c>
      <x:c r="D11" s="18" t="str">
        <x:v>Research</x:v>
      </x:c>
      <x:c r="E11" s="18" t="str">
        <x:v>用于跨市场/互补约束思路。</x:v>
      </x:c>
    </x:row>
    <x:row r="12">
      <x:c r="A12" s="18" t="str">
        <x:v>Fill-Side Non-Retail Trading on Polymarket</x:v>
      </x:c>
      <x:c r="B12" s="18" t="str">
        <x:v>https://arxiv.org/abs/2605.11640</x:v>
      </x:c>
      <x:c r="C12" s="18" t="str">
        <x:v>microstructure caveats around fill-side behavior</x:v>
      </x:c>
      <x:c r="D12" s="18" t="str">
        <x:v>Research</x:v>
      </x:c>
      <x:c r="E12" s="18" t="str">
        <x:v>注意 quote lifecycle 归因限制。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d0443980e14924"/>
  </x:tableParts>
</x:worksheet>
</file>