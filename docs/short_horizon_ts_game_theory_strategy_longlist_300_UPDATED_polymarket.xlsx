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c966617dcb4f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200e61149154aa9"/>
    <x:sheet xmlns:r="http://schemas.openxmlformats.org/officeDocument/2006/relationships" name="Strategy_Long_List_300" sheetId="2" r:id="R3da45711e5bb43a5"/>
    <x:sheet xmlns:r="http://schemas.openxmlformats.org/officeDocument/2006/relationships" name="Sources_Map" sheetId="3" r:id="Rf7c7df81fe4c45e1"/>
    <x:sheet xmlns:r="http://schemas.openxmlformats.org/officeDocument/2006/relationships" name="Taxonomy" sheetId="4" r:id="Rd993871649274190"/>
    <x:sheet xmlns:r="http://schemas.openxmlformats.org/officeDocument/2006/relationships" name="Backtest_Checklist" sheetId="5" r:id="R105ae6cc1d654ace"/>
    <x:sheet xmlns:r="http://schemas.openxmlformats.org/officeDocument/2006/relationships" name="PM_5M_Dashboard" sheetId="6" r:id="R39912c0082674c7b"/>
    <x:sheet xmlns:r="http://schemas.openxmlformats.org/officeDocument/2006/relationships" name="PM_5M_Market_Map" sheetId="7" r:id="Raed6e45cb73841fb"/>
    <x:sheet xmlns:r="http://schemas.openxmlformats.org/officeDocument/2006/relationships" name="PM_5M_Strategy_Schools" sheetId="8" r:id="R85d215c29ddb4ccc"/>
    <x:sheet xmlns:r="http://schemas.openxmlformats.org/officeDocument/2006/relationships" name="PM_5M_Forum_Sources" sheetId="9" r:id="Ra1e8397f28614988"/>
    <x:sheet xmlns:r="http://schemas.openxmlformats.org/officeDocument/2006/relationships" name="PM_5M_Heat_Capital" sheetId="10" r:id="R6ec7de1715e84504"/>
    <x:sheet xmlns:r="http://schemas.openxmlformats.org/officeDocument/2006/relationships" name="PM_5M_Data_Playbook" sheetId="11" r:id="R8534f7106c144037"/>
    <x:sheet xmlns:r="http://schemas.openxmlformats.org/officeDocument/2006/relationships" name="PM_5M_Risks" sheetId="12" r:id="R64c04030b3af46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5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sz val="10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0B5394"/>
      </x:patternFill>
    </x:fill>
    <x:fill>
      <x:patternFill patternType="solid">
        <x:fgColor rgb="38761D"/>
      </x:patternFill>
    </x:fill>
    <x:fill>
      <x:patternFill patternType="solid">
        <x:fgColor rgb="674EA7"/>
      </x:patternFill>
    </x:fill>
    <x:fill>
      <x:patternFill patternType="solid">
        <x:fgColor rgb="B45F06"/>
      </x:patternFill>
    </x:fill>
    <x:fill>
      <x:patternFill patternType="solid">
        <x:fgColor rgb="12355B"/>
      </x:patternFill>
    </x:fill>
    <x:fill>
      <x:patternFill patternType="solid">
        <x:fgColor rgb="0F766E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ill>
        <x:patternFill>
          <x:bgColor rgb="FFF2CC"/>
        </x:patternFill>
      </x:fill>
    </x:dxf>
    <x:dxf>
      <x:fill>
        <x:patternFill>
          <x:bgColor rgb="EADCF8"/>
        </x:patternFill>
      </x:fill>
    </x:dxf>
    <x:dxf>
      <x:fill>
        <x:patternFill>
          <x:bgColor rgb="D9EAD3"/>
        </x:patternFill>
      </x:fill>
    </x:dxf>
    <x:dxf>
      <x:fill>
        <x:patternFill>
          <x:bgColor rgb="F4CCCC"/>
        </x:patternFill>
      </x:fill>
    </x:dxf>
    <x:dxf>
      <x:fill>
        <x:patternFill>
          <x:bgColor rgb="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c7f6476a254ff9" /><Relationship Type="http://schemas.openxmlformats.org/officeDocument/2006/relationships/theme" Target="/xl/theme/theme1.xml" Id="R3d37cb7644124b1c" /><Relationship Type="http://schemas.openxmlformats.org/officeDocument/2006/relationships/sharedStrings" Target="/xl/sharedStrings.xml" Id="R3cb12eb034a14321" /><Relationship Type="http://schemas.openxmlformats.org/officeDocument/2006/relationships/worksheet" Target="/xl/worksheets/sheet1.xml" Id="Re200e61149154aa9" /><Relationship Type="http://schemas.openxmlformats.org/officeDocument/2006/relationships/worksheet" Target="/xl/worksheets/sheet2.xml" Id="R3da45711e5bb43a5" /><Relationship Type="http://schemas.openxmlformats.org/officeDocument/2006/relationships/worksheet" Target="/xl/worksheets/sheet3.xml" Id="Rf7c7df81fe4c45e1" /><Relationship Type="http://schemas.openxmlformats.org/officeDocument/2006/relationships/worksheet" Target="/xl/worksheets/sheet4.xml" Id="Rd993871649274190" /><Relationship Type="http://schemas.openxmlformats.org/officeDocument/2006/relationships/worksheet" Target="/xl/worksheets/sheet5.xml" Id="R105ae6cc1d654ace" /><Relationship Type="http://schemas.openxmlformats.org/officeDocument/2006/relationships/worksheet" Target="/xl/worksheets/sheet6.xml" Id="R39912c0082674c7b" /><Relationship Type="http://schemas.openxmlformats.org/officeDocument/2006/relationships/worksheet" Target="/xl/worksheets/sheet7.xml" Id="Raed6e45cb73841fb" /><Relationship Type="http://schemas.openxmlformats.org/officeDocument/2006/relationships/worksheet" Target="/xl/worksheets/sheet8.xml" Id="R85d215c29ddb4ccc" /><Relationship Type="http://schemas.openxmlformats.org/officeDocument/2006/relationships/worksheet" Target="/xl/worksheets/sheet9.xml" Id="Ra1e8397f28614988" /><Relationship Type="http://schemas.openxmlformats.org/officeDocument/2006/relationships/worksheet" Target="/xl/worksheets/sheet10.xml" Id="R6ec7de1715e84504" /><Relationship Type="http://schemas.openxmlformats.org/officeDocument/2006/relationships/worksheet" Target="/xl/worksheets/sheet11.xml" Id="R8534f7106c144037" /><Relationship Type="http://schemas.openxmlformats.org/officeDocument/2006/relationships/worksheet" Target="/xl/worksheets/sheet12.xml" Id="R64c04030b3af46f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e407b6f1ee2489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Polymarket BTC 5m 策略门派热度摘要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Heat Score</c:v>
          </c:tx>
          <c:cat>
            <c:strRef>
              <c:f>'PM_5M_Dashboard'!$G$3:$G$10</c:f>
              <c:strCache>
                <c:ptCount val="0"/>
              </c:strCache>
            </c:strRef>
          </c:cat>
          <c:val>
            <c:numRef>
              <c:f>'PM_5M_Dashboard'!$H$3:$H$10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11</xdr:row>
      <xdr:rowOff>0</xdr:rowOff>
    </xdr:from>
    <xdr:to>
      <xdr:col>13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407b6f1ee2489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trategyLongList300" displayName="StrategyLongList300" ref="A1:U301" headerRowCount="1">
  <x:tableColumns count="21">
    <x:tableColumn id="1" name="ID"/>
    <x:tableColumn id="2" name="方向"/>
    <x:tableColumn id="3" name="子类"/>
    <x:tableColumn id="4" name="经典/新兴"/>
    <x:tableColumn id="5" name="策略名称"/>
    <x:tableColumn id="6" name="English Name"/>
    <x:tableColumn id="7" name="核心假设/博弈逻辑"/>
    <x:tableColumn id="8" name="适用市场"/>
    <x:tableColumn id="9" name="典型持仓"/>
    <x:tableColumn id="10" name="下单/调仓频率"/>
    <x:tableColumn id="11" name="信号数据"/>
    <x:tableColumn id="12" name="入场草图"/>
    <x:tableColumn id="13" name="退出/风控"/>
    <x:tableColumn id="14" name="关键参数"/>
    <x:tableColumn id="15" name="难度"/>
    <x:tableColumn id="16" name="延迟敏感度"/>
    <x:tableColumn id="17" name="主要风险"/>
    <x:tableColumn id="18" name="样本外验证建议"/>
    <x:tableColumn id="19" name="研究入口"/>
    <x:tableColumn id="20" name="Source URL"/>
    <x:tableColumn id="21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SourcesMapTable" displayName="SourcesMapTable" ref="A1:E16" headerRowCount="1">
  <x:tableColumns count="5">
    <x:tableColumn id="1" name="Source_Key"/>
    <x:tableColumn id="2" name="Source / Where to find"/>
    <x:tableColumn id="3" name="URL"/>
    <x:tableColumn id="4" name="用途"/>
    <x:tableColumn id="5" name="适合找什么新兴策略"/>
  </x:tableColumns>
  <x:tableStyleInfo name="TableStyleMedium2" showRowStripes="1"/>
</x:table>
</file>

<file path=xl/tables/table3.xml><?xml version="1.0" encoding="utf-8"?>
<x:table xmlns:x="http://schemas.openxmlformats.org/spreadsheetml/2006/main" id="3" name="TaxonomyTable" displayName="TaxonomyTable" ref="A1:D21" headerRowCount="1">
  <x:tableColumns count="4">
    <x:tableColumn id="1" name="维度"/>
    <x:tableColumn id="2" name="类别"/>
    <x:tableColumn id="3" name="策略数"/>
    <x:tableColumn id="4" name="说明"/>
  </x:tableColumns>
  <x:tableStyleInfo name="TableStyleMedium2" showRowStripes="1"/>
</x:table>
</file>

<file path=xl/tables/table4.xml><?xml version="1.0" encoding="utf-8"?>
<x:table xmlns:x="http://schemas.openxmlformats.org/spreadsheetml/2006/main" id="4" name="BacktestChecklistTable" displayName="BacktestChecklistTable" ref="A1:D11" headerRowCount="1">
  <x:tableColumns count="4">
    <x:tableColumn id="1" name="步骤"/>
    <x:tableColumn id="2" name="检查项"/>
    <x:tableColumn id="3" name="为什么重要"/>
    <x:tableColumn id="4" name="建议做法"/>
  </x:tableColumns>
  <x:tableStyleInfo name="TableStyleMedium2" showRowStripes="1"/>
</x:table>
</file>

<file path=xl/tables/table5.xml><?xml version="1.0" encoding="utf-8"?>
<x:table xmlns:x="http://schemas.openxmlformats.org/spreadsheetml/2006/main" id="5" name="PM5MDashboardTable" displayName="PM5MDashboardTable" ref="A1:E12" headerRowCount="1">
  <x:tableColumns count="5">
    <x:tableColumn id="1" name="区块"/>
    <x:tableColumn id="2" name="字段"/>
    <x:tableColumn id="3" name="内容 / 数值"/>
    <x:tableColumn id="4" name="口径 / 解释"/>
    <x:tableColumn id="5" name="Source URL"/>
  </x:tableColumns>
  <x:tableStyleInfo name="TableStyleMedium2" showRowStripes="1"/>
</x:table>
</file>

<file path=xl/tables/table6.xml><?xml version="1.0" encoding="utf-8"?>
<x:table xmlns:x="http://schemas.openxmlformats.org/spreadsheetml/2006/main" id="6" name="PM5MMarketMapTable" displayName="PM5MMarketMapTable" ref="A1:F12" headerRowCount="1">
  <x:tableColumns count="6">
    <x:tableColumn id="1" name="观察维度"/>
    <x:tableColumn id="2" name="应该怎么看"/>
    <x:tableColumn id="3" name="为什么重要"/>
    <x:tableColumn id="4" name="可观测字段"/>
    <x:tableColumn id="5" name="常见误区"/>
    <x:tableColumn id="6" name="Source URL"/>
  </x:tableColumns>
  <x:tableStyleInfo name="TableStyleMedium2" showRowStripes="1"/>
</x:table>
</file>

<file path=xl/tables/table7.xml><?xml version="1.0" encoding="utf-8"?>
<x:table xmlns:x="http://schemas.openxmlformats.org/spreadsheetml/2006/main" id="7" name="PM5MStrategySchools" displayName="PM5MStrategySchools" ref="A1:N41" headerRowCount="1">
  <x:tableColumns count="14">
    <x:tableColumn id="1" name="ID"/>
    <x:tableColumn id="2" name="门派 / 策略族"/>
    <x:tableColumn id="3" name="典型玩家"/>
    <x:tableColumn id="4" name="核心做法"/>
    <x:tableColumn id="5" name="5m BTC 适配"/>
    <x:tableColumn id="6" name="数据 / 基础设施"/>
    <x:tableColumn id="7" name="入场 / 退出草图"/>
    <x:tableColumn id="8" name="热度 1-5"/>
    <x:tableColumn id="9" name="资金容量 1-5"/>
    <x:tableColumn id="10" name="拥挤度 1-5"/>
    <x:tableColumn id="11" name="成熟度"/>
    <x:tableColumn id="12" name="主要风险 / 失效点"/>
    <x:tableColumn id="13" name="公开证据 / 论坛线索"/>
    <x:tableColumn id="14" name="Source URL"/>
  </x:tableColumns>
  <x:tableStyleInfo name="TableStyleMedium2" showRowStripes="1"/>
</x:table>
</file>

<file path=xl/tables/table8.xml><?xml version="1.0" encoding="utf-8"?>
<x:table xmlns:x="http://schemas.openxmlformats.org/spreadsheetml/2006/main" id="8" name="PM5MForumSources" displayName="PM5MForumSources" ref="A1:G23" headerRowCount="1">
  <x:tableColumns count="7">
    <x:tableColumn id="1" name="渠道 / 社区"/>
    <x:tableColumn id="2" name="你能看到什么"/>
    <x:tableColumn id="3" name="代表线索"/>
    <x:tableColumn id="4" name="热度 1-5"/>
    <x:tableColumn id="5" name="噪音 1-5"/>
    <x:tableColumn id="6" name="建议用法"/>
    <x:tableColumn id="7" name="Source URL"/>
  </x:tableColumns>
  <x:tableStyleInfo name="TableStyleMedium2" showRowStripes="1"/>
</x:table>
</file>

<file path=xl/tables/table9.xml><?xml version="1.0" encoding="utf-8"?>
<x:table xmlns:x="http://schemas.openxmlformats.org/spreadsheetml/2006/main" id="9" name="PM5MHeatCapital" displayName="PM5MHeatCapital" ref="A1:M16" headerRowCount="1">
  <x:tableColumns count="13">
    <x:tableColumn id="1" name="市场 / 策略资金池"/>
    <x:tableColumn id="2" name="口径"/>
    <x:tableColumn id="3" name="证据锚点"/>
    <x:tableColumn id="4" name="Low 月度 notional/资金"/>
    <x:tableColumn id="5" name="Base 月度 notional/资金"/>
    <x:tableColumn id="6" name="High 月度 notional/资金"/>
    <x:tableColumn id="7" name="Low 日均"/>
    <x:tableColumn id="8" name="Base 日均"/>
    <x:tableColumn id="9" name="High 日均"/>
    <x:tableColumn id="10" name="Heat 1-5"/>
    <x:tableColumn id="11" name="Confidence"/>
    <x:tableColumn id="12" name="估算方法 / 备注"/>
    <x:tableColumn id="13" name="Source URL"/>
  </x:tableColumns>
  <x:tableStyleInfo name="TableStyleMedium2" showRowStripes="1"/>
</x:table>
</file>

<file path=xl/tables/table10.xml><?xml version="1.0" encoding="utf-8"?>
<x:table xmlns:x="http://schemas.openxmlformats.org/spreadsheetml/2006/main" id="10" name="PM5MDataPlaybook" displayName="PM5MDataPlaybook" ref="A1:H15" headerRowCount="1">
  <x:tableColumns count="8">
    <x:tableColumn id="1" name="数据模块"/>
    <x:tableColumn id="2" name="字段 / 指标"/>
    <x:tableColumn id="3" name="用途"/>
    <x:tableColumn id="4" name="频率"/>
    <x:tableColumn id="5" name="存储粒度"/>
    <x:tableColumn id="6" name="数据源"/>
    <x:tableColumn id="7" name="质量检查"/>
    <x:tableColumn id="8" name="Source URL"/>
  </x:tableColumns>
  <x:tableStyleInfo name="TableStyleMedium2" showRowStripes="1"/>
</x:table>
</file>

<file path=xl/tables/table11.xml><?xml version="1.0" encoding="utf-8"?>
<x:table xmlns:x="http://schemas.openxmlformats.org/spreadsheetml/2006/main" id="11" name="PM5MRisks" displayName="PM5MRisks" ref="A1:G16" headerRowCount="1">
  <x:tableColumns count="7">
    <x:tableColumn id="1" name="风险"/>
    <x:tableColumn id="2" name="触发方式"/>
    <x:tableColumn id="3" name="影响门派"/>
    <x:tableColumn id="4" name="监控指标"/>
    <x:tableColumn id="5" name="缓解办法"/>
    <x:tableColumn id="6" name="Severity 1-5"/>
    <x:tableColumn id="7" name="Source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e82f34c73ee4b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195943ddcd4e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a60709100eb47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1bf045e900b46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128abcedc9824a09" /><Relationship Type="http://schemas.openxmlformats.org/officeDocument/2006/relationships/table" Target="/xl/tables/table5.xml" Id="R7dfe7a60cd624bc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a38452959a349e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999994f193f462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757b68898704ff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fa1035dbe614f5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6ba0981a87d4d9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bfd011e65494191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10" t="str">
        <x:v>第二批短线量化策略长名单：时间序列 + 博弈论方向</x:v>
      </x:c>
      <x:c r="B1" s="10" t="str"/>
    </x:row>
    <x:row r="2">
      <x:c r="A2" s="11" t="str">
        <x:v>生成日期</x:v>
      </x:c>
      <x:c r="B2" s="12" t="str">
        <x:v>2026-05-31</x:v>
      </x:c>
    </x:row>
    <x:row r="3">
      <x:c r="A3" s="11" t="str">
        <x:v>覆盖范围</x:v>
      </x:c>
      <x:c r="B3" s="12" t="str">
        <x:v>5分钟以内、但不要求高频；典型下单/评估频率约1-60秒，很多策略可降频到5-10秒一次。</x:v>
      </x:c>
    </x:row>
    <x:row r="4">
      <x:c r="A4" s="11" t="str">
        <x:v>总策略数</x:v>
      </x:c>
      <x:c r="B4" s="12" t="n">
        <x:v>300</x:v>
      </x:c>
    </x:row>
    <x:row r="5">
      <x:c r="A5" s="11" t="str">
        <x:v>时间序列策略</x:v>
      </x:c>
      <x:c r="B5" s="12" t="n">
        <x:v>180</x:v>
      </x:c>
    </x:row>
    <x:row r="6">
      <x:c r="A6" s="11" t="str">
        <x:v>博弈论/市场微结构策略</x:v>
      </x:c>
      <x:c r="B6" s="12" t="n">
        <x:v>120</x:v>
      </x:c>
    </x:row>
    <x:row r="7">
      <x:c r="A7" s="11" t="str">
        <x:v>定位</x:v>
      </x:c>
      <x:c r="B7" s="12" t="str">
        <x:v>研究候选库，不构成投资建议或实盘收益承诺。每条都需要用真实交易成本、点差、滑点、排队成交和延迟验证。</x:v>
      </x:c>
    </x:row>
    <x:row r="8">
      <x:c r="A8" s="11" t="str">
        <x:v>使用方式</x:v>
      </x:c>
      <x:c r="B8" s="12" t="str">
        <x:v>在 Strategy_Long_List_300 中按方向、子类、经典/新兴、市场、数据需求筛选；Sources_Map 可作为继续找新策略的入口。</x:v>
      </x:c>
    </x:row>
    <x:row r="10">
      <x:c r="A10" s="64" t="str">
        <x:v>Update - Polymarket BTC 5M addendum</x:v>
      </x:c>
      <x:c r="B10" s="64" t="str">
        <x:v>Added PM_5M_* sheets covering BTC Up/Down 5-minute market mechanics, strategy schools, forum/source map, heat/capital estimates, data playbook, and risk checklist.</x:v>
      </x:c>
    </x:row>
    <x:row r="11">
      <x:c r="A11" s="12" t="str">
        <x:v>Last updated in this workbook</x:v>
      </x:c>
      <x:c r="B11" s="12" t="str">
        <x:v>2026-05-31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22" hidden="0" customWidth="1"/>
    <x:col min="4" max="4" width="11" hidden="0" customWidth="1"/>
    <x:col min="5" max="5" width="24" hidden="0" customWidth="1"/>
    <x:col min="6" max="6" width="27" hidden="0" customWidth="1"/>
    <x:col min="7" max="7" width="42" hidden="0" customWidth="1"/>
    <x:col min="8" max="8" width="30" hidden="0" customWidth="1"/>
    <x:col min="9" max="9" width="14" hidden="0" customWidth="1"/>
    <x:col min="10" max="10" width="18" hidden="0" customWidth="1"/>
    <x:col min="11" max="11" width="28" hidden="0" customWidth="1"/>
    <x:col min="12" max="12" width="40" hidden="0" customWidth="1"/>
    <x:col min="13" max="13" width="40" hidden="0" customWidth="1"/>
    <x:col min="14" max="14" width="30" hidden="0" customWidth="1"/>
    <x:col min="15" max="15" width="9" hidden="0" customWidth="1"/>
    <x:col min="16" max="16" width="13" hidden="0" customWidth="1"/>
    <x:col min="17" max="17" width="30" hidden="0" customWidth="1"/>
    <x:col min="18" max="18" width="38" hidden="0" customWidth="1"/>
    <x:col min="19" max="19" width="30" hidden="0" customWidth="1"/>
    <x:col min="20" max="20" width="48" hidden="0" customWidth="1"/>
    <x:col min="21" max="21" width="34" hidden="0" customWidth="1"/>
  </x:cols>
  <x:sheetData>
    <x:row r="1">
      <x:c r="A1" s="26" t="str">
        <x:v>ID</x:v>
      </x:c>
      <x:c r="B1" s="26" t="str">
        <x:v>方向</x:v>
      </x:c>
      <x:c r="C1" s="26" t="str">
        <x:v>子类</x:v>
      </x:c>
      <x:c r="D1" s="26" t="str">
        <x:v>经典/新兴</x:v>
      </x:c>
      <x:c r="E1" s="26" t="str">
        <x:v>策略名称</x:v>
      </x:c>
      <x:c r="F1" s="26" t="str">
        <x:v>English Name</x:v>
      </x:c>
      <x:c r="G1" s="26" t="str">
        <x:v>核心假设/博弈逻辑</x:v>
      </x:c>
      <x:c r="H1" s="26" t="str">
        <x:v>适用市场</x:v>
      </x:c>
      <x:c r="I1" s="26" t="str">
        <x:v>典型持仓</x:v>
      </x:c>
      <x:c r="J1" s="26" t="str">
        <x:v>下单/调仓频率</x:v>
      </x:c>
      <x:c r="K1" s="26" t="str">
        <x:v>信号数据</x:v>
      </x:c>
      <x:c r="L1" s="26" t="str">
        <x:v>入场草图</x:v>
      </x:c>
      <x:c r="M1" s="26" t="str">
        <x:v>退出/风控</x:v>
      </x:c>
      <x:c r="N1" s="26" t="str">
        <x:v>关键参数</x:v>
      </x:c>
      <x:c r="O1" s="26" t="str">
        <x:v>难度</x:v>
      </x:c>
      <x:c r="P1" s="26" t="str">
        <x:v>延迟敏感度</x:v>
      </x:c>
      <x:c r="Q1" s="26" t="str">
        <x:v>主要风险</x:v>
      </x:c>
      <x:c r="R1" s="26" t="str">
        <x:v>样本外验证建议</x:v>
      </x:c>
      <x:c r="S1" s="26" t="str">
        <x:v>研究入口</x:v>
      </x:c>
      <x:c r="T1" s="26" t="str">
        <x:v>Source URL</x:v>
      </x:c>
      <x:c r="U1" s="26" t="str">
        <x:v>备注</x:v>
      </x:c>
    </x:row>
    <x:row r="2" ht="54" customHeight="1">
      <x:c r="A2" s="27" t="str">
        <x:v>TS001</x:v>
      </x:c>
      <x:c r="B2" s="27" t="str">
        <x:v>时间序列</x:v>
      </x:c>
      <x:c r="C2" s="27" t="str">
        <x:v>动量/趋势延续</x:v>
      </x:c>
      <x:c r="D2" s="27" t="str">
        <x:v>经典</x:v>
      </x:c>
      <x:c r="E2" s="27" t="str">
        <x:v>1分钟收益率延续</x:v>
      </x:c>
      <x:c r="F2" s="27" t="str">
        <x:v>1m return continuation</x:v>
      </x:c>
      <x:c r="G2" s="27" t="str">
        <x:v>过去1分钟净收益有短期延续，尤其在成交量放大时</x:v>
      </x:c>
      <x:c r="H2" s="27" t="str">
        <x:v>股票/股指期货/商品期货/FX/加密</x:v>
      </x:c>
      <x:c r="I2" s="27" t="str">
        <x:v>10秒-5分钟</x:v>
      </x:c>
      <x:c r="J2" s="27" t="str">
        <x:v>5-30秒评估一次</x:v>
      </x:c>
      <x:c r="K2" s="27" t="str">
        <x:v>价格、成交量、点差</x:v>
      </x:c>
      <x:c r="L2" s="27" t="str">
        <x:v>信号&gt;阈值且流动性过滤通过时同向开仓</x:v>
      </x:c>
      <x:c r="M2" s="27" t="str">
        <x:v>反向信号、止损、持仓超时或波动率急升时退出</x:v>
      </x:c>
      <x:c r="N2" s="27" t="str">
        <x:v>lookback, z阈值, max_hold, vol_scale</x:v>
      </x:c>
      <x:c r="O2" s="27" t="str">
        <x:v>中</x:v>
      </x:c>
      <x:c r="P2" s="27" t="str">
        <x:v>中</x:v>
      </x:c>
      <x:c r="Q2" s="27" t="str">
        <x:v>交易成本吞噬、趋势拥挤、消息反转</x:v>
      </x:c>
      <x:c r="R2" s="27" t="str">
        <x:v>按品种与时段做walk-forward，加入真实点差和滑点</x:v>
      </x:c>
      <x:c r="S2" s="27" t="str">
        <x:v>Time Series Momentum / Moskowitz-Ooi-Pedersen</x:v>
      </x:c>
      <x:c r="T2" s="27" t="str">
        <x:v>https://www.sciencedirect.com/science/article/pii/S0304405X11002613</x:v>
      </x:c>
      <x:c r="U2" s="27" t="str"/>
    </x:row>
    <x:row r="3" ht="54" customHeight="1">
      <x:c r="A3" s="27" t="str">
        <x:v>TS002</x:v>
      </x:c>
      <x:c r="B3" s="27" t="str">
        <x:v>时间序列</x:v>
      </x:c>
      <x:c r="C3" s="27" t="str">
        <x:v>动量/趋势延续</x:v>
      </x:c>
      <x:c r="D3" s="27" t="str">
        <x:v>经典</x:v>
      </x:c>
      <x:c r="E3" s="27" t="str">
        <x:v>3分钟收益率延续</x:v>
      </x:c>
      <x:c r="F3" s="27" t="str">
        <x:v>3m return continuation</x:v>
      </x:c>
      <x:c r="G3" s="27" t="str">
        <x:v>3分钟累计收益代表短线资金冲击未完全释放</x:v>
      </x:c>
      <x:c r="H3" s="27" t="str">
        <x:v>股票/股指期货/商品期货/FX/加密</x:v>
      </x:c>
      <x:c r="I3" s="27" t="str">
        <x:v>10秒-5分钟</x:v>
      </x:c>
      <x:c r="J3" s="27" t="str">
        <x:v>5-30秒评估一次</x:v>
      </x:c>
      <x:c r="K3" s="27" t="str">
        <x:v>价格、成交量</x:v>
      </x:c>
      <x:c r="L3" s="27" t="str">
        <x:v>信号&gt;阈值且流动性过滤通过时同向开仓</x:v>
      </x:c>
      <x:c r="M3" s="27" t="str">
        <x:v>反向信号、止损、持仓超时或波动率急升时退出</x:v>
      </x:c>
      <x:c r="N3" s="27" t="str">
        <x:v>lookback, z阈值, max_hold, vol_scale</x:v>
      </x:c>
      <x:c r="O3" s="27" t="str">
        <x:v>中</x:v>
      </x:c>
      <x:c r="P3" s="27" t="str">
        <x:v>中</x:v>
      </x:c>
      <x:c r="Q3" s="27" t="str">
        <x:v>交易成本吞噬、趋势拥挤、消息反转</x:v>
      </x:c>
      <x:c r="R3" s="27" t="str">
        <x:v>按品种与时段做walk-forward，加入真实点差和滑点</x:v>
      </x:c>
      <x:c r="S3" s="27" t="str">
        <x:v>Time Series Momentum / Moskowitz-Ooi-Pedersen</x:v>
      </x:c>
      <x:c r="T3" s="27" t="str">
        <x:v>https://www.sciencedirect.com/science/article/pii/S0304405X11002613</x:v>
      </x:c>
      <x:c r="U3" s="27" t="str"/>
    </x:row>
    <x:row r="4" ht="54" customHeight="1">
      <x:c r="A4" s="27" t="str">
        <x:v>TS003</x:v>
      </x:c>
      <x:c r="B4" s="27" t="str">
        <x:v>时间序列</x:v>
      </x:c>
      <x:c r="C4" s="27" t="str">
        <x:v>动量/趋势延续</x:v>
      </x:c>
      <x:c r="D4" s="27" t="str">
        <x:v>经典</x:v>
      </x:c>
      <x:c r="E4" s="27" t="str">
        <x:v>5分钟时间序列动量</x:v>
      </x:c>
      <x:c r="F4" s="27" t="str">
        <x:v>5m time-series momentum</x:v>
      </x:c>
      <x:c r="G4" s="27" t="str">
        <x:v>5分钟内同向收益的持续性可在跨资产上出现</x:v>
      </x:c>
      <x:c r="H4" s="27" t="str">
        <x:v>股票/股指期货/商品期货/FX/加密</x:v>
      </x:c>
      <x:c r="I4" s="27" t="str">
        <x:v>10秒-5分钟</x:v>
      </x:c>
      <x:c r="J4" s="27" t="str">
        <x:v>5-30秒评估一次</x:v>
      </x:c>
      <x:c r="K4" s="27" t="str">
        <x:v>价格、成交量、波动</x:v>
      </x:c>
      <x:c r="L4" s="27" t="str">
        <x:v>信号&gt;阈值且流动性过滤通过时同向开仓</x:v>
      </x:c>
      <x:c r="M4" s="27" t="str">
        <x:v>反向信号、止损、持仓超时或波动率急升时退出</x:v>
      </x:c>
      <x:c r="N4" s="27" t="str">
        <x:v>lookback, z阈值, max_hold, vol_scale</x:v>
      </x:c>
      <x:c r="O4" s="27" t="str">
        <x:v>中</x:v>
      </x:c>
      <x:c r="P4" s="27" t="str">
        <x:v>中</x:v>
      </x:c>
      <x:c r="Q4" s="27" t="str">
        <x:v>交易成本吞噬、趋势拥挤、消息反转</x:v>
      </x:c>
      <x:c r="R4" s="27" t="str">
        <x:v>按品种与时段做walk-forward，加入真实点差和滑点</x:v>
      </x:c>
      <x:c r="S4" s="27" t="str">
        <x:v>Time Series Momentum / Moskowitz-Ooi-Pedersen</x:v>
      </x:c>
      <x:c r="T4" s="27" t="str">
        <x:v>https://www.sciencedirect.com/science/article/pii/S0304405X11002613</x:v>
      </x:c>
      <x:c r="U4" s="27" t="str"/>
    </x:row>
    <x:row r="5" ht="54" customHeight="1">
      <x:c r="A5" s="27" t="str">
        <x:v>TS004</x:v>
      </x:c>
      <x:c r="B5" s="27" t="str">
        <x:v>时间序列</x:v>
      </x:c>
      <x:c r="C5" s="27" t="str">
        <x:v>动量/趋势延续</x:v>
      </x:c>
      <x:c r="D5" s="27" t="str">
        <x:v>经典</x:v>
      </x:c>
      <x:c r="E5" s="27" t="str">
        <x:v>EMA斜率顺势</x:v>
      </x:c>
      <x:c r="F5" s="27" t="str">
        <x:v>EMA slope trend</x:v>
      </x:c>
      <x:c r="G5" s="27" t="str">
        <x:v>短均线斜率大于阈值时趋势仍未衰减</x:v>
      </x:c>
      <x:c r="H5" s="27" t="str">
        <x:v>股票/股指期货/商品期货/FX/加密</x:v>
      </x:c>
      <x:c r="I5" s="27" t="str">
        <x:v>10秒-5分钟</x:v>
      </x:c>
      <x:c r="J5" s="27" t="str">
        <x:v>5-30秒评估一次</x:v>
      </x:c>
      <x:c r="K5" s="27" t="str">
        <x:v>逐笔/1秒bar</x:v>
      </x:c>
      <x:c r="L5" s="27" t="str">
        <x:v>信号&gt;阈值且流动性过滤通过时同向开仓</x:v>
      </x:c>
      <x:c r="M5" s="27" t="str">
        <x:v>反向信号、止损、持仓超时或波动率急升时退出</x:v>
      </x:c>
      <x:c r="N5" s="27" t="str">
        <x:v>lookback, z阈值, max_hold, vol_scale</x:v>
      </x:c>
      <x:c r="O5" s="27" t="str">
        <x:v>中</x:v>
      </x:c>
      <x:c r="P5" s="27" t="str">
        <x:v>中</x:v>
      </x:c>
      <x:c r="Q5" s="27" t="str">
        <x:v>交易成本吞噬、趋势拥挤、消息反转</x:v>
      </x:c>
      <x:c r="R5" s="27" t="str">
        <x:v>按品种与时段做walk-forward，加入真实点差和滑点</x:v>
      </x:c>
      <x:c r="S5" s="27" t="str">
        <x:v>Time Series Momentum / Moskowitz-Ooi-Pedersen</x:v>
      </x:c>
      <x:c r="T5" s="27" t="str">
        <x:v>https://www.sciencedirect.com/science/article/pii/S0304405X11002613</x:v>
      </x:c>
      <x:c r="U5" s="27" t="str"/>
    </x:row>
    <x:row r="6" ht="54" customHeight="1">
      <x:c r="A6" s="27" t="str">
        <x:v>TS005</x:v>
      </x:c>
      <x:c r="B6" s="27" t="str">
        <x:v>时间序列</x:v>
      </x:c>
      <x:c r="C6" s="27" t="str">
        <x:v>动量/趋势延续</x:v>
      </x:c>
      <x:c r="D6" s="27" t="str">
        <x:v>经典</x:v>
      </x:c>
      <x:c r="E6" s="27" t="str">
        <x:v>双EMA微趋势交叉</x:v>
      </x:c>
      <x:c r="F6" s="27" t="str">
        <x:v>dual EMA micro crossover</x:v>
      </x:c>
      <x:c r="G6" s="27" t="str">
        <x:v>快慢均线在秒级交叉后出现短暂订单流跟随</x:v>
      </x:c>
      <x:c r="H6" s="27" t="str">
        <x:v>股票/股指期货/商品期货/FX/加密</x:v>
      </x:c>
      <x:c r="I6" s="27" t="str">
        <x:v>10秒-5分钟</x:v>
      </x:c>
      <x:c r="J6" s="27" t="str">
        <x:v>5-30秒评估一次</x:v>
      </x:c>
      <x:c r="K6" s="27" t="str">
        <x:v>1秒bar、成交量</x:v>
      </x:c>
      <x:c r="L6" s="27" t="str">
        <x:v>信号&gt;阈值且流动性过滤通过时同向开仓</x:v>
      </x:c>
      <x:c r="M6" s="27" t="str">
        <x:v>反向信号、止损、持仓超时或波动率急升时退出</x:v>
      </x:c>
      <x:c r="N6" s="27" t="str">
        <x:v>lookback, z阈值, max_hold, vol_scale</x:v>
      </x:c>
      <x:c r="O6" s="27" t="str">
        <x:v>中</x:v>
      </x:c>
      <x:c r="P6" s="27" t="str">
        <x:v>中</x:v>
      </x:c>
      <x:c r="Q6" s="27" t="str">
        <x:v>交易成本吞噬、趋势拥挤、消息反转</x:v>
      </x:c>
      <x:c r="R6" s="27" t="str">
        <x:v>按品种与时段做walk-forward，加入真实点差和滑点</x:v>
      </x:c>
      <x:c r="S6" s="27" t="str">
        <x:v>Time Series Momentum / Moskowitz-Ooi-Pedersen</x:v>
      </x:c>
      <x:c r="T6" s="27" t="str">
        <x:v>https://www.sciencedirect.com/science/article/pii/S0304405X11002613</x:v>
      </x:c>
      <x:c r="U6" s="27" t="str"/>
    </x:row>
    <x:row r="7" ht="54" customHeight="1">
      <x:c r="A7" s="27" t="str">
        <x:v>TS006</x:v>
      </x:c>
      <x:c r="B7" s="27" t="str">
        <x:v>时间序列</x:v>
      </x:c>
      <x:c r="C7" s="27" t="str">
        <x:v>动量/趋势延续</x:v>
      </x:c>
      <x:c r="D7" s="27" t="str">
        <x:v>经典</x:v>
      </x:c>
      <x:c r="E7" s="27" t="str">
        <x:v>VWAP偏离顺势</x:v>
      </x:c>
      <x:c r="F7" s="27" t="str">
        <x:v>VWAP deviation continuation</x:v>
      </x:c>
      <x:c r="G7" s="27" t="str">
        <x:v>价格强势突破短期VWAP后流动性需求继续推动价格</x:v>
      </x:c>
      <x:c r="H7" s="27" t="str">
        <x:v>股票/股指期货/商品期货/FX/加密</x:v>
      </x:c>
      <x:c r="I7" s="27" t="str">
        <x:v>10秒-5分钟</x:v>
      </x:c>
      <x:c r="J7" s="27" t="str">
        <x:v>5-30秒评估一次</x:v>
      </x:c>
      <x:c r="K7" s="27" t="str">
        <x:v>VWAP、成交量</x:v>
      </x:c>
      <x:c r="L7" s="27" t="str">
        <x:v>信号&gt;阈值且流动性过滤通过时同向开仓</x:v>
      </x:c>
      <x:c r="M7" s="27" t="str">
        <x:v>反向信号、止损、持仓超时或波动率急升时退出</x:v>
      </x:c>
      <x:c r="N7" s="27" t="str">
        <x:v>lookback, z阈值, max_hold, vol_scale</x:v>
      </x:c>
      <x:c r="O7" s="27" t="str">
        <x:v>中</x:v>
      </x:c>
      <x:c r="P7" s="27" t="str">
        <x:v>中</x:v>
      </x:c>
      <x:c r="Q7" s="27" t="str">
        <x:v>交易成本吞噬、趋势拥挤、消息反转</x:v>
      </x:c>
      <x:c r="R7" s="27" t="str">
        <x:v>按品种与时段做walk-forward，加入真实点差和滑点</x:v>
      </x:c>
      <x:c r="S7" s="27" t="str">
        <x:v>Time Series Momentum / Moskowitz-Ooi-Pedersen</x:v>
      </x:c>
      <x:c r="T7" s="27" t="str">
        <x:v>https://www.sciencedirect.com/science/article/pii/S0304405X11002613</x:v>
      </x:c>
      <x:c r="U7" s="27" t="str"/>
    </x:row>
    <x:row r="8" ht="54" customHeight="1">
      <x:c r="A8" s="27" t="str">
        <x:v>TS007</x:v>
      </x:c>
      <x:c r="B8" s="27" t="str">
        <x:v>时间序列</x:v>
      </x:c>
      <x:c r="C8" s="27" t="str">
        <x:v>动量/趋势延续</x:v>
      </x:c>
      <x:c r="D8" s="27" t="str">
        <x:v>经典</x:v>
      </x:c>
      <x:c r="E8" s="27" t="str">
        <x:v>成交量确认动量</x:v>
      </x:c>
      <x:c r="F8" s="27" t="str">
        <x:v>volume confirmed momentum</x:v>
      </x:c>
      <x:c r="G8" s="27" t="str">
        <x:v>高成交量时的同向收益比低成交量更可信</x:v>
      </x:c>
      <x:c r="H8" s="27" t="str">
        <x:v>股票/股指期货/商品期货/FX/加密</x:v>
      </x:c>
      <x:c r="I8" s="27" t="str">
        <x:v>10秒-5分钟</x:v>
      </x:c>
      <x:c r="J8" s="27" t="str">
        <x:v>5-30秒评估一次</x:v>
      </x:c>
      <x:c r="K8" s="27" t="str">
        <x:v>价格、成交量</x:v>
      </x:c>
      <x:c r="L8" s="27" t="str">
        <x:v>信号&gt;阈值且流动性过滤通过时同向开仓</x:v>
      </x:c>
      <x:c r="M8" s="27" t="str">
        <x:v>反向信号、止损、持仓超时或波动率急升时退出</x:v>
      </x:c>
      <x:c r="N8" s="27" t="str">
        <x:v>lookback, z阈值, max_hold, vol_scale</x:v>
      </x:c>
      <x:c r="O8" s="27" t="str">
        <x:v>中</x:v>
      </x:c>
      <x:c r="P8" s="27" t="str">
        <x:v>中</x:v>
      </x:c>
      <x:c r="Q8" s="27" t="str">
        <x:v>交易成本吞噬、趋势拥挤、消息反转</x:v>
      </x:c>
      <x:c r="R8" s="27" t="str">
        <x:v>按品种与时段做walk-forward，加入真实点差和滑点</x:v>
      </x:c>
      <x:c r="S8" s="27" t="str">
        <x:v>Time Series Momentum / Moskowitz-Ooi-Pedersen</x:v>
      </x:c>
      <x:c r="T8" s="27" t="str">
        <x:v>https://www.sciencedirect.com/science/article/pii/S0304405X11002613</x:v>
      </x:c>
      <x:c r="U8" s="27" t="str"/>
    </x:row>
    <x:row r="9" ht="54" customHeight="1">
      <x:c r="A9" s="27" t="str">
        <x:v>TS008</x:v>
      </x:c>
      <x:c r="B9" s="27" t="str">
        <x:v>时间序列</x:v>
      </x:c>
      <x:c r="C9" s="27" t="str">
        <x:v>动量/趋势延续</x:v>
      </x:c>
      <x:c r="D9" s="27" t="str">
        <x:v>经典</x:v>
      </x:c>
      <x:c r="E9" s="27" t="str">
        <x:v>波动率标准化动量</x:v>
      </x:c>
      <x:c r="F9" s="27" t="str">
        <x:v>volatility scaled momentum</x:v>
      </x:c>
      <x:c r="G9" s="27" t="str">
        <x:v>用短期波动率归一化后，动量信号可跨品种比较</x:v>
      </x:c>
      <x:c r="H9" s="27" t="str">
        <x:v>股票/股指期货/商品期货/FX/加密</x:v>
      </x:c>
      <x:c r="I9" s="27" t="str">
        <x:v>10秒-5分钟</x:v>
      </x:c>
      <x:c r="J9" s="27" t="str">
        <x:v>5-30秒评估一次</x:v>
      </x:c>
      <x:c r="K9" s="27" t="str">
        <x:v>价格、realized vol</x:v>
      </x:c>
      <x:c r="L9" s="27" t="str">
        <x:v>信号&gt;阈值且流动性过滤通过时同向开仓</x:v>
      </x:c>
      <x:c r="M9" s="27" t="str">
        <x:v>反向信号、止损、持仓超时或波动率急升时退出</x:v>
      </x:c>
      <x:c r="N9" s="27" t="str">
        <x:v>lookback, z阈值, max_hold, vol_scale</x:v>
      </x:c>
      <x:c r="O9" s="27" t="str">
        <x:v>中</x:v>
      </x:c>
      <x:c r="P9" s="27" t="str">
        <x:v>中</x:v>
      </x:c>
      <x:c r="Q9" s="27" t="str">
        <x:v>交易成本吞噬、趋势拥挤、消息反转</x:v>
      </x:c>
      <x:c r="R9" s="27" t="str">
        <x:v>按品种与时段做walk-forward，加入真实点差和滑点</x:v>
      </x:c>
      <x:c r="S9" s="27" t="str">
        <x:v>Time Series Momentum / Moskowitz-Ooi-Pedersen</x:v>
      </x:c>
      <x:c r="T9" s="27" t="str">
        <x:v>https://www.sciencedirect.com/science/article/pii/S0304405X11002613</x:v>
      </x:c>
      <x:c r="U9" s="27" t="str"/>
    </x:row>
    <x:row r="10" ht="54" customHeight="1">
      <x:c r="A10" s="27" t="str">
        <x:v>TS009</x:v>
      </x:c>
      <x:c r="B10" s="27" t="str">
        <x:v>时间序列</x:v>
      </x:c>
      <x:c r="C10" s="27" t="str">
        <x:v>动量/趋势延续</x:v>
      </x:c>
      <x:c r="D10" s="27" t="str">
        <x:v>经典</x:v>
      </x:c>
      <x:c r="E10" s="27" t="str">
        <x:v>流动性过滤动量</x:v>
      </x:c>
      <x:c r="F10" s="27" t="str">
        <x:v>liquidity-filtered momentum</x:v>
      </x:c>
      <x:c r="G10" s="27" t="str">
        <x:v>仅在点差低且盘口深度充足时交易动量</x:v>
      </x:c>
      <x:c r="H10" s="27" t="str">
        <x:v>股票/股指期货/商品期货/FX/加密</x:v>
      </x:c>
      <x:c r="I10" s="27" t="str">
        <x:v>10秒-5分钟</x:v>
      </x:c>
      <x:c r="J10" s="27" t="str">
        <x:v>5-30秒评估一次</x:v>
      </x:c>
      <x:c r="K10" s="27" t="str">
        <x:v>报价、盘口深度</x:v>
      </x:c>
      <x:c r="L10" s="27" t="str">
        <x:v>信号&gt;阈值且流动性过滤通过时同向开仓</x:v>
      </x:c>
      <x:c r="M10" s="27" t="str">
        <x:v>反向信号、止损、持仓超时或波动率急升时退出</x:v>
      </x:c>
      <x:c r="N10" s="27" t="str">
        <x:v>lookback, z阈值, max_hold, vol_scale</x:v>
      </x:c>
      <x:c r="O10" s="27" t="str">
        <x:v>中</x:v>
      </x:c>
      <x:c r="P10" s="27" t="str">
        <x:v>中</x:v>
      </x:c>
      <x:c r="Q10" s="27" t="str">
        <x:v>交易成本吞噬、趋势拥挤、消息反转</x:v>
      </x:c>
      <x:c r="R10" s="27" t="str">
        <x:v>按品种与时段做walk-forward，加入真实点差和滑点</x:v>
      </x:c>
      <x:c r="S10" s="27" t="str">
        <x:v>Time Series Momentum / Moskowitz-Ooi-Pedersen</x:v>
      </x:c>
      <x:c r="T10" s="27" t="str">
        <x:v>https://www.sciencedirect.com/science/article/pii/S0304405X11002613</x:v>
      </x:c>
      <x:c r="U10" s="27" t="str"/>
    </x:row>
    <x:row r="11" ht="54" customHeight="1">
      <x:c r="A11" s="27" t="str">
        <x:v>TS010</x:v>
      </x:c>
      <x:c r="B11" s="27" t="str">
        <x:v>时间序列</x:v>
      </x:c>
      <x:c r="C11" s="27" t="str">
        <x:v>动量/趋势延续</x:v>
      </x:c>
      <x:c r="D11" s="27" t="str">
        <x:v>经典</x:v>
      </x:c>
      <x:c r="E11" s="27" t="str">
        <x:v>盘口不平衡确认动量</x:v>
      </x:c>
      <x:c r="F11" s="27" t="str">
        <x:v>order-book confirmed momentum</x:v>
      </x:c>
      <x:c r="G11" s="27" t="str">
        <x:v>价格动量与买卖盘深度不平衡同向时胜率更高</x:v>
      </x:c>
      <x:c r="H11" s="27" t="str">
        <x:v>股票/股指期货/商品期货/FX/加密</x:v>
      </x:c>
      <x:c r="I11" s="27" t="str">
        <x:v>10秒-5分钟</x:v>
      </x:c>
      <x:c r="J11" s="27" t="str">
        <x:v>5-30秒评估一次</x:v>
      </x:c>
      <x:c r="K11" s="27" t="str">
        <x:v>Level 2 LOB</x:v>
      </x:c>
      <x:c r="L11" s="27" t="str">
        <x:v>信号&gt;阈值且流动性过滤通过时同向开仓</x:v>
      </x:c>
      <x:c r="M11" s="27" t="str">
        <x:v>反向信号、止损、持仓超时或波动率急升时退出</x:v>
      </x:c>
      <x:c r="N11" s="27" t="str">
        <x:v>lookback, z阈值, max_hold, vol_scale</x:v>
      </x:c>
      <x:c r="O11" s="27" t="str">
        <x:v>中</x:v>
      </x:c>
      <x:c r="P11" s="27" t="str">
        <x:v>中</x:v>
      </x:c>
      <x:c r="Q11" s="27" t="str">
        <x:v>交易成本吞噬、趋势拥挤、消息反转</x:v>
      </x:c>
      <x:c r="R11" s="27" t="str">
        <x:v>按品种与时段做walk-forward，加入真实点差和滑点</x:v>
      </x:c>
      <x:c r="S11" s="27" t="str">
        <x:v>Time Series Momentum / Moskowitz-Ooi-Pedersen</x:v>
      </x:c>
      <x:c r="T11" s="27" t="str">
        <x:v>https://www.sciencedirect.com/science/article/pii/S0304405X11002613</x:v>
      </x:c>
      <x:c r="U11" s="27" t="str"/>
    </x:row>
    <x:row r="12" ht="54" customHeight="1">
      <x:c r="A12" s="27" t="str">
        <x:v>TS011</x:v>
      </x:c>
      <x:c r="B12" s="27" t="str">
        <x:v>时间序列</x:v>
      </x:c>
      <x:c r="C12" s="27" t="str">
        <x:v>动量/趋势延续</x:v>
      </x:c>
      <x:c r="D12" s="27" t="str">
        <x:v>经典</x:v>
      </x:c>
      <x:c r="E12" s="27" t="str">
        <x:v>突破后第一回踩顺势</x:v>
      </x:c>
      <x:c r="F12" s="27" t="str">
        <x:v>first pullback continuation</x:v>
      </x:c>
      <x:c r="G12" s="27" t="str">
        <x:v>突破后第一次浅回撤往往是加仓/进场窗口</x:v>
      </x:c>
      <x:c r="H12" s="27" t="str">
        <x:v>股票/股指期货/商品期货/FX/加密</x:v>
      </x:c>
      <x:c r="I12" s="27" t="str">
        <x:v>10秒-5分钟</x:v>
      </x:c>
      <x:c r="J12" s="27" t="str">
        <x:v>5-30秒评估一次</x:v>
      </x:c>
      <x:c r="K12" s="27" t="str">
        <x:v>高低价、成交量</x:v>
      </x:c>
      <x:c r="L12" s="27" t="str">
        <x:v>信号&gt;阈值且流动性过滤通过时同向开仓</x:v>
      </x:c>
      <x:c r="M12" s="27" t="str">
        <x:v>反向信号、止损、持仓超时或波动率急升时退出</x:v>
      </x:c>
      <x:c r="N12" s="27" t="str">
        <x:v>lookback, z阈值, max_hold, vol_scale</x:v>
      </x:c>
      <x:c r="O12" s="27" t="str">
        <x:v>中</x:v>
      </x:c>
      <x:c r="P12" s="27" t="str">
        <x:v>中</x:v>
      </x:c>
      <x:c r="Q12" s="27" t="str">
        <x:v>交易成本吞噬、趋势拥挤、消息反转</x:v>
      </x:c>
      <x:c r="R12" s="27" t="str">
        <x:v>按品种与时段做walk-forward，加入真实点差和滑点</x:v>
      </x:c>
      <x:c r="S12" s="27" t="str">
        <x:v>Time Series Momentum / Moskowitz-Ooi-Pedersen</x:v>
      </x:c>
      <x:c r="T12" s="27" t="str">
        <x:v>https://www.sciencedirect.com/science/article/pii/S0304405X11002613</x:v>
      </x:c>
      <x:c r="U12" s="27" t="str"/>
    </x:row>
    <x:row r="13" ht="54" customHeight="1">
      <x:c r="A13" s="27" t="str">
        <x:v>TS012</x:v>
      </x:c>
      <x:c r="B13" s="27" t="str">
        <x:v>时间序列</x:v>
      </x:c>
      <x:c r="C13" s="27" t="str">
        <x:v>动量/趋势延续</x:v>
      </x:c>
      <x:c r="D13" s="27" t="str">
        <x:v>经典</x:v>
      </x:c>
      <x:c r="E13" s="27" t="str">
        <x:v>高低点阶梯顺势</x:v>
      </x:c>
      <x:c r="F13" s="27" t="str">
        <x:v>micro higher-high continuation</x:v>
      </x:c>
      <x:c r="G13" s="27" t="str">
        <x:v>秒级更高高点/更高低点表示买方控制</x:v>
      </x:c>
      <x:c r="H13" s="27" t="str">
        <x:v>股票/股指期货/商品期货/FX/加密</x:v>
      </x:c>
      <x:c r="I13" s="27" t="str">
        <x:v>10秒-5分钟</x:v>
      </x:c>
      <x:c r="J13" s="27" t="str">
        <x:v>5-30秒评估一次</x:v>
      </x:c>
      <x:c r="K13" s="27" t="str">
        <x:v>tick/bar 高低价</x:v>
      </x:c>
      <x:c r="L13" s="27" t="str">
        <x:v>信号&gt;阈值且流动性过滤通过时同向开仓</x:v>
      </x:c>
      <x:c r="M13" s="27" t="str">
        <x:v>反向信号、止损、持仓超时或波动率急升时退出</x:v>
      </x:c>
      <x:c r="N13" s="27" t="str">
        <x:v>lookback, z阈值, max_hold, vol_scale</x:v>
      </x:c>
      <x:c r="O13" s="27" t="str">
        <x:v>中</x:v>
      </x:c>
      <x:c r="P13" s="27" t="str">
        <x:v>中</x:v>
      </x:c>
      <x:c r="Q13" s="27" t="str">
        <x:v>交易成本吞噬、趋势拥挤、消息反转</x:v>
      </x:c>
      <x:c r="R13" s="27" t="str">
        <x:v>按品种与时段做walk-forward，加入真实点差和滑点</x:v>
      </x:c>
      <x:c r="S13" s="27" t="str">
        <x:v>Time Series Momentum / Moskowitz-Ooi-Pedersen</x:v>
      </x:c>
      <x:c r="T13" s="27" t="str">
        <x:v>https://www.sciencedirect.com/science/article/pii/S0304405X11002613</x:v>
      </x:c>
      <x:c r="U13" s="27" t="str"/>
    </x:row>
    <x:row r="14" ht="54" customHeight="1">
      <x:c r="A14" s="27" t="str">
        <x:v>TS013</x:v>
      </x:c>
      <x:c r="B14" s="27" t="str">
        <x:v>时间序列</x:v>
      </x:c>
      <x:c r="C14" s="27" t="str">
        <x:v>动量/趋势延续</x:v>
      </x:c>
      <x:c r="D14" s="27" t="str">
        <x:v>经典</x:v>
      </x:c>
      <x:c r="E14" s="27" t="str">
        <x:v>收益率符号游程</x:v>
      </x:c>
      <x:c r="F14" s="27" t="str">
        <x:v>return sign run</x:v>
      </x:c>
      <x:c r="G14" s="27" t="str">
        <x:v>连续同号收益率形成游程时，短线跟随概率上升</x:v>
      </x:c>
      <x:c r="H14" s="27" t="str">
        <x:v>股票/股指期货/商品期货/FX/加密</x:v>
      </x:c>
      <x:c r="I14" s="27" t="str">
        <x:v>10秒-5分钟</x:v>
      </x:c>
      <x:c r="J14" s="27" t="str">
        <x:v>5-30秒评估一次</x:v>
      </x:c>
      <x:c r="K14" s="27" t="str">
        <x:v>tick收益率</x:v>
      </x:c>
      <x:c r="L14" s="27" t="str">
        <x:v>信号&gt;阈值且流动性过滤通过时同向开仓</x:v>
      </x:c>
      <x:c r="M14" s="27" t="str">
        <x:v>反向信号、止损、持仓超时或波动率急升时退出</x:v>
      </x:c>
      <x:c r="N14" s="27" t="str">
        <x:v>lookback, z阈值, max_hold, vol_scale</x:v>
      </x:c>
      <x:c r="O14" s="27" t="str">
        <x:v>中</x:v>
      </x:c>
      <x:c r="P14" s="27" t="str">
        <x:v>中</x:v>
      </x:c>
      <x:c r="Q14" s="27" t="str">
        <x:v>交易成本吞噬、趋势拥挤、消息反转</x:v>
      </x:c>
      <x:c r="R14" s="27" t="str">
        <x:v>按品种与时段做walk-forward，加入真实点差和滑点</x:v>
      </x:c>
      <x:c r="S14" s="27" t="str">
        <x:v>Time Series Momentum / Moskowitz-Ooi-Pedersen</x:v>
      </x:c>
      <x:c r="T14" s="27" t="str">
        <x:v>https://www.sciencedirect.com/science/article/pii/S0304405X11002613</x:v>
      </x:c>
      <x:c r="U14" s="27" t="str"/>
    </x:row>
    <x:row r="15" ht="54" customHeight="1">
      <x:c r="A15" s="27" t="str">
        <x:v>TS014</x:v>
      </x:c>
      <x:c r="B15" s="27" t="str">
        <x:v>时间序列</x:v>
      </x:c>
      <x:c r="C15" s="27" t="str">
        <x:v>动量/趋势延续</x:v>
      </x:c>
      <x:c r="D15" s="27" t="str">
        <x:v>经典</x:v>
      </x:c>
      <x:c r="E15" s="27" t="str">
        <x:v>动量-价差过滤</x:v>
      </x:c>
      <x:c r="F15" s="27" t="str">
        <x:v>momentum spread filter</x:v>
      </x:c>
      <x:c r="G15" s="27" t="str">
        <x:v>顺势只在买卖价差未扩张时有效</x:v>
      </x:c>
      <x:c r="H15" s="27" t="str">
        <x:v>股票/股指期货/商品期货/FX/加密</x:v>
      </x:c>
      <x:c r="I15" s="27" t="str">
        <x:v>10秒-5分钟</x:v>
      </x:c>
      <x:c r="J15" s="27" t="str">
        <x:v>5-30秒评估一次</x:v>
      </x:c>
      <x:c r="K15" s="27" t="str">
        <x:v>bid/ask、spread</x:v>
      </x:c>
      <x:c r="L15" s="27" t="str">
        <x:v>信号&gt;阈值且流动性过滤通过时同向开仓</x:v>
      </x:c>
      <x:c r="M15" s="27" t="str">
        <x:v>反向信号、止损、持仓超时或波动率急升时退出</x:v>
      </x:c>
      <x:c r="N15" s="27" t="str">
        <x:v>lookback, z阈值, max_hold, vol_scale</x:v>
      </x:c>
      <x:c r="O15" s="27" t="str">
        <x:v>中</x:v>
      </x:c>
      <x:c r="P15" s="27" t="str">
        <x:v>中</x:v>
      </x:c>
      <x:c r="Q15" s="27" t="str">
        <x:v>交易成本吞噬、趋势拥挤、消息反转</x:v>
      </x:c>
      <x:c r="R15" s="27" t="str">
        <x:v>按品种与时段做walk-forward，加入真实点差和滑点</x:v>
      </x:c>
      <x:c r="S15" s="27" t="str">
        <x:v>Time Series Momentum / Moskowitz-Ooi-Pedersen</x:v>
      </x:c>
      <x:c r="T15" s="27" t="str">
        <x:v>https://www.sciencedirect.com/science/article/pii/S0304405X11002613</x:v>
      </x:c>
      <x:c r="U15" s="27" t="str"/>
    </x:row>
    <x:row r="16" ht="54" customHeight="1">
      <x:c r="A16" s="27" t="str">
        <x:v>TS015</x:v>
      </x:c>
      <x:c r="B16" s="27" t="str">
        <x:v>时间序列</x:v>
      </x:c>
      <x:c r="C16" s="27" t="str">
        <x:v>动量/趋势延续</x:v>
      </x:c>
      <x:c r="D16" s="27" t="str">
        <x:v>经典</x:v>
      </x:c>
      <x:c r="E16" s="27" t="str">
        <x:v>夜盘/开盘动量延续</x:v>
      </x:c>
      <x:c r="F16" s="27" t="str">
        <x:v>session-open continuation</x:v>
      </x:c>
      <x:c r="G16" s="27" t="str">
        <x:v>开盘最初几分钟价格发现后常有延续</x:v>
      </x:c>
      <x:c r="H16" s="27" t="str">
        <x:v>股票/股指期货/商品期货/FX/加密</x:v>
      </x:c>
      <x:c r="I16" s="27" t="str">
        <x:v>10秒-5分钟</x:v>
      </x:c>
      <x:c r="J16" s="27" t="str">
        <x:v>5-30秒评估一次</x:v>
      </x:c>
      <x:c r="K16" s="27" t="str">
        <x:v>分钟bar、开盘时间</x:v>
      </x:c>
      <x:c r="L16" s="27" t="str">
        <x:v>信号&gt;阈值且流动性过滤通过时同向开仓</x:v>
      </x:c>
      <x:c r="M16" s="27" t="str">
        <x:v>反向信号、止损、持仓超时或波动率急升时退出</x:v>
      </x:c>
      <x:c r="N16" s="27" t="str">
        <x:v>lookback, z阈值, max_hold, vol_scale</x:v>
      </x:c>
      <x:c r="O16" s="27" t="str">
        <x:v>中</x:v>
      </x:c>
      <x:c r="P16" s="27" t="str">
        <x:v>中</x:v>
      </x:c>
      <x:c r="Q16" s="27" t="str">
        <x:v>交易成本吞噬、趋势拥挤、消息反转</x:v>
      </x:c>
      <x:c r="R16" s="27" t="str">
        <x:v>按品种与时段做walk-forward，加入真实点差和滑点</x:v>
      </x:c>
      <x:c r="S16" s="27" t="str">
        <x:v>Time Series Momentum / Moskowitz-Ooi-Pedersen</x:v>
      </x:c>
      <x:c r="T16" s="27" t="str">
        <x:v>https://www.sciencedirect.com/science/article/pii/S0304405X11002613</x:v>
      </x:c>
      <x:c r="U16" s="27" t="str"/>
    </x:row>
    <x:row r="17" ht="54" customHeight="1">
      <x:c r="A17" s="27" t="str">
        <x:v>TS016</x:v>
      </x:c>
      <x:c r="B17" s="27" t="str">
        <x:v>时间序列</x:v>
      </x:c>
      <x:c r="C17" s="27" t="str">
        <x:v>动量/趋势延续</x:v>
      </x:c>
      <x:c r="D17" s="27" t="str">
        <x:v>经典</x:v>
      </x:c>
      <x:c r="E17" s="27" t="str">
        <x:v>新闻后短窗动量</x:v>
      </x:c>
      <x:c r="F17" s="27" t="str">
        <x:v>post-news short-window drift</x:v>
      </x:c>
      <x:c r="G17" s="27" t="str">
        <x:v>宏观/财报/公告后数十秒至几分钟存在迟缓反应</x:v>
      </x:c>
      <x:c r="H17" s="27" t="str">
        <x:v>股票/股指期货/商品期货/FX/加密</x:v>
      </x:c>
      <x:c r="I17" s="27" t="str">
        <x:v>10秒-5分钟</x:v>
      </x:c>
      <x:c r="J17" s="27" t="str">
        <x:v>5-30秒评估一次</x:v>
      </x:c>
      <x:c r="K17" s="27" t="str">
        <x:v>新闻时间戳、价格</x:v>
      </x:c>
      <x:c r="L17" s="27" t="str">
        <x:v>信号&gt;阈值且流动性过滤通过时同向开仓</x:v>
      </x:c>
      <x:c r="M17" s="27" t="str">
        <x:v>反向信号、止损、持仓超时或波动率急升时退出</x:v>
      </x:c>
      <x:c r="N17" s="27" t="str">
        <x:v>lookback, z阈值, max_hold, vol_scale</x:v>
      </x:c>
      <x:c r="O17" s="27" t="str">
        <x:v>中</x:v>
      </x:c>
      <x:c r="P17" s="27" t="str">
        <x:v>中</x:v>
      </x:c>
      <x:c r="Q17" s="27" t="str">
        <x:v>交易成本吞噬、趋势拥挤、消息反转</x:v>
      </x:c>
      <x:c r="R17" s="27" t="str">
        <x:v>按品种与时段做walk-forward，加入真实点差和滑点</x:v>
      </x:c>
      <x:c r="S17" s="27" t="str">
        <x:v>Time Series Momentum / Moskowitz-Ooi-Pedersen</x:v>
      </x:c>
      <x:c r="T17" s="27" t="str">
        <x:v>https://www.sciencedirect.com/science/article/pii/S0304405X11002613</x:v>
      </x:c>
      <x:c r="U17" s="27" t="str"/>
    </x:row>
    <x:row r="18" ht="54" customHeight="1">
      <x:c r="A18" s="27" t="str">
        <x:v>TS017</x:v>
      </x:c>
      <x:c r="B18" s="27" t="str">
        <x:v>时间序列</x:v>
      </x:c>
      <x:c r="C18" s="27" t="str">
        <x:v>动量/趋势延续</x:v>
      </x:c>
      <x:c r="D18" s="27" t="str">
        <x:v>经典</x:v>
      </x:c>
      <x:c r="E18" s="27" t="str">
        <x:v>期货主力合约微趋势</x:v>
      </x:c>
      <x:c r="F18" s="27" t="str">
        <x:v>front-month futures micro trend</x:v>
      </x:c>
      <x:c r="G18" s="27" t="str">
        <x:v>主力期货在流动性最高时更适合短趋势</x:v>
      </x:c>
      <x:c r="H18" s="27" t="str">
        <x:v>股票/股指期货/商品期货/FX/加密</x:v>
      </x:c>
      <x:c r="I18" s="27" t="str">
        <x:v>10秒-5分钟</x:v>
      </x:c>
      <x:c r="J18" s="27" t="str">
        <x:v>5-30秒评估一次</x:v>
      </x:c>
      <x:c r="K18" s="27" t="str">
        <x:v>期货tick/盘口</x:v>
      </x:c>
      <x:c r="L18" s="27" t="str">
        <x:v>信号&gt;阈值且流动性过滤通过时同向开仓</x:v>
      </x:c>
      <x:c r="M18" s="27" t="str">
        <x:v>反向信号、止损、持仓超时或波动率急升时退出</x:v>
      </x:c>
      <x:c r="N18" s="27" t="str">
        <x:v>lookback, z阈值, max_hold, vol_scale</x:v>
      </x:c>
      <x:c r="O18" s="27" t="str">
        <x:v>中</x:v>
      </x:c>
      <x:c r="P18" s="27" t="str">
        <x:v>中</x:v>
      </x:c>
      <x:c r="Q18" s="27" t="str">
        <x:v>交易成本吞噬、趋势拥挤、消息反转</x:v>
      </x:c>
      <x:c r="R18" s="27" t="str">
        <x:v>按品种与时段做walk-forward，加入真实点差和滑点</x:v>
      </x:c>
      <x:c r="S18" s="27" t="str">
        <x:v>Time Series Momentum / Moskowitz-Ooi-Pedersen</x:v>
      </x:c>
      <x:c r="T18" s="27" t="str">
        <x:v>https://www.sciencedirect.com/science/article/pii/S0304405X11002613</x:v>
      </x:c>
      <x:c r="U18" s="27" t="str"/>
    </x:row>
    <x:row r="19" ht="54" customHeight="1">
      <x:c r="A19" s="27" t="str">
        <x:v>TS018</x:v>
      </x:c>
      <x:c r="B19" s="27" t="str">
        <x:v>时间序列</x:v>
      </x:c>
      <x:c r="C19" s="27" t="str">
        <x:v>动量/趋势延续</x:v>
      </x:c>
      <x:c r="D19" s="27" t="str">
        <x:v>经典</x:v>
      </x:c>
      <x:c r="E19" s="27" t="str">
        <x:v>FX欧洲/美盘重叠动量</x:v>
      </x:c>
      <x:c r="F19" s="27" t="str">
        <x:v>FX overlap momentum</x:v>
      </x:c>
      <x:c r="G19" s="27" t="str">
        <x:v>伦敦纽约重叠阶段流动性和趋势冲击更强</x:v>
      </x:c>
      <x:c r="H19" s="27" t="str">
        <x:v>股票/股指期货/商品期货/FX/加密</x:v>
      </x:c>
      <x:c r="I19" s="27" t="str">
        <x:v>10秒-5分钟</x:v>
      </x:c>
      <x:c r="J19" s="27" t="str">
        <x:v>5-30秒评估一次</x:v>
      </x:c>
      <x:c r="K19" s="27" t="str">
        <x:v>FX tick、时段</x:v>
      </x:c>
      <x:c r="L19" s="27" t="str">
        <x:v>信号&gt;阈值且流动性过滤通过时同向开仓</x:v>
      </x:c>
      <x:c r="M19" s="27" t="str">
        <x:v>反向信号、止损、持仓超时或波动率急升时退出</x:v>
      </x:c>
      <x:c r="N19" s="27" t="str">
        <x:v>lookback, z阈值, max_hold, vol_scale</x:v>
      </x:c>
      <x:c r="O19" s="27" t="str">
        <x:v>中</x:v>
      </x:c>
      <x:c r="P19" s="27" t="str">
        <x:v>中</x:v>
      </x:c>
      <x:c r="Q19" s="27" t="str">
        <x:v>交易成本吞噬、趋势拥挤、消息反转</x:v>
      </x:c>
      <x:c r="R19" s="27" t="str">
        <x:v>按品种与时段做walk-forward，加入真实点差和滑点</x:v>
      </x:c>
      <x:c r="S19" s="27" t="str">
        <x:v>Time Series Momentum / Moskowitz-Ooi-Pedersen</x:v>
      </x:c>
      <x:c r="T19" s="27" t="str">
        <x:v>https://www.sciencedirect.com/science/article/pii/S0304405X11002613</x:v>
      </x:c>
      <x:c r="U19" s="27" t="str"/>
    </x:row>
    <x:row r="20" ht="54" customHeight="1">
      <x:c r="A20" s="27" t="str">
        <x:v>TS019</x:v>
      </x:c>
      <x:c r="B20" s="27" t="str">
        <x:v>时间序列</x:v>
      </x:c>
      <x:c r="C20" s="27" t="str">
        <x:v>动量/趋势延续</x:v>
      </x:c>
      <x:c r="D20" s="27" t="str">
        <x:v>新兴</x:v>
      </x:c>
      <x:c r="E20" s="27" t="str">
        <x:v>加密永续短趋势</x:v>
      </x:c>
      <x:c r="F20" s="27" t="str">
        <x:v>crypto perp micro trend</x:v>
      </x:c>
      <x:c r="G20" s="27" t="str">
        <x:v>永续合约高杠杆清算与追单带来秒级趋势</x:v>
      </x:c>
      <x:c r="H20" s="27" t="str">
        <x:v>股票/股指期货/商品期货/FX/加密</x:v>
      </x:c>
      <x:c r="I20" s="27" t="str">
        <x:v>10秒-5分钟</x:v>
      </x:c>
      <x:c r="J20" s="27" t="str">
        <x:v>5-30秒评估一次</x:v>
      </x:c>
      <x:c r="K20" s="27" t="str">
        <x:v>perp trades、OI</x:v>
      </x:c>
      <x:c r="L20" s="27" t="str">
        <x:v>信号&gt;阈值且流动性过滤通过时同向开仓</x:v>
      </x:c>
      <x:c r="M20" s="27" t="str">
        <x:v>反向信号、止损、持仓超时或波动率急升时退出</x:v>
      </x:c>
      <x:c r="N20" s="27" t="str">
        <x:v>lookback, z阈值, max_hold, vol_scale</x:v>
      </x:c>
      <x:c r="O20" s="27" t="str">
        <x:v>中</x:v>
      </x:c>
      <x:c r="P20" s="27" t="str">
        <x:v>中</x:v>
      </x:c>
      <x:c r="Q20" s="27" t="str">
        <x:v>交易成本吞噬、趋势拥挤、消息反转</x:v>
      </x:c>
      <x:c r="R20" s="27" t="str">
        <x:v>按品种与时段做walk-forward，加入真实点差和滑点</x:v>
      </x:c>
      <x:c r="S20" s="27" t="str">
        <x:v>Time Series Momentum / Moskowitz-Ooi-Pedersen</x:v>
      </x:c>
      <x:c r="T20" s="27" t="str">
        <x:v>https://www.sciencedirect.com/science/article/pii/S0304405X11002613</x:v>
      </x:c>
      <x:c r="U20" s="27" t="str"/>
    </x:row>
    <x:row r="21" ht="54" customHeight="1">
      <x:c r="A21" s="27" t="str">
        <x:v>TS020</x:v>
      </x:c>
      <x:c r="B21" s="27" t="str">
        <x:v>时间序列</x:v>
      </x:c>
      <x:c r="C21" s="27" t="str">
        <x:v>动量/趋势延续</x:v>
      </x:c>
      <x:c r="D21" s="27" t="str">
        <x:v>新兴</x:v>
      </x:c>
      <x:c r="E21" s="27" t="str">
        <x:v>债券期货收益率动量</x:v>
      </x:c>
      <x:c r="F21" s="27" t="str">
        <x:v>bond futures yield momentum</x:v>
      </x:c>
      <x:c r="G21" s="27" t="str">
        <x:v>收益率变动在消息后以阶梯方式传导</x:v>
      </x:c>
      <x:c r="H21" s="27" t="str">
        <x:v>股票/股指期货/商品期货/FX/加密</x:v>
      </x:c>
      <x:c r="I21" s="27" t="str">
        <x:v>10秒-5分钟</x:v>
      </x:c>
      <x:c r="J21" s="27" t="str">
        <x:v>5-30秒评估一次</x:v>
      </x:c>
      <x:c r="K21" s="27" t="str">
        <x:v>期货价格、收益率</x:v>
      </x:c>
      <x:c r="L21" s="27" t="str">
        <x:v>信号&gt;阈值且流动性过滤通过时同向开仓</x:v>
      </x:c>
      <x:c r="M21" s="27" t="str">
        <x:v>反向信号、止损、持仓超时或波动率急升时退出</x:v>
      </x:c>
      <x:c r="N21" s="27" t="str">
        <x:v>lookback, z阈值, max_hold, vol_scale</x:v>
      </x:c>
      <x:c r="O21" s="27" t="str">
        <x:v>中</x:v>
      </x:c>
      <x:c r="P21" s="27" t="str">
        <x:v>中</x:v>
      </x:c>
      <x:c r="Q21" s="27" t="str">
        <x:v>交易成本吞噬、趋势拥挤、消息反转</x:v>
      </x:c>
      <x:c r="R21" s="27" t="str">
        <x:v>按品种与时段做walk-forward，加入真实点差和滑点</x:v>
      </x:c>
      <x:c r="S21" s="27" t="str">
        <x:v>Time Series Momentum / Moskowitz-Ooi-Pedersen</x:v>
      </x:c>
      <x:c r="T21" s="27" t="str">
        <x:v>https://www.sciencedirect.com/science/article/pii/S0304405X11002613</x:v>
      </x:c>
      <x:c r="U21" s="27" t="str"/>
    </x:row>
    <x:row r="22" ht="54" customHeight="1">
      <x:c r="A22" s="27" t="str">
        <x:v>TS021</x:v>
      </x:c>
      <x:c r="B22" s="27" t="str">
        <x:v>时间序列</x:v>
      </x:c>
      <x:c r="C22" s="27" t="str">
        <x:v>动量/趋势延续</x:v>
      </x:c>
      <x:c r="D22" s="27" t="str">
        <x:v>新兴</x:v>
      </x:c>
      <x:c r="E22" s="27" t="str">
        <x:v>跨交易所同步动量</x:v>
      </x:c>
      <x:c r="F22" s="27" t="str">
        <x:v>multi-venue synchronized momentum</x:v>
      </x:c>
      <x:c r="G22" s="27" t="str">
        <x:v>多个场所同向变动时，单一场所价格更可能跟随</x:v>
      </x:c>
      <x:c r="H22" s="27" t="str">
        <x:v>股票/股指期货/商品期货/FX/加密</x:v>
      </x:c>
      <x:c r="I22" s="27" t="str">
        <x:v>10秒-5分钟</x:v>
      </x:c>
      <x:c r="J22" s="27" t="str">
        <x:v>5-30秒评估一次</x:v>
      </x:c>
      <x:c r="K22" s="27" t="str">
        <x:v>多交易所tick</x:v>
      </x:c>
      <x:c r="L22" s="27" t="str">
        <x:v>信号&gt;阈值且流动性过滤通过时同向开仓</x:v>
      </x:c>
      <x:c r="M22" s="27" t="str">
        <x:v>反向信号、止损、持仓超时或波动率急升时退出</x:v>
      </x:c>
      <x:c r="N22" s="27" t="str">
        <x:v>lookback, z阈值, max_hold, vol_scale</x:v>
      </x:c>
      <x:c r="O22" s="27" t="str">
        <x:v>中</x:v>
      </x:c>
      <x:c r="P22" s="27" t="str">
        <x:v>中</x:v>
      </x:c>
      <x:c r="Q22" s="27" t="str">
        <x:v>交易成本吞噬、趋势拥挤、消息反转</x:v>
      </x:c>
      <x:c r="R22" s="27" t="str">
        <x:v>按品种与时段做walk-forward，加入真实点差和滑点</x:v>
      </x:c>
      <x:c r="S22" s="27" t="str">
        <x:v>Time Series Momentum / Moskowitz-Ooi-Pedersen</x:v>
      </x:c>
      <x:c r="T22" s="27" t="str">
        <x:v>https://www.sciencedirect.com/science/article/pii/S0304405X11002613</x:v>
      </x:c>
      <x:c r="U22" s="27" t="str"/>
    </x:row>
    <x:row r="23" ht="54" customHeight="1">
      <x:c r="A23" s="27" t="str">
        <x:v>TS022</x:v>
      </x:c>
      <x:c r="B23" s="27" t="str">
        <x:v>时间序列</x:v>
      </x:c>
      <x:c r="C23" s="27" t="str">
        <x:v>动量/趋势延续</x:v>
      </x:c>
      <x:c r="D23" s="27" t="str">
        <x:v>新兴</x:v>
      </x:c>
      <x:c r="E23" s="27" t="str">
        <x:v>动量衰减半衰期过滤</x:v>
      </x:c>
      <x:c r="F23" s="27" t="str">
        <x:v>momentum half-life filter</x:v>
      </x:c>
      <x:c r="G23" s="27" t="str">
        <x:v>只交易估计半衰期仍大于交易成本时间的趋势</x:v>
      </x:c>
      <x:c r="H23" s="27" t="str">
        <x:v>股票/股指期货/商品期货/FX/加密</x:v>
      </x:c>
      <x:c r="I23" s="27" t="str">
        <x:v>10秒-5分钟</x:v>
      </x:c>
      <x:c r="J23" s="27" t="str">
        <x:v>5-30秒评估一次</x:v>
      </x:c>
      <x:c r="K23" s="27" t="str">
        <x:v>收益率序列</x:v>
      </x:c>
      <x:c r="L23" s="27" t="str">
        <x:v>信号&gt;阈值且流动性过滤通过时同向开仓</x:v>
      </x:c>
      <x:c r="M23" s="27" t="str">
        <x:v>反向信号、止损、持仓超时或波动率急升时退出</x:v>
      </x:c>
      <x:c r="N23" s="27" t="str">
        <x:v>lookback, z阈值, max_hold, vol_scale</x:v>
      </x:c>
      <x:c r="O23" s="27" t="str">
        <x:v>中</x:v>
      </x:c>
      <x:c r="P23" s="27" t="str">
        <x:v>中</x:v>
      </x:c>
      <x:c r="Q23" s="27" t="str">
        <x:v>交易成本吞噬、趋势拥挤、消息反转</x:v>
      </x:c>
      <x:c r="R23" s="27" t="str">
        <x:v>按品种与时段做walk-forward，加入真实点差和滑点</x:v>
      </x:c>
      <x:c r="S23" s="27" t="str">
        <x:v>Time Series Momentum / Moskowitz-Ooi-Pedersen</x:v>
      </x:c>
      <x:c r="T23" s="27" t="str">
        <x:v>https://www.sciencedirect.com/science/article/pii/S0304405X11002613</x:v>
      </x:c>
      <x:c r="U23" s="27" t="str"/>
    </x:row>
    <x:row r="24" ht="54" customHeight="1">
      <x:c r="A24" s="27" t="str">
        <x:v>TS023</x:v>
      </x:c>
      <x:c r="B24" s="27" t="str">
        <x:v>时间序列</x:v>
      </x:c>
      <x:c r="C24" s="27" t="str">
        <x:v>动量/趋势延续</x:v>
      </x:c>
      <x:c r="D24" s="27" t="str">
        <x:v>新兴</x:v>
      </x:c>
      <x:c r="E24" s="27" t="str">
        <x:v>波段内顺势剥头皮</x:v>
      </x:c>
      <x:c r="F24" s="27" t="str">
        <x:v>micro trend scalping</x:v>
      </x:c>
      <x:c r="G24" s="27" t="str">
        <x:v>在1-5分钟波段内用更小周期顺势进出</x:v>
      </x:c>
      <x:c r="H24" s="27" t="str">
        <x:v>股票/股指期货/商品期货/FX/加密</x:v>
      </x:c>
      <x:c r="I24" s="27" t="str">
        <x:v>10秒-5分钟</x:v>
      </x:c>
      <x:c r="J24" s="27" t="str">
        <x:v>5-30秒评估一次</x:v>
      </x:c>
      <x:c r="K24" s="27" t="str">
        <x:v>秒bar、盘口</x:v>
      </x:c>
      <x:c r="L24" s="27" t="str">
        <x:v>信号&gt;阈值且流动性过滤通过时同向开仓</x:v>
      </x:c>
      <x:c r="M24" s="27" t="str">
        <x:v>反向信号、止损、持仓超时或波动率急升时退出</x:v>
      </x:c>
      <x:c r="N24" s="27" t="str">
        <x:v>lookback, z阈值, max_hold, vol_scale</x:v>
      </x:c>
      <x:c r="O24" s="27" t="str">
        <x:v>中</x:v>
      </x:c>
      <x:c r="P24" s="27" t="str">
        <x:v>中</x:v>
      </x:c>
      <x:c r="Q24" s="27" t="str">
        <x:v>交易成本吞噬、趋势拥挤、消息反转</x:v>
      </x:c>
      <x:c r="R24" s="27" t="str">
        <x:v>按品种与时段做walk-forward，加入真实点差和滑点</x:v>
      </x:c>
      <x:c r="S24" s="27" t="str">
        <x:v>Time Series Momentum / Moskowitz-Ooi-Pedersen</x:v>
      </x:c>
      <x:c r="T24" s="27" t="str">
        <x:v>https://www.sciencedirect.com/science/article/pii/S0304405X11002613</x:v>
      </x:c>
      <x:c r="U24" s="27" t="str"/>
    </x:row>
    <x:row r="25" ht="54" customHeight="1">
      <x:c r="A25" s="27" t="str">
        <x:v>TS024</x:v>
      </x:c>
      <x:c r="B25" s="27" t="str">
        <x:v>时间序列</x:v>
      </x:c>
      <x:c r="C25" s="27" t="str">
        <x:v>动量/趋势延续</x:v>
      </x:c>
      <x:c r="D25" s="27" t="str">
        <x:v>新兴</x:v>
      </x:c>
      <x:c r="E25" s="27" t="str">
        <x:v>方向性成交量脉冲</x:v>
      </x:c>
      <x:c r="F25" s="27" t="str">
        <x:v>signed volume impulse</x:v>
      </x:c>
      <x:c r="G25" s="27" t="str">
        <x:v>主动买卖量脉冲会造成可预测的短暂价格冲击</x:v>
      </x:c>
      <x:c r="H25" s="27" t="str">
        <x:v>股票/股指期货/商品期货/FX/加密</x:v>
      </x:c>
      <x:c r="I25" s="27" t="str">
        <x:v>10秒-5分钟</x:v>
      </x:c>
      <x:c r="J25" s="27" t="str">
        <x:v>5-30秒评估一次</x:v>
      </x:c>
      <x:c r="K25" s="27" t="str">
        <x:v>逐笔成交方向</x:v>
      </x:c>
      <x:c r="L25" s="27" t="str">
        <x:v>信号&gt;阈值且流动性过滤通过时同向开仓</x:v>
      </x:c>
      <x:c r="M25" s="27" t="str">
        <x:v>反向信号、止损、持仓超时或波动率急升时退出</x:v>
      </x:c>
      <x:c r="N25" s="27" t="str">
        <x:v>lookback, z阈值, max_hold, vol_scale</x:v>
      </x:c>
      <x:c r="O25" s="27" t="str">
        <x:v>中</x:v>
      </x:c>
      <x:c r="P25" s="27" t="str">
        <x:v>中</x:v>
      </x:c>
      <x:c r="Q25" s="27" t="str">
        <x:v>交易成本吞噬、趋势拥挤、消息反转</x:v>
      </x:c>
      <x:c r="R25" s="27" t="str">
        <x:v>按品种与时段做walk-forward，加入真实点差和滑点</x:v>
      </x:c>
      <x:c r="S25" s="27" t="str">
        <x:v>Time Series Momentum / Moskowitz-Ooi-Pedersen</x:v>
      </x:c>
      <x:c r="T25" s="27" t="str">
        <x:v>https://www.sciencedirect.com/science/article/pii/S0304405X11002613</x:v>
      </x:c>
      <x:c r="U25" s="27" t="str"/>
    </x:row>
    <x:row r="26" ht="54" customHeight="1">
      <x:c r="A26" s="27" t="str">
        <x:v>TS025</x:v>
      </x:c>
      <x:c r="B26" s="27" t="str">
        <x:v>时间序列</x:v>
      </x:c>
      <x:c r="C26" s="27" t="str">
        <x:v>均值回归/过度反应</x:v>
      </x:c>
      <x:c r="D26" s="27" t="str">
        <x:v>经典</x:v>
      </x:c>
      <x:c r="E26" s="27" t="str">
        <x:v>1分钟过度反应反转</x:v>
      </x:c>
      <x:c r="F26" s="27" t="str">
        <x:v>1m overreaction reversal</x:v>
      </x:c>
      <x:c r="G26" s="27" t="str">
        <x:v>极短期冲击后，流动性恢复带来均值回归</x:v>
      </x:c>
      <x:c r="H26" s="27" t="str">
        <x:v>股票/ETF/期货/FX/加密/期权</x:v>
      </x:c>
      <x:c r="I26" s="27" t="str">
        <x:v>5秒-3分钟</x:v>
      </x:c>
      <x:c r="J26" s="27" t="str">
        <x:v>5-20秒评估一次</x:v>
      </x:c>
      <x:c r="K26" s="27" t="str">
        <x:v>价格、realized vol</x:v>
      </x:c>
      <x:c r="L26" s="27" t="str">
        <x:v>偏离z分数达到阈值且成交量/盘口不支持继续时反向开仓</x:v>
      </x:c>
      <x:c r="M26" s="27" t="str">
        <x:v>回到均值、反向突破、止损或超时退出</x:v>
      </x:c>
      <x:c r="N26" s="27" t="str">
        <x:v>lookback, z_entry, z_exit, stop, time_stop</x:v>
      </x:c>
      <x:c r="O26" s="27" t="str">
        <x:v>中</x:v>
      </x:c>
      <x:c r="P26" s="27" t="str">
        <x:v>中</x:v>
      </x:c>
      <x:c r="Q26" s="27" t="str">
        <x:v>强趋势中逆势亏损、流动性消失、跳空</x:v>
      </x:c>
      <x:c r="R26" s="27" t="str">
        <x:v>趋势/高波动状态单独分层，加入最大不利移动检验</x:v>
      </x:c>
      <x:c r="S26" s="27" t="str">
        <x:v>Quantpedia systematic strategy database</x:v>
      </x:c>
      <x:c r="T26" s="27" t="str">
        <x:v>https://quantpedia.com/</x:v>
      </x:c>
      <x:c r="U26" s="27" t="str"/>
    </x:row>
    <x:row r="27" ht="54" customHeight="1">
      <x:c r="A27" s="27" t="str">
        <x:v>TS026</x:v>
      </x:c>
      <x:c r="B27" s="27" t="str">
        <x:v>时间序列</x:v>
      </x:c>
      <x:c r="C27" s="27" t="str">
        <x:v>均值回归/过度反应</x:v>
      </x:c>
      <x:c r="D27" s="27" t="str">
        <x:v>经典</x:v>
      </x:c>
      <x:c r="E27" s="27" t="str">
        <x:v>VWAP偏离回归</x:v>
      </x:c>
      <x:c r="F27" s="27" t="str">
        <x:v>VWAP deviation reversion</x:v>
      </x:c>
      <x:c r="G27" s="27" t="str">
        <x:v>价格远离短期成交均价后回归</x:v>
      </x:c>
      <x:c r="H27" s="27" t="str">
        <x:v>股票/ETF/期货/FX/加密/期权</x:v>
      </x:c>
      <x:c r="I27" s="27" t="str">
        <x:v>5秒-3分钟</x:v>
      </x:c>
      <x:c r="J27" s="27" t="str">
        <x:v>5-20秒评估一次</x:v>
      </x:c>
      <x:c r="K27" s="27" t="str">
        <x:v>VWAP、成交量</x:v>
      </x:c>
      <x:c r="L27" s="27" t="str">
        <x:v>偏离z分数达到阈值且成交量/盘口不支持继续时反向开仓</x:v>
      </x:c>
      <x:c r="M27" s="27" t="str">
        <x:v>回到均值、反向突破、止损或超时退出</x:v>
      </x:c>
      <x:c r="N27" s="27" t="str">
        <x:v>lookback, z_entry, z_exit, stop, time_stop</x:v>
      </x:c>
      <x:c r="O27" s="27" t="str">
        <x:v>中</x:v>
      </x:c>
      <x:c r="P27" s="27" t="str">
        <x:v>中</x:v>
      </x:c>
      <x:c r="Q27" s="27" t="str">
        <x:v>强趋势中逆势亏损、流动性消失、跳空</x:v>
      </x:c>
      <x:c r="R27" s="27" t="str">
        <x:v>趋势/高波动状态单独分层，加入最大不利移动检验</x:v>
      </x:c>
      <x:c r="S27" s="27" t="str">
        <x:v>Quantpedia systematic strategy database</x:v>
      </x:c>
      <x:c r="T27" s="27" t="str">
        <x:v>https://quantpedia.com/</x:v>
      </x:c>
      <x:c r="U27" s="27" t="str"/>
    </x:row>
    <x:row r="28" ht="54" customHeight="1">
      <x:c r="A28" s="27" t="str">
        <x:v>TS027</x:v>
      </x:c>
      <x:c r="B28" s="27" t="str">
        <x:v>时间序列</x:v>
      </x:c>
      <x:c r="C28" s="27" t="str">
        <x:v>均值回归/过度反应</x:v>
      </x:c>
      <x:c r="D28" s="27" t="str">
        <x:v>经典</x:v>
      </x:c>
      <x:c r="E28" s="27" t="str">
        <x:v>布林带秒级反转</x:v>
      </x:c>
      <x:c r="F28" s="27" t="str">
        <x:v>micro Bollinger reversion</x:v>
      </x:c>
      <x:c r="G28" s="27" t="str">
        <x:v>价格触及短窗标准差边界后短线回归</x:v>
      </x:c>
      <x:c r="H28" s="27" t="str">
        <x:v>股票/ETF/期货/FX/加密/期权</x:v>
      </x:c>
      <x:c r="I28" s="27" t="str">
        <x:v>5秒-3分钟</x:v>
      </x:c>
      <x:c r="J28" s="27" t="str">
        <x:v>5-20秒评估一次</x:v>
      </x:c>
      <x:c r="K28" s="27" t="str">
        <x:v>1秒bar</x:v>
      </x:c>
      <x:c r="L28" s="27" t="str">
        <x:v>偏离z分数达到阈值且成交量/盘口不支持继续时反向开仓</x:v>
      </x:c>
      <x:c r="M28" s="27" t="str">
        <x:v>回到均值、反向突破、止损或超时退出</x:v>
      </x:c>
      <x:c r="N28" s="27" t="str">
        <x:v>lookback, z_entry, z_exit, stop, time_stop</x:v>
      </x:c>
      <x:c r="O28" s="27" t="str">
        <x:v>中</x:v>
      </x:c>
      <x:c r="P28" s="27" t="str">
        <x:v>中</x:v>
      </x:c>
      <x:c r="Q28" s="27" t="str">
        <x:v>强趋势中逆势亏损、流动性消失、跳空</x:v>
      </x:c>
      <x:c r="R28" s="27" t="str">
        <x:v>趋势/高波动状态单独分层，加入最大不利移动检验</x:v>
      </x:c>
      <x:c r="S28" s="27" t="str">
        <x:v>Quantpedia systematic strategy database</x:v>
      </x:c>
      <x:c r="T28" s="27" t="str">
        <x:v>https://quantpedia.com/</x:v>
      </x:c>
      <x:c r="U28" s="27" t="str"/>
    </x:row>
    <x:row r="29" ht="54" customHeight="1">
      <x:c r="A29" s="27" t="str">
        <x:v>TS028</x:v>
      </x:c>
      <x:c r="B29" s="27" t="str">
        <x:v>时间序列</x:v>
      </x:c>
      <x:c r="C29" s="27" t="str">
        <x:v>均值回归/过度反应</x:v>
      </x:c>
      <x:c r="D29" s="27" t="str">
        <x:v>经典</x:v>
      </x:c>
      <x:c r="E29" s="27" t="str">
        <x:v>盘口空洞反转</x:v>
      </x:c>
      <x:c r="F29" s="27" t="str">
        <x:v>book gap reversion</x:v>
      </x:c>
      <x:c r="G29" s="27" t="str">
        <x:v>盘口被扫空后的价格跳变在深度恢复后部分回补</x:v>
      </x:c>
      <x:c r="H29" s="27" t="str">
        <x:v>股票/ETF/期货/FX/加密/期权</x:v>
      </x:c>
      <x:c r="I29" s="27" t="str">
        <x:v>5秒-3分钟</x:v>
      </x:c>
      <x:c r="J29" s="27" t="str">
        <x:v>5-20秒评估一次</x:v>
      </x:c>
      <x:c r="K29" s="27" t="str">
        <x:v>Level 2 LOB</x:v>
      </x:c>
      <x:c r="L29" s="27" t="str">
        <x:v>偏离z分数达到阈值且成交量/盘口不支持继续时反向开仓</x:v>
      </x:c>
      <x:c r="M29" s="27" t="str">
        <x:v>回到均值、反向突破、止损或超时退出</x:v>
      </x:c>
      <x:c r="N29" s="27" t="str">
        <x:v>lookback, z_entry, z_exit, stop, time_stop</x:v>
      </x:c>
      <x:c r="O29" s="27" t="str">
        <x:v>中</x:v>
      </x:c>
      <x:c r="P29" s="27" t="str">
        <x:v>中</x:v>
      </x:c>
      <x:c r="Q29" s="27" t="str">
        <x:v>强趋势中逆势亏损、流动性消失、跳空</x:v>
      </x:c>
      <x:c r="R29" s="27" t="str">
        <x:v>趋势/高波动状态单独分层，加入最大不利移动检验</x:v>
      </x:c>
      <x:c r="S29" s="27" t="str">
        <x:v>Quantpedia systematic strategy database</x:v>
      </x:c>
      <x:c r="T29" s="27" t="str">
        <x:v>https://quantpedia.com/</x:v>
      </x:c>
      <x:c r="U29" s="27" t="str"/>
    </x:row>
    <x:row r="30" ht="54" customHeight="1">
      <x:c r="A30" s="27" t="str">
        <x:v>TS029</x:v>
      </x:c>
      <x:c r="B30" s="27" t="str">
        <x:v>时间序列</x:v>
      </x:c>
      <x:c r="C30" s="27" t="str">
        <x:v>均值回归/过度反应</x:v>
      </x:c>
      <x:c r="D30" s="27" t="str">
        <x:v>经典</x:v>
      </x:c>
      <x:c r="E30" s="27" t="str">
        <x:v>价差扩张反转</x:v>
      </x:c>
      <x:c r="F30" s="27" t="str">
        <x:v>spread widening reversion</x:v>
      </x:c>
      <x:c r="G30" s="27" t="str">
        <x:v>买卖价差异常扩张后回归常伴随中间价修复</x:v>
      </x:c>
      <x:c r="H30" s="27" t="str">
        <x:v>股票/ETF/期货/FX/加密/期权</x:v>
      </x:c>
      <x:c r="I30" s="27" t="str">
        <x:v>5秒-3分钟</x:v>
      </x:c>
      <x:c r="J30" s="27" t="str">
        <x:v>5-20秒评估一次</x:v>
      </x:c>
      <x:c r="K30" s="27" t="str">
        <x:v>bid/ask</x:v>
      </x:c>
      <x:c r="L30" s="27" t="str">
        <x:v>偏离z分数达到阈值且成交量/盘口不支持继续时反向开仓</x:v>
      </x:c>
      <x:c r="M30" s="27" t="str">
        <x:v>回到均值、反向突破、止损或超时退出</x:v>
      </x:c>
      <x:c r="N30" s="27" t="str">
        <x:v>lookback, z_entry, z_exit, stop, time_stop</x:v>
      </x:c>
      <x:c r="O30" s="27" t="str">
        <x:v>中</x:v>
      </x:c>
      <x:c r="P30" s="27" t="str">
        <x:v>中</x:v>
      </x:c>
      <x:c r="Q30" s="27" t="str">
        <x:v>强趋势中逆势亏损、流动性消失、跳空</x:v>
      </x:c>
      <x:c r="R30" s="27" t="str">
        <x:v>趋势/高波动状态单独分层，加入最大不利移动检验</x:v>
      </x:c>
      <x:c r="S30" s="27" t="str">
        <x:v>Quantpedia systematic strategy database</x:v>
      </x:c>
      <x:c r="T30" s="27" t="str">
        <x:v>https://quantpedia.com/</x:v>
      </x:c>
      <x:c r="U30" s="27" t="str"/>
    </x:row>
    <x:row r="31" ht="54" customHeight="1">
      <x:c r="A31" s="27" t="str">
        <x:v>TS030</x:v>
      </x:c>
      <x:c r="B31" s="27" t="str">
        <x:v>时间序列</x:v>
      </x:c>
      <x:c r="C31" s="27" t="str">
        <x:v>均值回归/过度反应</x:v>
      </x:c>
      <x:c r="D31" s="27" t="str">
        <x:v>经典</x:v>
      </x:c>
      <x:c r="E31" s="27" t="str">
        <x:v>短线RSI反转</x:v>
      </x:c>
      <x:c r="F31" s="27" t="str">
        <x:v>short RSI reversion</x:v>
      </x:c>
      <x:c r="G31" s="27" t="str">
        <x:v>秒级RSI极值反映短线过热</x:v>
      </x:c>
      <x:c r="H31" s="27" t="str">
        <x:v>股票/ETF/期货/FX/加密/期权</x:v>
      </x:c>
      <x:c r="I31" s="27" t="str">
        <x:v>5秒-3分钟</x:v>
      </x:c>
      <x:c r="J31" s="27" t="str">
        <x:v>5-20秒评估一次</x:v>
      </x:c>
      <x:c r="K31" s="27" t="str">
        <x:v>价格序列</x:v>
      </x:c>
      <x:c r="L31" s="27" t="str">
        <x:v>偏离z分数达到阈值且成交量/盘口不支持继续时反向开仓</x:v>
      </x:c>
      <x:c r="M31" s="27" t="str">
        <x:v>回到均值、反向突破、止损或超时退出</x:v>
      </x:c>
      <x:c r="N31" s="27" t="str">
        <x:v>lookback, z_entry, z_exit, stop, time_stop</x:v>
      </x:c>
      <x:c r="O31" s="27" t="str">
        <x:v>中</x:v>
      </x:c>
      <x:c r="P31" s="27" t="str">
        <x:v>中</x:v>
      </x:c>
      <x:c r="Q31" s="27" t="str">
        <x:v>强趋势中逆势亏损、流动性消失、跳空</x:v>
      </x:c>
      <x:c r="R31" s="27" t="str">
        <x:v>趋势/高波动状态单独分层，加入最大不利移动检验</x:v>
      </x:c>
      <x:c r="S31" s="27" t="str">
        <x:v>Quantpedia systematic strategy database</x:v>
      </x:c>
      <x:c r="T31" s="27" t="str">
        <x:v>https://quantpedia.com/</x:v>
      </x:c>
      <x:c r="U31" s="27" t="str"/>
    </x:row>
    <x:row r="32" ht="54" customHeight="1">
      <x:c r="A32" s="27" t="str">
        <x:v>TS031</x:v>
      </x:c>
      <x:c r="B32" s="27" t="str">
        <x:v>时间序列</x:v>
      </x:c>
      <x:c r="C32" s="27" t="str">
        <x:v>均值回归/过度反应</x:v>
      </x:c>
      <x:c r="D32" s="27" t="str">
        <x:v>经典</x:v>
      </x:c>
      <x:c r="E32" s="27" t="str">
        <x:v>成交量枯竭反转</x:v>
      </x:c>
      <x:c r="F32" s="27" t="str">
        <x:v>volume exhaustion reversal</x:v>
      </x:c>
      <x:c r="G32" s="27" t="str">
        <x:v>冲高/跳水后成交量衰减，后续反向更可能</x:v>
      </x:c>
      <x:c r="H32" s="27" t="str">
        <x:v>股票/ETF/期货/FX/加密/期权</x:v>
      </x:c>
      <x:c r="I32" s="27" t="str">
        <x:v>5秒-3分钟</x:v>
      </x:c>
      <x:c r="J32" s="27" t="str">
        <x:v>5-20秒评估一次</x:v>
      </x:c>
      <x:c r="K32" s="27" t="str">
        <x:v>成交量、价格</x:v>
      </x:c>
      <x:c r="L32" s="27" t="str">
        <x:v>偏离z分数达到阈值且成交量/盘口不支持继续时反向开仓</x:v>
      </x:c>
      <x:c r="M32" s="27" t="str">
        <x:v>回到均值、反向突破、止损或超时退出</x:v>
      </x:c>
      <x:c r="N32" s="27" t="str">
        <x:v>lookback, z_entry, z_exit, stop, time_stop</x:v>
      </x:c>
      <x:c r="O32" s="27" t="str">
        <x:v>中</x:v>
      </x:c>
      <x:c r="P32" s="27" t="str">
        <x:v>中</x:v>
      </x:c>
      <x:c r="Q32" s="27" t="str">
        <x:v>强趋势中逆势亏损、流动性消失、跳空</x:v>
      </x:c>
      <x:c r="R32" s="27" t="str">
        <x:v>趋势/高波动状态单独分层，加入最大不利移动检验</x:v>
      </x:c>
      <x:c r="S32" s="27" t="str">
        <x:v>Quantpedia systematic strategy database</x:v>
      </x:c>
      <x:c r="T32" s="27" t="str">
        <x:v>https://quantpedia.com/</x:v>
      </x:c>
      <x:c r="U32" s="27" t="str"/>
    </x:row>
    <x:row r="33" ht="54" customHeight="1">
      <x:c r="A33" s="27" t="str">
        <x:v>TS032</x:v>
      </x:c>
      <x:c r="B33" s="27" t="str">
        <x:v>时间序列</x:v>
      </x:c>
      <x:c r="C33" s="27" t="str">
        <x:v>均值回归/过度反应</x:v>
      </x:c>
      <x:c r="D33" s="27" t="str">
        <x:v>经典</x:v>
      </x:c>
      <x:c r="E33" s="27" t="str">
        <x:v>开盘缺口回补微策略</x:v>
      </x:c>
      <x:c r="F33" s="27" t="str">
        <x:v>opening gap micro fill</x:v>
      </x:c>
      <x:c r="G33" s="27" t="str">
        <x:v>开盘缺口在前几分钟有部分回补概率</x:v>
      </x:c>
      <x:c r="H33" s="27" t="str">
        <x:v>股票/ETF/期货/FX/加密/期权</x:v>
      </x:c>
      <x:c r="I33" s="27" t="str">
        <x:v>5秒-3分钟</x:v>
      </x:c>
      <x:c r="J33" s="27" t="str">
        <x:v>5-20秒评估一次</x:v>
      </x:c>
      <x:c r="K33" s="27" t="str">
        <x:v>开盘价、昨收</x:v>
      </x:c>
      <x:c r="L33" s="27" t="str">
        <x:v>偏离z分数达到阈值且成交量/盘口不支持继续时反向开仓</x:v>
      </x:c>
      <x:c r="M33" s="27" t="str">
        <x:v>回到均值、反向突破、止损或超时退出</x:v>
      </x:c>
      <x:c r="N33" s="27" t="str">
        <x:v>lookback, z_entry, z_exit, stop, time_stop</x:v>
      </x:c>
      <x:c r="O33" s="27" t="str">
        <x:v>中</x:v>
      </x:c>
      <x:c r="P33" s="27" t="str">
        <x:v>中</x:v>
      </x:c>
      <x:c r="Q33" s="27" t="str">
        <x:v>强趋势中逆势亏损、流动性消失、跳空</x:v>
      </x:c>
      <x:c r="R33" s="27" t="str">
        <x:v>趋势/高波动状态单独分层，加入最大不利移动检验</x:v>
      </x:c>
      <x:c r="S33" s="27" t="str">
        <x:v>Quantpedia systematic strategy database</x:v>
      </x:c>
      <x:c r="T33" s="27" t="str">
        <x:v>https://quantpedia.com/</x:v>
      </x:c>
      <x:c r="U33" s="27" t="str"/>
    </x:row>
    <x:row r="34" ht="54" customHeight="1">
      <x:c r="A34" s="27" t="str">
        <x:v>TS033</x:v>
      </x:c>
      <x:c r="B34" s="27" t="str">
        <x:v>时间序列</x:v>
      </x:c>
      <x:c r="C34" s="27" t="str">
        <x:v>均值回归/过度反应</x:v>
      </x:c>
      <x:c r="D34" s="27" t="str">
        <x:v>经典</x:v>
      </x:c>
      <x:c r="E34" s="27" t="str">
        <x:v>期货基差偏离回归</x:v>
      </x:c>
      <x:c r="F34" s="27" t="str">
        <x:v>futures basis micro reversion</x:v>
      </x:c>
      <x:c r="G34" s="27" t="str">
        <x:v>现货/期货基差短时偏离后回归</x:v>
      </x:c>
      <x:c r="H34" s="27" t="str">
        <x:v>股票/ETF/期货/FX/加密/期权</x:v>
      </x:c>
      <x:c r="I34" s="27" t="str">
        <x:v>5秒-3分钟</x:v>
      </x:c>
      <x:c r="J34" s="27" t="str">
        <x:v>5-20秒评估一次</x:v>
      </x:c>
      <x:c r="K34" s="27" t="str">
        <x:v>现货、期货</x:v>
      </x:c>
      <x:c r="L34" s="27" t="str">
        <x:v>偏离z分数达到阈值且成交量/盘口不支持继续时反向开仓</x:v>
      </x:c>
      <x:c r="M34" s="27" t="str">
        <x:v>回到均值、反向突破、止损或超时退出</x:v>
      </x:c>
      <x:c r="N34" s="27" t="str">
        <x:v>lookback, z_entry, z_exit, stop, time_stop</x:v>
      </x:c>
      <x:c r="O34" s="27" t="str">
        <x:v>中</x:v>
      </x:c>
      <x:c r="P34" s="27" t="str">
        <x:v>中</x:v>
      </x:c>
      <x:c r="Q34" s="27" t="str">
        <x:v>强趋势中逆势亏损、流动性消失、跳空</x:v>
      </x:c>
      <x:c r="R34" s="27" t="str">
        <x:v>趋势/高波动状态单独分层，加入最大不利移动检验</x:v>
      </x:c>
      <x:c r="S34" s="27" t="str">
        <x:v>Quantpedia systematic strategy database</x:v>
      </x:c>
      <x:c r="T34" s="27" t="str">
        <x:v>https://quantpedia.com/</x:v>
      </x:c>
      <x:c r="U34" s="27" t="str"/>
    </x:row>
    <x:row r="35" ht="54" customHeight="1">
      <x:c r="A35" s="27" t="str">
        <x:v>TS034</x:v>
      </x:c>
      <x:c r="B35" s="27" t="str">
        <x:v>时间序列</x:v>
      </x:c>
      <x:c r="C35" s="27" t="str">
        <x:v>均值回归/过度反应</x:v>
      </x:c>
      <x:c r="D35" s="27" t="str">
        <x:v>经典</x:v>
      </x:c>
      <x:c r="E35" s="27" t="str">
        <x:v>ETF-篮子NAV偏离回归</x:v>
      </x:c>
      <x:c r="F35" s="27" t="str">
        <x:v>ETF NAV deviation reversion</x:v>
      </x:c>
      <x:c r="G35" s="27" t="str">
        <x:v>ETF短时偏离估算篮子价值后被套利资金拉回</x:v>
      </x:c>
      <x:c r="H35" s="27" t="str">
        <x:v>股票/ETF/期货/FX/加密/期权</x:v>
      </x:c>
      <x:c r="I35" s="27" t="str">
        <x:v>5秒-3分钟</x:v>
      </x:c>
      <x:c r="J35" s="27" t="str">
        <x:v>5-20秒评估一次</x:v>
      </x:c>
      <x:c r="K35" s="27" t="str">
        <x:v>ETF、成分股</x:v>
      </x:c>
      <x:c r="L35" s="27" t="str">
        <x:v>偏离z分数达到阈值且成交量/盘口不支持继续时反向开仓</x:v>
      </x:c>
      <x:c r="M35" s="27" t="str">
        <x:v>回到均值、反向突破、止损或超时退出</x:v>
      </x:c>
      <x:c r="N35" s="27" t="str">
        <x:v>lookback, z_entry, z_exit, stop, time_stop</x:v>
      </x:c>
      <x:c r="O35" s="27" t="str">
        <x:v>中</x:v>
      </x:c>
      <x:c r="P35" s="27" t="str">
        <x:v>中</x:v>
      </x:c>
      <x:c r="Q35" s="27" t="str">
        <x:v>强趋势中逆势亏损、流动性消失、跳空</x:v>
      </x:c>
      <x:c r="R35" s="27" t="str">
        <x:v>趋势/高波动状态单独分层，加入最大不利移动检验</x:v>
      </x:c>
      <x:c r="S35" s="27" t="str">
        <x:v>Quantpedia systematic strategy database</x:v>
      </x:c>
      <x:c r="T35" s="27" t="str">
        <x:v>https://quantpedia.com/</x:v>
      </x:c>
      <x:c r="U35" s="27" t="str"/>
    </x:row>
    <x:row r="36" ht="54" customHeight="1">
      <x:c r="A36" s="27" t="str">
        <x:v>TS035</x:v>
      </x:c>
      <x:c r="B36" s="27" t="str">
        <x:v>时间序列</x:v>
      </x:c>
      <x:c r="C36" s="27" t="str">
        <x:v>均值回归/过度反应</x:v>
      </x:c>
      <x:c r="D36" s="27" t="str">
        <x:v>经典</x:v>
      </x:c>
      <x:c r="E36" s="27" t="str">
        <x:v>跨交易所价格偏离回归</x:v>
      </x:c>
      <x:c r="F36" s="27" t="str">
        <x:v>venue price deviation reversion</x:v>
      </x:c>
      <x:c r="G36" s="27" t="str">
        <x:v>同一资产多场所短时错价会收敛</x:v>
      </x:c>
      <x:c r="H36" s="27" t="str">
        <x:v>股票/ETF/期货/FX/加密/期权</x:v>
      </x:c>
      <x:c r="I36" s="27" t="str">
        <x:v>5秒-3分钟</x:v>
      </x:c>
      <x:c r="J36" s="27" t="str">
        <x:v>5-20秒评估一次</x:v>
      </x:c>
      <x:c r="K36" s="27" t="str">
        <x:v>多交易所报价</x:v>
      </x:c>
      <x:c r="L36" s="27" t="str">
        <x:v>偏离z分数达到阈值且成交量/盘口不支持继续时反向开仓</x:v>
      </x:c>
      <x:c r="M36" s="27" t="str">
        <x:v>回到均值、反向突破、止损或超时退出</x:v>
      </x:c>
      <x:c r="N36" s="27" t="str">
        <x:v>lookback, z_entry, z_exit, stop, time_stop</x:v>
      </x:c>
      <x:c r="O36" s="27" t="str">
        <x:v>中</x:v>
      </x:c>
      <x:c r="P36" s="27" t="str">
        <x:v>中</x:v>
      </x:c>
      <x:c r="Q36" s="27" t="str">
        <x:v>强趋势中逆势亏损、流动性消失、跳空</x:v>
      </x:c>
      <x:c r="R36" s="27" t="str">
        <x:v>趋势/高波动状态单独分层，加入最大不利移动检验</x:v>
      </x:c>
      <x:c r="S36" s="27" t="str">
        <x:v>Quantpedia systematic strategy database</x:v>
      </x:c>
      <x:c r="T36" s="27" t="str">
        <x:v>https://quantpedia.com/</x:v>
      </x:c>
      <x:c r="U36" s="27" t="str"/>
    </x:row>
    <x:row r="37" ht="54" customHeight="1">
      <x:c r="A37" s="27" t="str">
        <x:v>TS036</x:v>
      </x:c>
      <x:c r="B37" s="27" t="str">
        <x:v>时间序列</x:v>
      </x:c>
      <x:c r="C37" s="27" t="str">
        <x:v>均值回归/过度反应</x:v>
      </x:c>
      <x:c r="D37" s="27" t="str">
        <x:v>经典</x:v>
      </x:c>
      <x:c r="E37" s="27" t="str">
        <x:v>微型支撑阻力反转</x:v>
      </x:c>
      <x:c r="F37" s="27" t="str">
        <x:v>micro support-resistance reversal</x:v>
      </x:c>
      <x:c r="G37" s="27" t="str">
        <x:v>短窗成交密集价位形成临时支撑/阻力</x:v>
      </x:c>
      <x:c r="H37" s="27" t="str">
        <x:v>股票/ETF/期货/FX/加密/期权</x:v>
      </x:c>
      <x:c r="I37" s="27" t="str">
        <x:v>5秒-3分钟</x:v>
      </x:c>
      <x:c r="J37" s="27" t="str">
        <x:v>5-20秒评估一次</x:v>
      </x:c>
      <x:c r="K37" s="27" t="str">
        <x:v>tick成交密集区</x:v>
      </x:c>
      <x:c r="L37" s="27" t="str">
        <x:v>偏离z分数达到阈值且成交量/盘口不支持继续时反向开仓</x:v>
      </x:c>
      <x:c r="M37" s="27" t="str">
        <x:v>回到均值、反向突破、止损或超时退出</x:v>
      </x:c>
      <x:c r="N37" s="27" t="str">
        <x:v>lookback, z_entry, z_exit, stop, time_stop</x:v>
      </x:c>
      <x:c r="O37" s="27" t="str">
        <x:v>中</x:v>
      </x:c>
      <x:c r="P37" s="27" t="str">
        <x:v>中</x:v>
      </x:c>
      <x:c r="Q37" s="27" t="str">
        <x:v>强趋势中逆势亏损、流动性消失、跳空</x:v>
      </x:c>
      <x:c r="R37" s="27" t="str">
        <x:v>趋势/高波动状态单独分层，加入最大不利移动检验</x:v>
      </x:c>
      <x:c r="S37" s="27" t="str">
        <x:v>Quantpedia systematic strategy database</x:v>
      </x:c>
      <x:c r="T37" s="27" t="str">
        <x:v>https://quantpedia.com/</x:v>
      </x:c>
      <x:c r="U37" s="27" t="str"/>
    </x:row>
    <x:row r="38" ht="54" customHeight="1">
      <x:c r="A38" s="27" t="str">
        <x:v>TS037</x:v>
      </x:c>
      <x:c r="B38" s="27" t="str">
        <x:v>时间序列</x:v>
      </x:c>
      <x:c r="C38" s="27" t="str">
        <x:v>均值回归/过度反应</x:v>
      </x:c>
      <x:c r="D38" s="27" t="str">
        <x:v>经典</x:v>
      </x:c>
      <x:c r="E38" s="27" t="str">
        <x:v>清算冲击后回归</x:v>
      </x:c>
      <x:c r="F38" s="27" t="str">
        <x:v>post-liquidation reversion</x:v>
      </x:c>
      <x:c r="G38" s="27" t="str">
        <x:v>加密强制平仓导致短暂过冲后反弹/回落</x:v>
      </x:c>
      <x:c r="H38" s="27" t="str">
        <x:v>股票/ETF/期货/FX/加密/期权</x:v>
      </x:c>
      <x:c r="I38" s="27" t="str">
        <x:v>5秒-3分钟</x:v>
      </x:c>
      <x:c r="J38" s="27" t="str">
        <x:v>5-20秒评估一次</x:v>
      </x:c>
      <x:c r="K38" s="27" t="str">
        <x:v>清算数据、盘口</x:v>
      </x:c>
      <x:c r="L38" s="27" t="str">
        <x:v>偏离z分数达到阈值且成交量/盘口不支持继续时反向开仓</x:v>
      </x:c>
      <x:c r="M38" s="27" t="str">
        <x:v>回到均值、反向突破、止损或超时退出</x:v>
      </x:c>
      <x:c r="N38" s="27" t="str">
        <x:v>lookback, z_entry, z_exit, stop, time_stop</x:v>
      </x:c>
      <x:c r="O38" s="27" t="str">
        <x:v>中</x:v>
      </x:c>
      <x:c r="P38" s="27" t="str">
        <x:v>中</x:v>
      </x:c>
      <x:c r="Q38" s="27" t="str">
        <x:v>强趋势中逆势亏损、流动性消失、跳空</x:v>
      </x:c>
      <x:c r="R38" s="27" t="str">
        <x:v>趋势/高波动状态单独分层，加入最大不利移动检验</x:v>
      </x:c>
      <x:c r="S38" s="27" t="str">
        <x:v>Quantpedia systematic strategy database</x:v>
      </x:c>
      <x:c r="T38" s="27" t="str">
        <x:v>https://quantpedia.com/</x:v>
      </x:c>
      <x:c r="U38" s="27" t="str"/>
    </x:row>
    <x:row r="39" ht="54" customHeight="1">
      <x:c r="A39" s="27" t="str">
        <x:v>TS038</x:v>
      </x:c>
      <x:c r="B39" s="27" t="str">
        <x:v>时间序列</x:v>
      </x:c>
      <x:c r="C39" s="27" t="str">
        <x:v>均值回归/过度反应</x:v>
      </x:c>
      <x:c r="D39" s="27" t="str">
        <x:v>经典</x:v>
      </x:c>
      <x:c r="E39" s="27" t="str">
        <x:v>资金费率公告前过冲回归</x:v>
      </x:c>
      <x:c r="F39" s="27" t="str">
        <x:v>funding-window overreaction reversion</x:v>
      </x:c>
      <x:c r="G39" s="27" t="str">
        <x:v>永续临近资金费率结算的挤仓过冲会回归</x:v>
      </x:c>
      <x:c r="H39" s="27" t="str">
        <x:v>股票/ETF/期货/FX/加密/期权</x:v>
      </x:c>
      <x:c r="I39" s="27" t="str">
        <x:v>5秒-3分钟</x:v>
      </x:c>
      <x:c r="J39" s="27" t="str">
        <x:v>5-20秒评估一次</x:v>
      </x:c>
      <x:c r="K39" s="27" t="str">
        <x:v>funding、perp price</x:v>
      </x:c>
      <x:c r="L39" s="27" t="str">
        <x:v>偏离z分数达到阈值且成交量/盘口不支持继续时反向开仓</x:v>
      </x:c>
      <x:c r="M39" s="27" t="str">
        <x:v>回到均值、反向突破、止损或超时退出</x:v>
      </x:c>
      <x:c r="N39" s="27" t="str">
        <x:v>lookback, z_entry, z_exit, stop, time_stop</x:v>
      </x:c>
      <x:c r="O39" s="27" t="str">
        <x:v>中</x:v>
      </x:c>
      <x:c r="P39" s="27" t="str">
        <x:v>中</x:v>
      </x:c>
      <x:c r="Q39" s="27" t="str">
        <x:v>强趋势中逆势亏损、流动性消失、跳空</x:v>
      </x:c>
      <x:c r="R39" s="27" t="str">
        <x:v>趋势/高波动状态单独分层，加入最大不利移动检验</x:v>
      </x:c>
      <x:c r="S39" s="27" t="str">
        <x:v>Quantpedia systematic strategy database</x:v>
      </x:c>
      <x:c r="T39" s="27" t="str">
        <x:v>https://quantpedia.com/</x:v>
      </x:c>
      <x:c r="U39" s="27" t="str"/>
    </x:row>
    <x:row r="40" ht="54" customHeight="1">
      <x:c r="A40" s="27" t="str">
        <x:v>TS039</x:v>
      </x:c>
      <x:c r="B40" s="27" t="str">
        <x:v>时间序列</x:v>
      </x:c>
      <x:c r="C40" s="27" t="str">
        <x:v>均值回归/过度反应</x:v>
      </x:c>
      <x:c r="D40" s="27" t="str">
        <x:v>经典</x:v>
      </x:c>
      <x:c r="E40" s="27" t="str">
        <x:v>收益率z分数反转</x:v>
      </x:c>
      <x:c r="F40" s="27" t="str">
        <x:v>return z-score reversal</x:v>
      </x:c>
      <x:c r="G40" s="27" t="str">
        <x:v>收益率超过滚动分布极值后反向概率增加</x:v>
      </x:c>
      <x:c r="H40" s="27" t="str">
        <x:v>股票/ETF/期货/FX/加密/期权</x:v>
      </x:c>
      <x:c r="I40" s="27" t="str">
        <x:v>5秒-3分钟</x:v>
      </x:c>
      <x:c r="J40" s="27" t="str">
        <x:v>5-20秒评估一次</x:v>
      </x:c>
      <x:c r="K40" s="27" t="str">
        <x:v>短窗收益率</x:v>
      </x:c>
      <x:c r="L40" s="27" t="str">
        <x:v>偏离z分数达到阈值且成交量/盘口不支持继续时反向开仓</x:v>
      </x:c>
      <x:c r="M40" s="27" t="str">
        <x:v>回到均值、反向突破、止损或超时退出</x:v>
      </x:c>
      <x:c r="N40" s="27" t="str">
        <x:v>lookback, z_entry, z_exit, stop, time_stop</x:v>
      </x:c>
      <x:c r="O40" s="27" t="str">
        <x:v>中</x:v>
      </x:c>
      <x:c r="P40" s="27" t="str">
        <x:v>中</x:v>
      </x:c>
      <x:c r="Q40" s="27" t="str">
        <x:v>强趋势中逆势亏损、流动性消失、跳空</x:v>
      </x:c>
      <x:c r="R40" s="27" t="str">
        <x:v>趋势/高波动状态单独分层，加入最大不利移动检验</x:v>
      </x:c>
      <x:c r="S40" s="27" t="str">
        <x:v>Quantpedia systematic strategy database</x:v>
      </x:c>
      <x:c r="T40" s="27" t="str">
        <x:v>https://quantpedia.com/</x:v>
      </x:c>
      <x:c r="U40" s="27" t="str"/>
    </x:row>
    <x:row r="41" ht="54" customHeight="1">
      <x:c r="A41" s="27" t="str">
        <x:v>TS040</x:v>
      </x:c>
      <x:c r="B41" s="27" t="str">
        <x:v>时间序列</x:v>
      </x:c>
      <x:c r="C41" s="27" t="str">
        <x:v>均值回归/过度反应</x:v>
      </x:c>
      <x:c r="D41" s="27" t="str">
        <x:v>经典</x:v>
      </x:c>
      <x:c r="E41" s="27" t="str">
        <x:v>成交方向极端反转</x:v>
      </x:c>
      <x:c r="F41" s="27" t="str">
        <x:v>extreme signed-trade reversal</x:v>
      </x:c>
      <x:c r="G41" s="27" t="str">
        <x:v>主动买卖极端失衡后，库存供给压制继续性</x:v>
      </x:c>
      <x:c r="H41" s="27" t="str">
        <x:v>股票/ETF/期货/FX/加密/期权</x:v>
      </x:c>
      <x:c r="I41" s="27" t="str">
        <x:v>5秒-3分钟</x:v>
      </x:c>
      <x:c r="J41" s="27" t="str">
        <x:v>5-20秒评估一次</x:v>
      </x:c>
      <x:c r="K41" s="27" t="str">
        <x:v>逐笔成交方向</x:v>
      </x:c>
      <x:c r="L41" s="27" t="str">
        <x:v>偏离z分数达到阈值且成交量/盘口不支持继续时反向开仓</x:v>
      </x:c>
      <x:c r="M41" s="27" t="str">
        <x:v>回到均值、反向突破、止损或超时退出</x:v>
      </x:c>
      <x:c r="N41" s="27" t="str">
        <x:v>lookback, z_entry, z_exit, stop, time_stop</x:v>
      </x:c>
      <x:c r="O41" s="27" t="str">
        <x:v>中</x:v>
      </x:c>
      <x:c r="P41" s="27" t="str">
        <x:v>中</x:v>
      </x:c>
      <x:c r="Q41" s="27" t="str">
        <x:v>强趋势中逆势亏损、流动性消失、跳空</x:v>
      </x:c>
      <x:c r="R41" s="27" t="str">
        <x:v>趋势/高波动状态单独分层，加入最大不利移动检验</x:v>
      </x:c>
      <x:c r="S41" s="27" t="str">
        <x:v>Quantpedia systematic strategy database</x:v>
      </x:c>
      <x:c r="T41" s="27" t="str">
        <x:v>https://quantpedia.com/</x:v>
      </x:c>
      <x:c r="U41" s="27" t="str"/>
    </x:row>
    <x:row r="42" ht="54" customHeight="1">
      <x:c r="A42" s="27" t="str">
        <x:v>TS041</x:v>
      </x:c>
      <x:c r="B42" s="27" t="str">
        <x:v>时间序列</x:v>
      </x:c>
      <x:c r="C42" s="27" t="str">
        <x:v>均值回归/过度反应</x:v>
      </x:c>
      <x:c r="D42" s="27" t="str">
        <x:v>新兴</x:v>
      </x:c>
      <x:c r="E42" s="27" t="str">
        <x:v>微价格偏离中间价回归</x:v>
      </x:c>
      <x:c r="F42" s="27" t="str">
        <x:v>microprice deviation reversion</x:v>
      </x:c>
      <x:c r="G42" s="27" t="str">
        <x:v>microprice偏离mid过大时，mid向其或反向修复</x:v>
      </x:c>
      <x:c r="H42" s="27" t="str">
        <x:v>股票/ETF/期货/FX/加密/期权</x:v>
      </x:c>
      <x:c r="I42" s="27" t="str">
        <x:v>5秒-3分钟</x:v>
      </x:c>
      <x:c r="J42" s="27" t="str">
        <x:v>5-20秒评估一次</x:v>
      </x:c>
      <x:c r="K42" s="27" t="str">
        <x:v>LOB microprice</x:v>
      </x:c>
      <x:c r="L42" s="27" t="str">
        <x:v>偏离z分数达到阈值且成交量/盘口不支持继续时反向开仓</x:v>
      </x:c>
      <x:c r="M42" s="27" t="str">
        <x:v>回到均值、反向突破、止损或超时退出</x:v>
      </x:c>
      <x:c r="N42" s="27" t="str">
        <x:v>lookback, z_entry, z_exit, stop, time_stop</x:v>
      </x:c>
      <x:c r="O42" s="27" t="str">
        <x:v>中</x:v>
      </x:c>
      <x:c r="P42" s="27" t="str">
        <x:v>中</x:v>
      </x:c>
      <x:c r="Q42" s="27" t="str">
        <x:v>强趋势中逆势亏损、流动性消失、跳空</x:v>
      </x:c>
      <x:c r="R42" s="27" t="str">
        <x:v>趋势/高波动状态单独分层，加入最大不利移动检验</x:v>
      </x:c>
      <x:c r="S42" s="27" t="str">
        <x:v>Quantpedia systematic strategy database</x:v>
      </x:c>
      <x:c r="T42" s="27" t="str">
        <x:v>https://quantpedia.com/</x:v>
      </x:c>
      <x:c r="U42" s="27" t="str"/>
    </x:row>
    <x:row r="43" ht="54" customHeight="1">
      <x:c r="A43" s="27" t="str">
        <x:v>TS042</x:v>
      </x:c>
      <x:c r="B43" s="27" t="str">
        <x:v>时间序列</x:v>
      </x:c>
      <x:c r="C43" s="27" t="str">
        <x:v>均值回归/过度反应</x:v>
      </x:c>
      <x:c r="D43" s="27" t="str">
        <x:v>新兴</x:v>
      </x:c>
      <x:c r="E43" s="27" t="str">
        <x:v>相关资产残差回归</x:v>
      </x:c>
      <x:c r="F43" s="27" t="str">
        <x:v>related-asset residual reversion</x:v>
      </x:c>
      <x:c r="G43" s="27" t="str">
        <x:v>相近合约/ETF残差短时偏离后回归</x:v>
      </x:c>
      <x:c r="H43" s="27" t="str">
        <x:v>股票/ETF/期货/FX/加密/期权</x:v>
      </x:c>
      <x:c r="I43" s="27" t="str">
        <x:v>5秒-3分钟</x:v>
      </x:c>
      <x:c r="J43" s="27" t="str">
        <x:v>5-20秒评估一次</x:v>
      </x:c>
      <x:c r="K43" s="27" t="str">
        <x:v>两个或多个价格序列</x:v>
      </x:c>
      <x:c r="L43" s="27" t="str">
        <x:v>偏离z分数达到阈值且成交量/盘口不支持继续时反向开仓</x:v>
      </x:c>
      <x:c r="M43" s="27" t="str">
        <x:v>回到均值、反向突破、止损或超时退出</x:v>
      </x:c>
      <x:c r="N43" s="27" t="str">
        <x:v>lookback, z_entry, z_exit, stop, time_stop</x:v>
      </x:c>
      <x:c r="O43" s="27" t="str">
        <x:v>中</x:v>
      </x:c>
      <x:c r="P43" s="27" t="str">
        <x:v>中</x:v>
      </x:c>
      <x:c r="Q43" s="27" t="str">
        <x:v>强趋势中逆势亏损、流动性消失、跳空</x:v>
      </x:c>
      <x:c r="R43" s="27" t="str">
        <x:v>趋势/高波动状态单独分层，加入最大不利移动检验</x:v>
      </x:c>
      <x:c r="S43" s="27" t="str">
        <x:v>Quantpedia systematic strategy database</x:v>
      </x:c>
      <x:c r="T43" s="27" t="str">
        <x:v>https://quantpedia.com/</x:v>
      </x:c>
      <x:c r="U43" s="27" t="str"/>
    </x:row>
    <x:row r="44" ht="54" customHeight="1">
      <x:c r="A44" s="27" t="str">
        <x:v>TS043</x:v>
      </x:c>
      <x:c r="B44" s="27" t="str">
        <x:v>时间序列</x:v>
      </x:c>
      <x:c r="C44" s="27" t="str">
        <x:v>均值回归/过度反应</x:v>
      </x:c>
      <x:c r="D44" s="27" t="str">
        <x:v>新兴</x:v>
      </x:c>
      <x:c r="E44" s="27" t="str">
        <x:v>期权IV跳变回归</x:v>
      </x:c>
      <x:c r="F44" s="27" t="str">
        <x:v>option IV jump reversion</x:v>
      </x:c>
      <x:c r="G44" s="27" t="str">
        <x:v>短时IV spike在无后续订单流时回落</x:v>
      </x:c>
      <x:c r="H44" s="27" t="str">
        <x:v>股票/ETF/期货/FX/加密/期权</x:v>
      </x:c>
      <x:c r="I44" s="27" t="str">
        <x:v>5秒-3分钟</x:v>
      </x:c>
      <x:c r="J44" s="27" t="str">
        <x:v>5-20秒评估一次</x:v>
      </x:c>
      <x:c r="K44" s="27" t="str">
        <x:v>期权报价、IV</x:v>
      </x:c>
      <x:c r="L44" s="27" t="str">
        <x:v>偏离z分数达到阈值且成交量/盘口不支持继续时反向开仓</x:v>
      </x:c>
      <x:c r="M44" s="27" t="str">
        <x:v>回到均值、反向突破、止损或超时退出</x:v>
      </x:c>
      <x:c r="N44" s="27" t="str">
        <x:v>lookback, z_entry, z_exit, stop, time_stop</x:v>
      </x:c>
      <x:c r="O44" s="27" t="str">
        <x:v>中</x:v>
      </x:c>
      <x:c r="P44" s="27" t="str">
        <x:v>中</x:v>
      </x:c>
      <x:c r="Q44" s="27" t="str">
        <x:v>强趋势中逆势亏损、流动性消失、跳空</x:v>
      </x:c>
      <x:c r="R44" s="27" t="str">
        <x:v>趋势/高波动状态单独分层，加入最大不利移动检验</x:v>
      </x:c>
      <x:c r="S44" s="27" t="str">
        <x:v>Quantpedia systematic strategy database</x:v>
      </x:c>
      <x:c r="T44" s="27" t="str">
        <x:v>https://quantpedia.com/</x:v>
      </x:c>
      <x:c r="U44" s="27" t="str"/>
    </x:row>
    <x:row r="45" ht="54" customHeight="1">
      <x:c r="A45" s="27" t="str">
        <x:v>TS044</x:v>
      </x:c>
      <x:c r="B45" s="27" t="str">
        <x:v>时间序列</x:v>
      </x:c>
      <x:c r="C45" s="27" t="str">
        <x:v>均值回归/过度反应</x:v>
      </x:c>
      <x:c r="D45" s="27" t="str">
        <x:v>新兴</x:v>
      </x:c>
      <x:c r="E45" s="27" t="str">
        <x:v>债券收益率tick反转</x:v>
      </x:c>
      <x:c r="F45" s="27" t="str">
        <x:v>bond yield tick reversal</x:v>
      </x:c>
      <x:c r="G45" s="27" t="str">
        <x:v>国债期货收益率极短冲击有反向修复</x:v>
      </x:c>
      <x:c r="H45" s="27" t="str">
        <x:v>股票/ETF/期货/FX/加密/期权</x:v>
      </x:c>
      <x:c r="I45" s="27" t="str">
        <x:v>5秒-3分钟</x:v>
      </x:c>
      <x:c r="J45" s="27" t="str">
        <x:v>5-20秒评估一次</x:v>
      </x:c>
      <x:c r="K45" s="27" t="str">
        <x:v>债券期货tick</x:v>
      </x:c>
      <x:c r="L45" s="27" t="str">
        <x:v>偏离z分数达到阈值且成交量/盘口不支持继续时反向开仓</x:v>
      </x:c>
      <x:c r="M45" s="27" t="str">
        <x:v>回到均值、反向突破、止损或超时退出</x:v>
      </x:c>
      <x:c r="N45" s="27" t="str">
        <x:v>lookback, z_entry, z_exit, stop, time_stop</x:v>
      </x:c>
      <x:c r="O45" s="27" t="str">
        <x:v>中</x:v>
      </x:c>
      <x:c r="P45" s="27" t="str">
        <x:v>中</x:v>
      </x:c>
      <x:c r="Q45" s="27" t="str">
        <x:v>强趋势中逆势亏损、流动性消失、跳空</x:v>
      </x:c>
      <x:c r="R45" s="27" t="str">
        <x:v>趋势/高波动状态单独分层，加入最大不利移动检验</x:v>
      </x:c>
      <x:c r="S45" s="27" t="str">
        <x:v>Quantpedia systematic strategy database</x:v>
      </x:c>
      <x:c r="T45" s="27" t="str">
        <x:v>https://quantpedia.com/</x:v>
      </x:c>
      <x:c r="U45" s="27" t="str"/>
    </x:row>
    <x:row r="46" ht="54" customHeight="1">
      <x:c r="A46" s="27" t="str">
        <x:v>TS045</x:v>
      </x:c>
      <x:c r="B46" s="27" t="str">
        <x:v>时间序列</x:v>
      </x:c>
      <x:c r="C46" s="27" t="str">
        <x:v>均值回归/过度反应</x:v>
      </x:c>
      <x:c r="D46" s="27" t="str">
        <x:v>新兴</x:v>
      </x:c>
      <x:c r="E46" s="27" t="str">
        <x:v>新闻误读反转</x:v>
      </x:c>
      <x:c r="F46" s="27" t="str">
        <x:v>headline misread reversal</x:v>
      </x:c>
      <x:c r="G46" s="27" t="str">
        <x:v>机器/人工对标题的初始误读会造成可回撤价格</x:v>
      </x:c>
      <x:c r="H46" s="27" t="str">
        <x:v>股票/ETF/期货/FX/加密/期权</x:v>
      </x:c>
      <x:c r="I46" s="27" t="str">
        <x:v>5秒-3分钟</x:v>
      </x:c>
      <x:c r="J46" s="27" t="str">
        <x:v>5-20秒评估一次</x:v>
      </x:c>
      <x:c r="K46" s="27" t="str">
        <x:v>新闻、价格</x:v>
      </x:c>
      <x:c r="L46" s="27" t="str">
        <x:v>偏离z分数达到阈值且成交量/盘口不支持继续时反向开仓</x:v>
      </x:c>
      <x:c r="M46" s="27" t="str">
        <x:v>回到均值、反向突破、止损或超时退出</x:v>
      </x:c>
      <x:c r="N46" s="27" t="str">
        <x:v>lookback, z_entry, z_exit, stop, time_stop</x:v>
      </x:c>
      <x:c r="O46" s="27" t="str">
        <x:v>中</x:v>
      </x:c>
      <x:c r="P46" s="27" t="str">
        <x:v>中</x:v>
      </x:c>
      <x:c r="Q46" s="27" t="str">
        <x:v>强趋势中逆势亏损、流动性消失、跳空</x:v>
      </x:c>
      <x:c r="R46" s="27" t="str">
        <x:v>趋势/高波动状态单独分层，加入最大不利移动检验</x:v>
      </x:c>
      <x:c r="S46" s="27" t="str">
        <x:v>Quantpedia systematic strategy database</x:v>
      </x:c>
      <x:c r="T46" s="27" t="str">
        <x:v>https://quantpedia.com/</x:v>
      </x:c>
      <x:c r="U46" s="27" t="str"/>
    </x:row>
    <x:row r="47" ht="54" customHeight="1">
      <x:c r="A47" s="27" t="str">
        <x:v>TS046</x:v>
      </x:c>
      <x:c r="B47" s="27" t="str">
        <x:v>时间序列</x:v>
      </x:c>
      <x:c r="C47" s="27" t="str">
        <x:v>均值回归/过度反应</x:v>
      </x:c>
      <x:c r="D47" s="27" t="str">
        <x:v>新兴</x:v>
      </x:c>
      <x:c r="E47" s="27" t="str">
        <x:v>深度恢复反转</x:v>
      </x:c>
      <x:c r="F47" s="27" t="str">
        <x:v>depth-replenishment reversal</x:v>
      </x:c>
      <x:c r="G47" s="27" t="str">
        <x:v>一侧深度被消耗后快速补单，价格往补单方向回归</x:v>
      </x:c>
      <x:c r="H47" s="27" t="str">
        <x:v>股票/ETF/期货/FX/加密/期权</x:v>
      </x:c>
      <x:c r="I47" s="27" t="str">
        <x:v>5秒-3分钟</x:v>
      </x:c>
      <x:c r="J47" s="27" t="str">
        <x:v>5-20秒评估一次</x:v>
      </x:c>
      <x:c r="K47" s="27" t="str">
        <x:v>LOB depth</x:v>
      </x:c>
      <x:c r="L47" s="27" t="str">
        <x:v>偏离z分数达到阈值且成交量/盘口不支持继续时反向开仓</x:v>
      </x:c>
      <x:c r="M47" s="27" t="str">
        <x:v>回到均值、反向突破、止损或超时退出</x:v>
      </x:c>
      <x:c r="N47" s="27" t="str">
        <x:v>lookback, z_entry, z_exit, stop, time_stop</x:v>
      </x:c>
      <x:c r="O47" s="27" t="str">
        <x:v>中</x:v>
      </x:c>
      <x:c r="P47" s="27" t="str">
        <x:v>中</x:v>
      </x:c>
      <x:c r="Q47" s="27" t="str">
        <x:v>强趋势中逆势亏损、流动性消失、跳空</x:v>
      </x:c>
      <x:c r="R47" s="27" t="str">
        <x:v>趋势/高波动状态单独分层，加入最大不利移动检验</x:v>
      </x:c>
      <x:c r="S47" s="27" t="str">
        <x:v>Quantpedia systematic strategy database</x:v>
      </x:c>
      <x:c r="T47" s="27" t="str">
        <x:v>https://quantpedia.com/</x:v>
      </x:c>
      <x:c r="U47" s="27" t="str"/>
    </x:row>
    <x:row r="48" ht="54" customHeight="1">
      <x:c r="A48" s="27" t="str">
        <x:v>TS047</x:v>
      </x:c>
      <x:c r="B48" s="27" t="str">
        <x:v>时间序列</x:v>
      </x:c>
      <x:c r="C48" s="27" t="str">
        <x:v>波动率/突破/区间</x:v>
      </x:c>
      <x:c r="D48" s="27" t="str">
        <x:v>经典</x:v>
      </x:c>
      <x:c r="E48" s="27" t="str">
        <x:v>短窗ATR突破</x:v>
      </x:c>
      <x:c r="F48" s="27" t="str">
        <x:v>short ATR breakout</x:v>
      </x:c>
      <x:c r="G48" s="27" t="str">
        <x:v>价格突破短窗真实波幅代表新冲击</x:v>
      </x:c>
      <x:c r="H48" s="27" t="str">
        <x:v>股指/商品/债券期货/ETF/期权/加密</x:v>
      </x:c>
      <x:c r="I48" s="27" t="str">
        <x:v>15秒-5分钟</x:v>
      </x:c>
      <x:c r="J48" s="27" t="str">
        <x:v>10-30秒评估一次</x:v>
      </x:c>
      <x:c r="K48" s="27" t="str">
        <x:v>OHLC、ATR</x:v>
      </x:c>
      <x:c r="L48" s="27" t="str">
        <x:v>波动/区间状态触发后配合方向或反向规则开仓</x:v>
      </x:c>
      <x:c r="M48" s="27" t="str">
        <x:v>波动回落、目标价、时间止损或波动率二次跳升退出</x:v>
      </x:c>
      <x:c r="N48" s="27" t="str">
        <x:v>range_n, rv_window, vol_quantile, stop_mult</x:v>
      </x:c>
      <x:c r="O48" s="27" t="str">
        <x:v>中</x:v>
      </x:c>
      <x:c r="P48" s="27" t="str">
        <x:v>中</x:v>
      </x:c>
      <x:c r="Q48" s="27" t="str">
        <x:v>假突破、波动估计不稳、手续费放大</x:v>
      </x:c>
      <x:c r="R48" s="27" t="str">
        <x:v>按高/低波动 regime 做分层回测</x:v>
      </x:c>
      <x:c r="S48" s="27" t="str">
        <x:v>arXiv q-fin.TR Trading and Market Microstructure</x:v>
      </x:c>
      <x:c r="T48" s="27" t="str">
        <x:v>https://arxiv.org/list/q-fin.TR/recent</x:v>
      </x:c>
      <x:c r="U48" s="27" t="str"/>
    </x:row>
    <x:row r="49" ht="54" customHeight="1">
      <x:c r="A49" s="27" t="str">
        <x:v>TS048</x:v>
      </x:c>
      <x:c r="B49" s="27" t="str">
        <x:v>时间序列</x:v>
      </x:c>
      <x:c r="C49" s="27" t="str">
        <x:v>波动率/突破/区间</x:v>
      </x:c>
      <x:c r="D49" s="27" t="str">
        <x:v>经典</x:v>
      </x:c>
      <x:c r="E49" s="27" t="str">
        <x:v>已实现波动率扩张顺势</x:v>
      </x:c>
      <x:c r="F49" s="27" t="str">
        <x:v>realized volatility expansion trend</x:v>
      </x:c>
      <x:c r="G49" s="27" t="str">
        <x:v>波动率突然上升后方向性订单流延续</x:v>
      </x:c>
      <x:c r="H49" s="27" t="str">
        <x:v>股指/商品/债券期货/ETF/期权/加密</x:v>
      </x:c>
      <x:c r="I49" s="27" t="str">
        <x:v>15秒-5分钟</x:v>
      </x:c>
      <x:c r="J49" s="27" t="str">
        <x:v>10-30秒评估一次</x:v>
      </x:c>
      <x:c r="K49" s="27" t="str">
        <x:v>realized vol、收益率</x:v>
      </x:c>
      <x:c r="L49" s="27" t="str">
        <x:v>波动/区间状态触发后配合方向或反向规则开仓</x:v>
      </x:c>
      <x:c r="M49" s="27" t="str">
        <x:v>波动回落、目标价、时间止损或波动率二次跳升退出</x:v>
      </x:c>
      <x:c r="N49" s="27" t="str">
        <x:v>range_n, rv_window, vol_quantile, stop_mult</x:v>
      </x:c>
      <x:c r="O49" s="27" t="str">
        <x:v>中</x:v>
      </x:c>
      <x:c r="P49" s="27" t="str">
        <x:v>中</x:v>
      </x:c>
      <x:c r="Q49" s="27" t="str">
        <x:v>假突破、波动估计不稳、手续费放大</x:v>
      </x:c>
      <x:c r="R49" s="27" t="str">
        <x:v>按高/低波动 regime 做分层回测</x:v>
      </x:c>
      <x:c r="S49" s="27" t="str">
        <x:v>arXiv q-fin.TR Trading and Market Microstructure</x:v>
      </x:c>
      <x:c r="T49" s="27" t="str">
        <x:v>https://arxiv.org/list/q-fin.TR/recent</x:v>
      </x:c>
      <x:c r="U49" s="27" t="str"/>
    </x:row>
    <x:row r="50" ht="54" customHeight="1">
      <x:c r="A50" s="27" t="str">
        <x:v>TS049</x:v>
      </x:c>
      <x:c r="B50" s="27" t="str">
        <x:v>时间序列</x:v>
      </x:c>
      <x:c r="C50" s="27" t="str">
        <x:v>波动率/突破/区间</x:v>
      </x:c>
      <x:c r="D50" s="27" t="str">
        <x:v>经典</x:v>
      </x:c>
      <x:c r="E50" s="27" t="str">
        <x:v>低波动压缩后突破</x:v>
      </x:c>
      <x:c r="F50" s="27" t="str">
        <x:v>volatility squeeze breakout</x:v>
      </x:c>
      <x:c r="G50" s="27" t="str">
        <x:v>波动率压缩后的第一次有效突破有惯性</x:v>
      </x:c>
      <x:c r="H50" s="27" t="str">
        <x:v>股指/商品/债券期货/ETF/期权/加密</x:v>
      </x:c>
      <x:c r="I50" s="27" t="str">
        <x:v>15秒-5分钟</x:v>
      </x:c>
      <x:c r="J50" s="27" t="str">
        <x:v>10-30秒评估一次</x:v>
      </x:c>
      <x:c r="K50" s="27" t="str">
        <x:v>布林带宽、成交量</x:v>
      </x:c>
      <x:c r="L50" s="27" t="str">
        <x:v>波动/区间状态触发后配合方向或反向规则开仓</x:v>
      </x:c>
      <x:c r="M50" s="27" t="str">
        <x:v>波动回落、目标价、时间止损或波动率二次跳升退出</x:v>
      </x:c>
      <x:c r="N50" s="27" t="str">
        <x:v>range_n, rv_window, vol_quantile, stop_mult</x:v>
      </x:c>
      <x:c r="O50" s="27" t="str">
        <x:v>中</x:v>
      </x:c>
      <x:c r="P50" s="27" t="str">
        <x:v>中</x:v>
      </x:c>
      <x:c r="Q50" s="27" t="str">
        <x:v>假突破、波动估计不稳、手续费放大</x:v>
      </x:c>
      <x:c r="R50" s="27" t="str">
        <x:v>按高/低波动 regime 做分层回测</x:v>
      </x:c>
      <x:c r="S50" s="27" t="str">
        <x:v>arXiv q-fin.TR Trading and Market Microstructure</x:v>
      </x:c>
      <x:c r="T50" s="27" t="str">
        <x:v>https://arxiv.org/list/q-fin.TR/recent</x:v>
      </x:c>
      <x:c r="U50" s="27" t="str"/>
    </x:row>
    <x:row r="51" ht="54" customHeight="1">
      <x:c r="A51" s="27" t="str">
        <x:v>TS050</x:v>
      </x:c>
      <x:c r="B51" s="27" t="str">
        <x:v>时间序列</x:v>
      </x:c>
      <x:c r="C51" s="27" t="str">
        <x:v>波动率/突破/区间</x:v>
      </x:c>
      <x:c r="D51" s="27" t="str">
        <x:v>经典</x:v>
      </x:c>
      <x:c r="E51" s="27" t="str">
        <x:v>高低区间突破</x:v>
      </x:c>
      <x:c r="F51" s="27" t="str">
        <x:v>rolling range breakout</x:v>
      </x:c>
      <x:c r="G51" s="27" t="str">
        <x:v>突破N秒/N分钟高低区间触发止损和追单</x:v>
      </x:c>
      <x:c r="H51" s="27" t="str">
        <x:v>股指/商品/债券期货/ETF/期权/加密</x:v>
      </x:c>
      <x:c r="I51" s="27" t="str">
        <x:v>15秒-5分钟</x:v>
      </x:c>
      <x:c r="J51" s="27" t="str">
        <x:v>10-30秒评估一次</x:v>
      </x:c>
      <x:c r="K51" s="27" t="str">
        <x:v>rolling high/low</x:v>
      </x:c>
      <x:c r="L51" s="27" t="str">
        <x:v>波动/区间状态触发后配合方向或反向规则开仓</x:v>
      </x:c>
      <x:c r="M51" s="27" t="str">
        <x:v>波动回落、目标价、时间止损或波动率二次跳升退出</x:v>
      </x:c>
      <x:c r="N51" s="27" t="str">
        <x:v>range_n, rv_window, vol_quantile, stop_mult</x:v>
      </x:c>
      <x:c r="O51" s="27" t="str">
        <x:v>中</x:v>
      </x:c>
      <x:c r="P51" s="27" t="str">
        <x:v>中</x:v>
      </x:c>
      <x:c r="Q51" s="27" t="str">
        <x:v>假突破、波动估计不稳、手续费放大</x:v>
      </x:c>
      <x:c r="R51" s="27" t="str">
        <x:v>按高/低波动 regime 做分层回测</x:v>
      </x:c>
      <x:c r="S51" s="27" t="str">
        <x:v>arXiv q-fin.TR Trading and Market Microstructure</x:v>
      </x:c>
      <x:c r="T51" s="27" t="str">
        <x:v>https://arxiv.org/list/q-fin.TR/recent</x:v>
      </x:c>
      <x:c r="U51" s="27" t="str"/>
    </x:row>
    <x:row r="52" ht="54" customHeight="1">
      <x:c r="A52" s="27" t="str">
        <x:v>TS051</x:v>
      </x:c>
      <x:c r="B52" s="27" t="str">
        <x:v>时间序列</x:v>
      </x:c>
      <x:c r="C52" s="27" t="str">
        <x:v>波动率/突破/区间</x:v>
      </x:c>
      <x:c r="D52" s="27" t="str">
        <x:v>经典</x:v>
      </x:c>
      <x:c r="E52" s="27" t="str">
        <x:v>真实波幅回落做回归</x:v>
      </x:c>
      <x:c r="F52" s="27" t="str">
        <x:v>range contraction reversion</x:v>
      </x:c>
      <x:c r="G52" s="27" t="str">
        <x:v>极端range后，下一短窗波幅常回落</x:v>
      </x:c>
      <x:c r="H52" s="27" t="str">
        <x:v>股指/商品/债券期货/ETF/期权/加密</x:v>
      </x:c>
      <x:c r="I52" s="27" t="str">
        <x:v>15秒-5分钟</x:v>
      </x:c>
      <x:c r="J52" s="27" t="str">
        <x:v>10-30秒评估一次</x:v>
      </x:c>
      <x:c r="K52" s="27" t="str">
        <x:v>range、volume</x:v>
      </x:c>
      <x:c r="L52" s="27" t="str">
        <x:v>波动/区间状态触发后配合方向或反向规则开仓</x:v>
      </x:c>
      <x:c r="M52" s="27" t="str">
        <x:v>波动回落、目标价、时间止损或波动率二次跳升退出</x:v>
      </x:c>
      <x:c r="N52" s="27" t="str">
        <x:v>range_n, rv_window, vol_quantile, stop_mult</x:v>
      </x:c>
      <x:c r="O52" s="27" t="str">
        <x:v>中</x:v>
      </x:c>
      <x:c r="P52" s="27" t="str">
        <x:v>中</x:v>
      </x:c>
      <x:c r="Q52" s="27" t="str">
        <x:v>假突破、波动估计不稳、手续费放大</x:v>
      </x:c>
      <x:c r="R52" s="27" t="str">
        <x:v>按高/低波动 regime 做分层回测</x:v>
      </x:c>
      <x:c r="S52" s="27" t="str">
        <x:v>arXiv q-fin.TR Trading and Market Microstructure</x:v>
      </x:c>
      <x:c r="T52" s="27" t="str">
        <x:v>https://arxiv.org/list/q-fin.TR/recent</x:v>
      </x:c>
      <x:c r="U52" s="27" t="str"/>
    </x:row>
    <x:row r="53" ht="54" customHeight="1">
      <x:c r="A53" s="27" t="str">
        <x:v>TS052</x:v>
      </x:c>
      <x:c r="B53" s="27" t="str">
        <x:v>时间序列</x:v>
      </x:c>
      <x:c r="C53" s="27" t="str">
        <x:v>波动率/突破/区间</x:v>
      </x:c>
      <x:c r="D53" s="27" t="str">
        <x:v>经典</x:v>
      </x:c>
      <x:c r="E53" s="27" t="str">
        <x:v>跳变检测顺势</x:v>
      </x:c>
      <x:c r="F53" s="27" t="str">
        <x:v>jump detection continuation</x:v>
      </x:c>
      <x:c r="G53" s="27" t="str">
        <x:v>统计跳变后订单再平衡未完成</x:v>
      </x:c>
      <x:c r="H53" s="27" t="str">
        <x:v>股指/商品/债券期货/ETF/期权/加密</x:v>
      </x:c>
      <x:c r="I53" s="27" t="str">
        <x:v>15秒-5分钟</x:v>
      </x:c>
      <x:c r="J53" s="27" t="str">
        <x:v>10-30秒评估一次</x:v>
      </x:c>
      <x:c r="K53" s="27" t="str">
        <x:v>tick收益、jump test</x:v>
      </x:c>
      <x:c r="L53" s="27" t="str">
        <x:v>波动/区间状态触发后配合方向或反向规则开仓</x:v>
      </x:c>
      <x:c r="M53" s="27" t="str">
        <x:v>波动回落、目标价、时间止损或波动率二次跳升退出</x:v>
      </x:c>
      <x:c r="N53" s="27" t="str">
        <x:v>range_n, rv_window, vol_quantile, stop_mult</x:v>
      </x:c>
      <x:c r="O53" s="27" t="str">
        <x:v>中</x:v>
      </x:c>
      <x:c r="P53" s="27" t="str">
        <x:v>中</x:v>
      </x:c>
      <x:c r="Q53" s="27" t="str">
        <x:v>假突破、波动估计不稳、手续费放大</x:v>
      </x:c>
      <x:c r="R53" s="27" t="str">
        <x:v>按高/低波动 regime 做分层回测</x:v>
      </x:c>
      <x:c r="S53" s="27" t="str">
        <x:v>arXiv q-fin.TR Trading and Market Microstructure</x:v>
      </x:c>
      <x:c r="T53" s="27" t="str">
        <x:v>https://arxiv.org/list/q-fin.TR/recent</x:v>
      </x:c>
      <x:c r="U53" s="27" t="str"/>
    </x:row>
    <x:row r="54" ht="54" customHeight="1">
      <x:c r="A54" s="27" t="str">
        <x:v>TS053</x:v>
      </x:c>
      <x:c r="B54" s="27" t="str">
        <x:v>时间序列</x:v>
      </x:c>
      <x:c r="C54" s="27" t="str">
        <x:v>波动率/突破/区间</x:v>
      </x:c>
      <x:c r="D54" s="27" t="str">
        <x:v>经典</x:v>
      </x:c>
      <x:c r="E54" s="27" t="str">
        <x:v>跳变检测反转</x:v>
      </x:c>
      <x:c r="F54" s="27" t="str">
        <x:v>jump detection reversal</x:v>
      </x:c>
      <x:c r="G54" s="27" t="str">
        <x:v>孤立跳变若无成交量确认，易回补</x:v>
      </x:c>
      <x:c r="H54" s="27" t="str">
        <x:v>股指/商品/债券期货/ETF/期权/加密</x:v>
      </x:c>
      <x:c r="I54" s="27" t="str">
        <x:v>15秒-5分钟</x:v>
      </x:c>
      <x:c r="J54" s="27" t="str">
        <x:v>10-30秒评估一次</x:v>
      </x:c>
      <x:c r="K54" s="27" t="str">
        <x:v>tick收益、volume</x:v>
      </x:c>
      <x:c r="L54" s="27" t="str">
        <x:v>波动/区间状态触发后配合方向或反向规则开仓</x:v>
      </x:c>
      <x:c r="M54" s="27" t="str">
        <x:v>波动回落、目标价、时间止损或波动率二次跳升退出</x:v>
      </x:c>
      <x:c r="N54" s="27" t="str">
        <x:v>range_n, rv_window, vol_quantile, stop_mult</x:v>
      </x:c>
      <x:c r="O54" s="27" t="str">
        <x:v>中</x:v>
      </x:c>
      <x:c r="P54" s="27" t="str">
        <x:v>中</x:v>
      </x:c>
      <x:c r="Q54" s="27" t="str">
        <x:v>假突破、波动估计不稳、手续费放大</x:v>
      </x:c>
      <x:c r="R54" s="27" t="str">
        <x:v>按高/低波动 regime 做分层回测</x:v>
      </x:c>
      <x:c r="S54" s="27" t="str">
        <x:v>arXiv q-fin.TR Trading and Market Microstructure</x:v>
      </x:c>
      <x:c r="T54" s="27" t="str">
        <x:v>https://arxiv.org/list/q-fin.TR/recent</x:v>
      </x:c>
      <x:c r="U54" s="27" t="str"/>
    </x:row>
    <x:row r="55" ht="54" customHeight="1">
      <x:c r="A55" s="27" t="str">
        <x:v>TS054</x:v>
      </x:c>
      <x:c r="B55" s="27" t="str">
        <x:v>时间序列</x:v>
      </x:c>
      <x:c r="C55" s="27" t="str">
        <x:v>波动率/突破/区间</x:v>
      </x:c>
      <x:c r="D55" s="27" t="str">
        <x:v>经典</x:v>
      </x:c>
      <x:c r="E55" s="27" t="str">
        <x:v>波动率目标仓位</x:v>
      </x:c>
      <x:c r="F55" s="27" t="str">
        <x:v>intraday volatility targeting</x:v>
      </x:c>
      <x:c r="G55" s="27" t="str">
        <x:v>同一信号在不同波动率下需动态缩放</x:v>
      </x:c>
      <x:c r="H55" s="27" t="str">
        <x:v>股指/商品/债券期货/ETF/期权/加密</x:v>
      </x:c>
      <x:c r="I55" s="27" t="str">
        <x:v>15秒-5分钟</x:v>
      </x:c>
      <x:c r="J55" s="27" t="str">
        <x:v>10-30秒评估一次</x:v>
      </x:c>
      <x:c r="K55" s="27" t="str">
        <x:v>realized vol</x:v>
      </x:c>
      <x:c r="L55" s="27" t="str">
        <x:v>波动/区间状态触发后配合方向或反向规则开仓</x:v>
      </x:c>
      <x:c r="M55" s="27" t="str">
        <x:v>波动回落、目标价、时间止损或波动率二次跳升退出</x:v>
      </x:c>
      <x:c r="N55" s="27" t="str">
        <x:v>range_n, rv_window, vol_quantile, stop_mult</x:v>
      </x:c>
      <x:c r="O55" s="27" t="str">
        <x:v>中</x:v>
      </x:c>
      <x:c r="P55" s="27" t="str">
        <x:v>中</x:v>
      </x:c>
      <x:c r="Q55" s="27" t="str">
        <x:v>假突破、波动估计不稳、手续费放大</x:v>
      </x:c>
      <x:c r="R55" s="27" t="str">
        <x:v>按高/低波动 regime 做分层回测</x:v>
      </x:c>
      <x:c r="S55" s="27" t="str">
        <x:v>arXiv q-fin.TR Trading and Market Microstructure</x:v>
      </x:c>
      <x:c r="T55" s="27" t="str">
        <x:v>https://arxiv.org/list/q-fin.TR/recent</x:v>
      </x:c>
      <x:c r="U55" s="27" t="str"/>
    </x:row>
    <x:row r="56" ht="54" customHeight="1">
      <x:c r="A56" s="27" t="str">
        <x:v>TS055</x:v>
      </x:c>
      <x:c r="B56" s="27" t="str">
        <x:v>时间序列</x:v>
      </x:c>
      <x:c r="C56" s="27" t="str">
        <x:v>波动率/突破/区间</x:v>
      </x:c>
      <x:c r="D56" s="27" t="str">
        <x:v>经典</x:v>
      </x:c>
      <x:c r="E56" s="27" t="str">
        <x:v>分位数波动 regime</x:v>
      </x:c>
      <x:c r="F56" s="27" t="str">
        <x:v>volatility quantile regime</x:v>
      </x:c>
      <x:c r="G56" s="27" t="str">
        <x:v>只在有利波动分位数区间交易特定信号</x:v>
      </x:c>
      <x:c r="H56" s="27" t="str">
        <x:v>股指/商品/债券期货/ETF/期权/加密</x:v>
      </x:c>
      <x:c r="I56" s="27" t="str">
        <x:v>15秒-5分钟</x:v>
      </x:c>
      <x:c r="J56" s="27" t="str">
        <x:v>10-30秒评估一次</x:v>
      </x:c>
      <x:c r="K56" s="27" t="str">
        <x:v>realized vol分位</x:v>
      </x:c>
      <x:c r="L56" s="27" t="str">
        <x:v>波动/区间状态触发后配合方向或反向规则开仓</x:v>
      </x:c>
      <x:c r="M56" s="27" t="str">
        <x:v>波动回落、目标价、时间止损或波动率二次跳升退出</x:v>
      </x:c>
      <x:c r="N56" s="27" t="str">
        <x:v>range_n, rv_window, vol_quantile, stop_mult</x:v>
      </x:c>
      <x:c r="O56" s="27" t="str">
        <x:v>中</x:v>
      </x:c>
      <x:c r="P56" s="27" t="str">
        <x:v>中</x:v>
      </x:c>
      <x:c r="Q56" s="27" t="str">
        <x:v>假突破、波动估计不稳、手续费放大</x:v>
      </x:c>
      <x:c r="R56" s="27" t="str">
        <x:v>按高/低波动 regime 做分层回测</x:v>
      </x:c>
      <x:c r="S56" s="27" t="str">
        <x:v>arXiv q-fin.TR Trading and Market Microstructure</x:v>
      </x:c>
      <x:c r="T56" s="27" t="str">
        <x:v>https://arxiv.org/list/q-fin.TR/recent</x:v>
      </x:c>
      <x:c r="U56" s="27" t="str"/>
    </x:row>
    <x:row r="57" ht="54" customHeight="1">
      <x:c r="A57" s="27" t="str">
        <x:v>TS056</x:v>
      </x:c>
      <x:c r="B57" s="27" t="str">
        <x:v>时间序列</x:v>
      </x:c>
      <x:c r="C57" s="27" t="str">
        <x:v>波动率/突破/区间</x:v>
      </x:c>
      <x:c r="D57" s="27" t="str">
        <x:v>经典</x:v>
      </x:c>
      <x:c r="E57" s="27" t="str">
        <x:v>HAR-RV短线波动预测</x:v>
      </x:c>
      <x:c r="F57" s="27" t="str">
        <x:v>HAR-RV intraday volatility forecast</x:v>
      </x:c>
      <x:c r="G57" s="27" t="str">
        <x:v>多尺度已实现波动率可预测下个短窗波动</x:v>
      </x:c>
      <x:c r="H57" s="27" t="str">
        <x:v>股指/商品/债券期货/ETF/期权/加密</x:v>
      </x:c>
      <x:c r="I57" s="27" t="str">
        <x:v>15秒-5分钟</x:v>
      </x:c>
      <x:c r="J57" s="27" t="str">
        <x:v>10-30秒评估一次</x:v>
      </x:c>
      <x:c r="K57" s="27" t="str">
        <x:v>RV 5s/1m/5m</x:v>
      </x:c>
      <x:c r="L57" s="27" t="str">
        <x:v>波动/区间状态触发后配合方向或反向规则开仓</x:v>
      </x:c>
      <x:c r="M57" s="27" t="str">
        <x:v>波动回落、目标价、时间止损或波动率二次跳升退出</x:v>
      </x:c>
      <x:c r="N57" s="27" t="str">
        <x:v>range_n, rv_window, vol_quantile, stop_mult</x:v>
      </x:c>
      <x:c r="O57" s="27" t="str">
        <x:v>中</x:v>
      </x:c>
      <x:c r="P57" s="27" t="str">
        <x:v>中</x:v>
      </x:c>
      <x:c r="Q57" s="27" t="str">
        <x:v>假突破、波动估计不稳、手续费放大</x:v>
      </x:c>
      <x:c r="R57" s="27" t="str">
        <x:v>按高/低波动 regime 做分层回测</x:v>
      </x:c>
      <x:c r="S57" s="27" t="str">
        <x:v>arXiv q-fin.TR Trading and Market Microstructure</x:v>
      </x:c>
      <x:c r="T57" s="27" t="str">
        <x:v>https://arxiv.org/list/q-fin.TR/recent</x:v>
      </x:c>
      <x:c r="U57" s="27" t="str"/>
    </x:row>
    <x:row r="58" ht="54" customHeight="1">
      <x:c r="A58" s="27" t="str">
        <x:v>TS057</x:v>
      </x:c>
      <x:c r="B58" s="27" t="str">
        <x:v>时间序列</x:v>
      </x:c>
      <x:c r="C58" s="27" t="str">
        <x:v>波动率/突破/区间</x:v>
      </x:c>
      <x:c r="D58" s="27" t="str">
        <x:v>经典</x:v>
      </x:c>
      <x:c r="E58" s="27" t="str">
        <x:v>GARCH秒级波动过滤</x:v>
      </x:c>
      <x:c r="F58" s="27" t="str">
        <x:v>micro GARCH volatility filter</x:v>
      </x:c>
      <x:c r="G58" s="27" t="str">
        <x:v>条件波动率影响信号阈值与仓位</x:v>
      </x:c>
      <x:c r="H58" s="27" t="str">
        <x:v>股指/商品/债券期货/ETF/期权/加密</x:v>
      </x:c>
      <x:c r="I58" s="27" t="str">
        <x:v>15秒-5分钟</x:v>
      </x:c>
      <x:c r="J58" s="27" t="str">
        <x:v>10-30秒评估一次</x:v>
      </x:c>
      <x:c r="K58" s="27" t="str">
        <x:v>收益率序列</x:v>
      </x:c>
      <x:c r="L58" s="27" t="str">
        <x:v>波动/区间状态触发后配合方向或反向规则开仓</x:v>
      </x:c>
      <x:c r="M58" s="27" t="str">
        <x:v>波动回落、目标价、时间止损或波动率二次跳升退出</x:v>
      </x:c>
      <x:c r="N58" s="27" t="str">
        <x:v>range_n, rv_window, vol_quantile, stop_mult</x:v>
      </x:c>
      <x:c r="O58" s="27" t="str">
        <x:v>中</x:v>
      </x:c>
      <x:c r="P58" s="27" t="str">
        <x:v>中</x:v>
      </x:c>
      <x:c r="Q58" s="27" t="str">
        <x:v>假突破、波动估计不稳、手续费放大</x:v>
      </x:c>
      <x:c r="R58" s="27" t="str">
        <x:v>按高/低波动 regime 做分层回测</x:v>
      </x:c>
      <x:c r="S58" s="27" t="str">
        <x:v>arXiv q-fin.TR Trading and Market Microstructure</x:v>
      </x:c>
      <x:c r="T58" s="27" t="str">
        <x:v>https://arxiv.org/list/q-fin.TR/recent</x:v>
      </x:c>
      <x:c r="U58" s="27" t="str"/>
    </x:row>
    <x:row r="59" ht="54" customHeight="1">
      <x:c r="A59" s="27" t="str">
        <x:v>TS058</x:v>
      </x:c>
      <x:c r="B59" s="27" t="str">
        <x:v>时间序列</x:v>
      </x:c>
      <x:c r="C59" s="27" t="str">
        <x:v>波动率/突破/区间</x:v>
      </x:c>
      <x:c r="D59" s="27" t="str">
        <x:v>经典</x:v>
      </x:c>
      <x:c r="E59" s="27" t="str">
        <x:v>Parkinson高低价波动突破</x:v>
      </x:c>
      <x:c r="F59" s="27" t="str">
        <x:v>Parkinson range breakout</x:v>
      </x:c>
      <x:c r="G59" s="27" t="str">
        <x:v>高低价估计波动可过滤噪声收盘价</x:v>
      </x:c>
      <x:c r="H59" s="27" t="str">
        <x:v>股指/商品/债券期货/ETF/期权/加密</x:v>
      </x:c>
      <x:c r="I59" s="27" t="str">
        <x:v>15秒-5分钟</x:v>
      </x:c>
      <x:c r="J59" s="27" t="str">
        <x:v>10-30秒评估一次</x:v>
      </x:c>
      <x:c r="K59" s="27" t="str">
        <x:v>高低价</x:v>
      </x:c>
      <x:c r="L59" s="27" t="str">
        <x:v>波动/区间状态触发后配合方向或反向规则开仓</x:v>
      </x:c>
      <x:c r="M59" s="27" t="str">
        <x:v>波动回落、目标价、时间止损或波动率二次跳升退出</x:v>
      </x:c>
      <x:c r="N59" s="27" t="str">
        <x:v>range_n, rv_window, vol_quantile, stop_mult</x:v>
      </x:c>
      <x:c r="O59" s="27" t="str">
        <x:v>中</x:v>
      </x:c>
      <x:c r="P59" s="27" t="str">
        <x:v>中</x:v>
      </x:c>
      <x:c r="Q59" s="27" t="str">
        <x:v>假突破、波动估计不稳、手续费放大</x:v>
      </x:c>
      <x:c r="R59" s="27" t="str">
        <x:v>按高/低波动 regime 做分层回测</x:v>
      </x:c>
      <x:c r="S59" s="27" t="str">
        <x:v>arXiv q-fin.TR Trading and Market Microstructure</x:v>
      </x:c>
      <x:c r="T59" s="27" t="str">
        <x:v>https://arxiv.org/list/q-fin.TR/recent</x:v>
      </x:c>
      <x:c r="U59" s="27" t="str"/>
    </x:row>
    <x:row r="60" ht="54" customHeight="1">
      <x:c r="A60" s="27" t="str">
        <x:v>TS059</x:v>
      </x:c>
      <x:c r="B60" s="27" t="str">
        <x:v>时间序列</x:v>
      </x:c>
      <x:c r="C60" s="27" t="str">
        <x:v>波动率/突破/区间</x:v>
      </x:c>
      <x:c r="D60" s="27" t="str">
        <x:v>经典</x:v>
      </x:c>
      <x:c r="E60" s="27" t="str">
        <x:v>成交量-波动共振</x:v>
      </x:c>
      <x:c r="F60" s="27" t="str">
        <x:v>volume-volatility resonance</x:v>
      </x:c>
      <x:c r="G60" s="27" t="str">
        <x:v>量与波动同升通常是信息流入而非噪声</x:v>
      </x:c>
      <x:c r="H60" s="27" t="str">
        <x:v>股指/商品/债券期货/ETF/期权/加密</x:v>
      </x:c>
      <x:c r="I60" s="27" t="str">
        <x:v>15秒-5分钟</x:v>
      </x:c>
      <x:c r="J60" s="27" t="str">
        <x:v>10-30秒评估一次</x:v>
      </x:c>
      <x:c r="K60" s="27" t="str">
        <x:v>volume、RV</x:v>
      </x:c>
      <x:c r="L60" s="27" t="str">
        <x:v>波动/区间状态触发后配合方向或反向规则开仓</x:v>
      </x:c>
      <x:c r="M60" s="27" t="str">
        <x:v>波动回落、目标价、时间止损或波动率二次跳升退出</x:v>
      </x:c>
      <x:c r="N60" s="27" t="str">
        <x:v>range_n, rv_window, vol_quantile, stop_mult</x:v>
      </x:c>
      <x:c r="O60" s="27" t="str">
        <x:v>中</x:v>
      </x:c>
      <x:c r="P60" s="27" t="str">
        <x:v>中</x:v>
      </x:c>
      <x:c r="Q60" s="27" t="str">
        <x:v>假突破、波动估计不稳、手续费放大</x:v>
      </x:c>
      <x:c r="R60" s="27" t="str">
        <x:v>按高/低波动 regime 做分层回测</x:v>
      </x:c>
      <x:c r="S60" s="27" t="str">
        <x:v>arXiv q-fin.TR Trading and Market Microstructure</x:v>
      </x:c>
      <x:c r="T60" s="27" t="str">
        <x:v>https://arxiv.org/list/q-fin.TR/recent</x:v>
      </x:c>
      <x:c r="U60" s="27" t="str"/>
    </x:row>
    <x:row r="61" ht="54" customHeight="1">
      <x:c r="A61" s="27" t="str">
        <x:v>TS060</x:v>
      </x:c>
      <x:c r="B61" s="27" t="str">
        <x:v>时间序列</x:v>
      </x:c>
      <x:c r="C61" s="27" t="str">
        <x:v>波动率/突破/区间</x:v>
      </x:c>
      <x:c r="D61" s="27" t="str">
        <x:v>新兴</x:v>
      </x:c>
      <x:c r="E61" s="27" t="str">
        <x:v>点差-波动错配</x:v>
      </x:c>
      <x:c r="F61" s="27" t="str">
        <x:v>spread-volatility mismatch</x:v>
      </x:c>
      <x:c r="G61" s="27" t="str">
        <x:v>点差未随波动升高时短线交易成本相对便宜</x:v>
      </x:c>
      <x:c r="H61" s="27" t="str">
        <x:v>股指/商品/债券期货/ETF/期权/加密</x:v>
      </x:c>
      <x:c r="I61" s="27" t="str">
        <x:v>15秒-5分钟</x:v>
      </x:c>
      <x:c r="J61" s="27" t="str">
        <x:v>10-30秒评估一次</x:v>
      </x:c>
      <x:c r="K61" s="27" t="str">
        <x:v>spread、RV</x:v>
      </x:c>
      <x:c r="L61" s="27" t="str">
        <x:v>波动/区间状态触发后配合方向或反向规则开仓</x:v>
      </x:c>
      <x:c r="M61" s="27" t="str">
        <x:v>波动回落、目标价、时间止损或波动率二次跳升退出</x:v>
      </x:c>
      <x:c r="N61" s="27" t="str">
        <x:v>range_n, rv_window, vol_quantile, stop_mult</x:v>
      </x:c>
      <x:c r="O61" s="27" t="str">
        <x:v>中</x:v>
      </x:c>
      <x:c r="P61" s="27" t="str">
        <x:v>中</x:v>
      </x:c>
      <x:c r="Q61" s="27" t="str">
        <x:v>假突破、波动估计不稳、手续费放大</x:v>
      </x:c>
      <x:c r="R61" s="27" t="str">
        <x:v>按高/低波动 regime 做分层回测</x:v>
      </x:c>
      <x:c r="S61" s="27" t="str">
        <x:v>arXiv q-fin.TR Trading and Market Microstructure</x:v>
      </x:c>
      <x:c r="T61" s="27" t="str">
        <x:v>https://arxiv.org/list/q-fin.TR/recent</x:v>
      </x:c>
      <x:c r="U61" s="27" t="str"/>
    </x:row>
    <x:row r="62" ht="54" customHeight="1">
      <x:c r="A62" s="27" t="str">
        <x:v>TS061</x:v>
      </x:c>
      <x:c r="B62" s="27" t="str">
        <x:v>时间序列</x:v>
      </x:c>
      <x:c r="C62" s="27" t="str">
        <x:v>波动率/突破/区间</x:v>
      </x:c>
      <x:c r="D62" s="27" t="str">
        <x:v>新兴</x:v>
      </x:c>
      <x:c r="E62" s="27" t="str">
        <x:v>期权隐波-实波错配</x:v>
      </x:c>
      <x:c r="F62" s="27" t="str">
        <x:v>IV-RV short-horizon mismatch</x:v>
      </x:c>
      <x:c r="G62" s="27" t="str">
        <x:v>短窗实波与隐波预期出现错配时做delta对冲方向</x:v>
      </x:c>
      <x:c r="H62" s="27" t="str">
        <x:v>股指/商品/债券期货/ETF/期权/加密</x:v>
      </x:c>
      <x:c r="I62" s="27" t="str">
        <x:v>15秒-5分钟</x:v>
      </x:c>
      <x:c r="J62" s="27" t="str">
        <x:v>10-30秒评估一次</x:v>
      </x:c>
      <x:c r="K62" s="27" t="str">
        <x:v>IV、RV</x:v>
      </x:c>
      <x:c r="L62" s="27" t="str">
        <x:v>波动/区间状态触发后配合方向或反向规则开仓</x:v>
      </x:c>
      <x:c r="M62" s="27" t="str">
        <x:v>波动回落、目标价、时间止损或波动率二次跳升退出</x:v>
      </x:c>
      <x:c r="N62" s="27" t="str">
        <x:v>range_n, rv_window, vol_quantile, stop_mult</x:v>
      </x:c>
      <x:c r="O62" s="27" t="str">
        <x:v>中</x:v>
      </x:c>
      <x:c r="P62" s="27" t="str">
        <x:v>中</x:v>
      </x:c>
      <x:c r="Q62" s="27" t="str">
        <x:v>假突破、波动估计不稳、手续费放大</x:v>
      </x:c>
      <x:c r="R62" s="27" t="str">
        <x:v>按高/低波动 regime 做分层回测</x:v>
      </x:c>
      <x:c r="S62" s="27" t="str">
        <x:v>arXiv q-fin.TR Trading and Market Microstructure</x:v>
      </x:c>
      <x:c r="T62" s="27" t="str">
        <x:v>https://arxiv.org/list/q-fin.TR/recent</x:v>
      </x:c>
      <x:c r="U62" s="27" t="str"/>
    </x:row>
    <x:row r="63" ht="54" customHeight="1">
      <x:c r="A63" s="27" t="str">
        <x:v>TS062</x:v>
      </x:c>
      <x:c r="B63" s="27" t="str">
        <x:v>时间序列</x:v>
      </x:c>
      <x:c r="C63" s="27" t="str">
        <x:v>波动率/突破/区间</x:v>
      </x:c>
      <x:c r="D63" s="27" t="str">
        <x:v>新兴</x:v>
      </x:c>
      <x:c r="E63" s="27" t="str">
        <x:v>VIX期货短窗冲击</x:v>
      </x:c>
      <x:c r="F63" s="27" t="str">
        <x:v>VIX futures micro shock</x:v>
      </x:c>
      <x:c r="G63" s="27" t="str">
        <x:v>VIX期货尖峰对股指短线有领先/同步信号</x:v>
      </x:c>
      <x:c r="H63" s="27" t="str">
        <x:v>股指/商品/债券期货/ETF/期权/加密</x:v>
      </x:c>
      <x:c r="I63" s="27" t="str">
        <x:v>15秒-5分钟</x:v>
      </x:c>
      <x:c r="J63" s="27" t="str">
        <x:v>10-30秒评估一次</x:v>
      </x:c>
      <x:c r="K63" s="27" t="str">
        <x:v>VIX fut、ES/SPY</x:v>
      </x:c>
      <x:c r="L63" s="27" t="str">
        <x:v>波动/区间状态触发后配合方向或反向规则开仓</x:v>
      </x:c>
      <x:c r="M63" s="27" t="str">
        <x:v>波动回落、目标价、时间止损或波动率二次跳升退出</x:v>
      </x:c>
      <x:c r="N63" s="27" t="str">
        <x:v>range_n, rv_window, vol_quantile, stop_mult</x:v>
      </x:c>
      <x:c r="O63" s="27" t="str">
        <x:v>中</x:v>
      </x:c>
      <x:c r="P63" s="27" t="str">
        <x:v>中</x:v>
      </x:c>
      <x:c r="Q63" s="27" t="str">
        <x:v>假突破、波动估计不稳、手续费放大</x:v>
      </x:c>
      <x:c r="R63" s="27" t="str">
        <x:v>按高/低波动 regime 做分层回测</x:v>
      </x:c>
      <x:c r="S63" s="27" t="str">
        <x:v>arXiv q-fin.TR Trading and Market Microstructure</x:v>
      </x:c>
      <x:c r="T63" s="27" t="str">
        <x:v>https://arxiv.org/list/q-fin.TR/recent</x:v>
      </x:c>
      <x:c r="U63" s="27" t="str"/>
    </x:row>
    <x:row r="64" ht="54" customHeight="1">
      <x:c r="A64" s="27" t="str">
        <x:v>TS063</x:v>
      </x:c>
      <x:c r="B64" s="27" t="str">
        <x:v>时间序列</x:v>
      </x:c>
      <x:c r="C64" s="27" t="str">
        <x:v>波动率/突破/区间</x:v>
      </x:c>
      <x:c r="D64" s="27" t="str">
        <x:v>新兴</x:v>
      </x:c>
      <x:c r="E64" s="27" t="str">
        <x:v>波动率锥分位突破</x:v>
      </x:c>
      <x:c r="F64" s="27" t="str">
        <x:v>volatility cone intraday breakout</x:v>
      </x:c>
      <x:c r="G64" s="27" t="str">
        <x:v>当前短窗波动超过历史同时间分位后触发状态切换</x:v>
      </x:c>
      <x:c r="H64" s="27" t="str">
        <x:v>股指/商品/债券期货/ETF/期权/加密</x:v>
      </x:c>
      <x:c r="I64" s="27" t="str">
        <x:v>15秒-5分钟</x:v>
      </x:c>
      <x:c r="J64" s="27" t="str">
        <x:v>10-30秒评估一次</x:v>
      </x:c>
      <x:c r="K64" s="27" t="str">
        <x:v>历史同时间RV</x:v>
      </x:c>
      <x:c r="L64" s="27" t="str">
        <x:v>波动/区间状态触发后配合方向或反向规则开仓</x:v>
      </x:c>
      <x:c r="M64" s="27" t="str">
        <x:v>波动回落、目标价、时间止损或波动率二次跳升退出</x:v>
      </x:c>
      <x:c r="N64" s="27" t="str">
        <x:v>range_n, rv_window, vol_quantile, stop_mult</x:v>
      </x:c>
      <x:c r="O64" s="27" t="str">
        <x:v>中</x:v>
      </x:c>
      <x:c r="P64" s="27" t="str">
        <x:v>中</x:v>
      </x:c>
      <x:c r="Q64" s="27" t="str">
        <x:v>假突破、波动估计不稳、手续费放大</x:v>
      </x:c>
      <x:c r="R64" s="27" t="str">
        <x:v>按高/低波动 regime 做分层回测</x:v>
      </x:c>
      <x:c r="S64" s="27" t="str">
        <x:v>arXiv q-fin.TR Trading and Market Microstructure</x:v>
      </x:c>
      <x:c r="T64" s="27" t="str">
        <x:v>https://arxiv.org/list/q-fin.TR/recent</x:v>
      </x:c>
      <x:c r="U64" s="27" t="str"/>
    </x:row>
    <x:row r="65" ht="54" customHeight="1">
      <x:c r="A65" s="27" t="str">
        <x:v>TS064</x:v>
      </x:c>
      <x:c r="B65" s="27" t="str">
        <x:v>时间序列</x:v>
      </x:c>
      <x:c r="C65" s="27" t="str">
        <x:v>波动率/突破/区间</x:v>
      </x:c>
      <x:c r="D65" s="27" t="str">
        <x:v>新兴</x:v>
      </x:c>
      <x:c r="E65" s="27" t="str">
        <x:v>期货涨跌停临近波动</x:v>
      </x:c>
      <x:c r="F65" s="27" t="str">
        <x:v>limit-up/down proximity volatility</x:v>
      </x:c>
      <x:c r="G65" s="27" t="str">
        <x:v>接近涨跌停或熔断阈值时波动与流动性非线性变化</x:v>
      </x:c>
      <x:c r="H65" s="27" t="str">
        <x:v>股指/商品/债券期货/ETF/期权/加密</x:v>
      </x:c>
      <x:c r="I65" s="27" t="str">
        <x:v>15秒-5分钟</x:v>
      </x:c>
      <x:c r="J65" s="27" t="str">
        <x:v>10-30秒评估一次</x:v>
      </x:c>
      <x:c r="K65" s="27" t="str">
        <x:v>价格、交易规则</x:v>
      </x:c>
      <x:c r="L65" s="27" t="str">
        <x:v>波动/区间状态触发后配合方向或反向规则开仓</x:v>
      </x:c>
      <x:c r="M65" s="27" t="str">
        <x:v>波动回落、目标价、时间止损或波动率二次跳升退出</x:v>
      </x:c>
      <x:c r="N65" s="27" t="str">
        <x:v>range_n, rv_window, vol_quantile, stop_mult</x:v>
      </x:c>
      <x:c r="O65" s="27" t="str">
        <x:v>中</x:v>
      </x:c>
      <x:c r="P65" s="27" t="str">
        <x:v>中</x:v>
      </x:c>
      <x:c r="Q65" s="27" t="str">
        <x:v>假突破、波动估计不稳、手续费放大</x:v>
      </x:c>
      <x:c r="R65" s="27" t="str">
        <x:v>按高/低波动 regime 做分层回测</x:v>
      </x:c>
      <x:c r="S65" s="27" t="str">
        <x:v>arXiv q-fin.TR Trading and Market Microstructure</x:v>
      </x:c>
      <x:c r="T65" s="27" t="str">
        <x:v>https://arxiv.org/list/q-fin.TR/recent</x:v>
      </x:c>
      <x:c r="U65" s="27" t="str"/>
    </x:row>
    <x:row r="66" ht="54" customHeight="1">
      <x:c r="A66" s="27" t="str">
        <x:v>TS065</x:v>
      </x:c>
      <x:c r="B66" s="27" t="str">
        <x:v>时间序列</x:v>
      </x:c>
      <x:c r="C66" s="27" t="str">
        <x:v>波动率/突破/区间</x:v>
      </x:c>
      <x:c r="D66" s="27" t="str">
        <x:v>新兴</x:v>
      </x:c>
      <x:c r="E66" s="27" t="str">
        <x:v>加密OI-波动冲击</x:v>
      </x:c>
      <x:c r="F66" s="27" t="str">
        <x:v>crypto open-interest volatility shock</x:v>
      </x:c>
      <x:c r="G66" s="27" t="str">
        <x:v>持仓量突变伴随波动放大时趋势/反转需分层</x:v>
      </x:c>
      <x:c r="H66" s="27" t="str">
        <x:v>股指/商品/债券期货/ETF/期权/加密</x:v>
      </x:c>
      <x:c r="I66" s="27" t="str">
        <x:v>15秒-5分钟</x:v>
      </x:c>
      <x:c r="J66" s="27" t="str">
        <x:v>10-30秒评估一次</x:v>
      </x:c>
      <x:c r="K66" s="27" t="str">
        <x:v>open interest、RV</x:v>
      </x:c>
      <x:c r="L66" s="27" t="str">
        <x:v>波动/区间状态触发后配合方向或反向规则开仓</x:v>
      </x:c>
      <x:c r="M66" s="27" t="str">
        <x:v>波动回落、目标价、时间止损或波动率二次跳升退出</x:v>
      </x:c>
      <x:c r="N66" s="27" t="str">
        <x:v>range_n, rv_window, vol_quantile, stop_mult</x:v>
      </x:c>
      <x:c r="O66" s="27" t="str">
        <x:v>中</x:v>
      </x:c>
      <x:c r="P66" s="27" t="str">
        <x:v>中</x:v>
      </x:c>
      <x:c r="Q66" s="27" t="str">
        <x:v>假突破、波动估计不稳、手续费放大</x:v>
      </x:c>
      <x:c r="R66" s="27" t="str">
        <x:v>按高/低波动 regime 做分层回测</x:v>
      </x:c>
      <x:c r="S66" s="27" t="str">
        <x:v>arXiv q-fin.TR Trading and Market Microstructure</x:v>
      </x:c>
      <x:c r="T66" s="27" t="str">
        <x:v>https://arxiv.org/list/q-fin.TR/recent</x:v>
      </x:c>
      <x:c r="U66" s="27" t="str"/>
    </x:row>
    <x:row r="67" ht="54" customHeight="1">
      <x:c r="A67" s="27" t="str">
        <x:v>TS066</x:v>
      </x:c>
      <x:c r="B67" s="27" t="str">
        <x:v>时间序列</x:v>
      </x:c>
      <x:c r="C67" s="27" t="str">
        <x:v>波动率/突破/区间</x:v>
      </x:c>
      <x:c r="D67" s="27" t="str">
        <x:v>新兴</x:v>
      </x:c>
      <x:c r="E67" s="27" t="str">
        <x:v>波动率簇拥Hawkes过滤</x:v>
      </x:c>
      <x:c r="F67" s="27" t="str">
        <x:v>Hawkes-filtered volatility clustering</x:v>
      </x:c>
      <x:c r="G67" s="27" t="str">
        <x:v>事件到达自激发导致波动簇拥，可过滤入场</x:v>
      </x:c>
      <x:c r="H67" s="27" t="str">
        <x:v>股指/商品/债券期货/ETF/期权/加密</x:v>
      </x:c>
      <x:c r="I67" s="27" t="str">
        <x:v>15秒-5分钟</x:v>
      </x:c>
      <x:c r="J67" s="27" t="str">
        <x:v>10-30秒评估一次</x:v>
      </x:c>
      <x:c r="K67" s="27" t="str">
        <x:v>event arrivals、RV</x:v>
      </x:c>
      <x:c r="L67" s="27" t="str">
        <x:v>波动/区间状态触发后配合方向或反向规则开仓</x:v>
      </x:c>
      <x:c r="M67" s="27" t="str">
        <x:v>波动回落、目标价、时间止损或波动率二次跳升退出</x:v>
      </x:c>
      <x:c r="N67" s="27" t="str">
        <x:v>range_n, rv_window, vol_quantile, stop_mult</x:v>
      </x:c>
      <x:c r="O67" s="27" t="str">
        <x:v>中</x:v>
      </x:c>
      <x:c r="P67" s="27" t="str">
        <x:v>中</x:v>
      </x:c>
      <x:c r="Q67" s="27" t="str">
        <x:v>假突破、波动估计不稳、手续费放大</x:v>
      </x:c>
      <x:c r="R67" s="27" t="str">
        <x:v>按高/低波动 regime 做分层回测</x:v>
      </x:c>
      <x:c r="S67" s="27" t="str">
        <x:v>arXiv q-fin.TR Trading and Market Microstructure</x:v>
      </x:c>
      <x:c r="T67" s="27" t="str">
        <x:v>https://arxiv.org/list/q-fin.TR/recent</x:v>
      </x:c>
      <x:c r="U67" s="27" t="str"/>
    </x:row>
    <x:row r="68" ht="54" customHeight="1">
      <x:c r="A68" s="27" t="str">
        <x:v>TS067</x:v>
      </x:c>
      <x:c r="B68" s="27" t="str">
        <x:v>时间序列</x:v>
      </x:c>
      <x:c r="C68" s="27" t="str">
        <x:v>统计时间序列/状态空间</x:v>
      </x:c>
      <x:c r="D68" s="27" t="str">
        <x:v>经典</x:v>
      </x:c>
      <x:c r="E68" s="27" t="str">
        <x:v>AR(1)收益率预测</x:v>
      </x:c>
      <x:c r="F68" s="27" t="str">
        <x:v>AR(1) return forecast</x:v>
      </x:c>
      <x:c r="G68" s="27" t="str">
        <x:v>极短收益率存在正/负一阶自相关</x:v>
      </x:c>
      <x:c r="H68" s="27" t="str">
        <x:v>股票/ETF/期货/FX/债券/加密</x:v>
      </x:c>
      <x:c r="I68" s="27" t="str">
        <x:v>30秒-5分钟</x:v>
      </x:c>
      <x:c r="J68" s="27" t="str">
        <x:v>10-60秒重估参数</x:v>
      </x:c>
      <x:c r="K68" s="27" t="str">
        <x:v>returns</x:v>
      </x:c>
      <x:c r="L68" s="27" t="str">
        <x:v>模型预测值或残差超过阈值时开仓</x:v>
      </x:c>
      <x:c r="M68" s="27" t="str">
        <x:v>预测衰减、残差回归、参数不稳定或超时退出</x:v>
      </x:c>
      <x:c r="N68" s="27" t="str">
        <x:v>window, half_life, p_value, shrinkage</x:v>
      </x:c>
      <x:c r="O68" s="27" t="str">
        <x:v>中-高</x:v>
      </x:c>
      <x:c r="P68" s="27" t="str">
        <x:v>低-中</x:v>
      </x:c>
      <x:c r="Q68" s="27" t="str">
        <x:v>过拟合、参数漂移、相关性失效</x:v>
      </x:c>
      <x:c r="R68" s="27" t="str">
        <x:v>滚动训练/测试，禁用未来函数，做稳定性热力图</x:v>
      </x:c>
      <x:c r="S68" s="27" t="str">
        <x:v>arXiv q-fin.TR Trading and Market Microstructure</x:v>
      </x:c>
      <x:c r="T68" s="27" t="str">
        <x:v>https://arxiv.org/list/q-fin.TR/recent</x:v>
      </x:c>
      <x:c r="U68" s="27" t="str"/>
    </x:row>
    <x:row r="69" ht="54" customHeight="1">
      <x:c r="A69" s="27" t="str">
        <x:v>TS068</x:v>
      </x:c>
      <x:c r="B69" s="27" t="str">
        <x:v>时间序列</x:v>
      </x:c>
      <x:c r="C69" s="27" t="str">
        <x:v>统计时间序列/状态空间</x:v>
      </x:c>
      <x:c r="D69" s="27" t="str">
        <x:v>经典</x:v>
      </x:c>
      <x:c r="E69" s="27" t="str">
        <x:v>ARMA残差反转</x:v>
      </x:c>
      <x:c r="F69" s="27" t="str">
        <x:v>ARMA residual reversion</x:v>
      </x:c>
      <x:c r="G69" s="27" t="str">
        <x:v>模型残差极值代表可回归误差</x:v>
      </x:c>
      <x:c r="H69" s="27" t="str">
        <x:v>股票/ETF/期货/FX/债券/加密</x:v>
      </x:c>
      <x:c r="I69" s="27" t="str">
        <x:v>30秒-5分钟</x:v>
      </x:c>
      <x:c r="J69" s="27" t="str">
        <x:v>10-60秒重估参数</x:v>
      </x:c>
      <x:c r="K69" s="27" t="str">
        <x:v>returns</x:v>
      </x:c>
      <x:c r="L69" s="27" t="str">
        <x:v>模型预测值或残差超过阈值时开仓</x:v>
      </x:c>
      <x:c r="M69" s="27" t="str">
        <x:v>预测衰减、残差回归、参数不稳定或超时退出</x:v>
      </x:c>
      <x:c r="N69" s="27" t="str">
        <x:v>window, half_life, p_value, shrinkage</x:v>
      </x:c>
      <x:c r="O69" s="27" t="str">
        <x:v>中-高</x:v>
      </x:c>
      <x:c r="P69" s="27" t="str">
        <x:v>低-中</x:v>
      </x:c>
      <x:c r="Q69" s="27" t="str">
        <x:v>过拟合、参数漂移、相关性失效</x:v>
      </x:c>
      <x:c r="R69" s="27" t="str">
        <x:v>滚动训练/测试，禁用未来函数，做稳定性热力图</x:v>
      </x:c>
      <x:c r="S69" s="27" t="str">
        <x:v>arXiv q-fin.TR Trading and Market Microstructure</x:v>
      </x:c>
      <x:c r="T69" s="27" t="str">
        <x:v>https://arxiv.org/list/q-fin.TR/recent</x:v>
      </x:c>
      <x:c r="U69" s="27" t="str"/>
    </x:row>
    <x:row r="70" ht="54" customHeight="1">
      <x:c r="A70" s="27" t="str">
        <x:v>TS069</x:v>
      </x:c>
      <x:c r="B70" s="27" t="str">
        <x:v>时间序列</x:v>
      </x:c>
      <x:c r="C70" s="27" t="str">
        <x:v>统计时间序列/状态空间</x:v>
      </x:c>
      <x:c r="D70" s="27" t="str">
        <x:v>经典</x:v>
      </x:c>
      <x:c r="E70" s="27" t="str">
        <x:v>ARIMAX订单流预测</x:v>
      </x:c>
      <x:c r="F70" s="27" t="str">
        <x:v>ARIMAX with order flow</x:v>
      </x:c>
      <x:c r="G70" s="27" t="str">
        <x:v>成交方向/量可解释下一短窗收益</x:v>
      </x:c>
      <x:c r="H70" s="27" t="str">
        <x:v>股票/ETF/期货/FX/债券/加密</x:v>
      </x:c>
      <x:c r="I70" s="27" t="str">
        <x:v>30秒-5分钟</x:v>
      </x:c>
      <x:c r="J70" s="27" t="str">
        <x:v>10-60秒重估参数</x:v>
      </x:c>
      <x:c r="K70" s="27" t="str">
        <x:v>returns、order flow</x:v>
      </x:c>
      <x:c r="L70" s="27" t="str">
        <x:v>模型预测值或残差超过阈值时开仓</x:v>
      </x:c>
      <x:c r="M70" s="27" t="str">
        <x:v>预测衰减、残差回归、参数不稳定或超时退出</x:v>
      </x:c>
      <x:c r="N70" s="27" t="str">
        <x:v>window, half_life, p_value, shrinkage</x:v>
      </x:c>
      <x:c r="O70" s="27" t="str">
        <x:v>中-高</x:v>
      </x:c>
      <x:c r="P70" s="27" t="str">
        <x:v>低-中</x:v>
      </x:c>
      <x:c r="Q70" s="27" t="str">
        <x:v>过拟合、参数漂移、相关性失效</x:v>
      </x:c>
      <x:c r="R70" s="27" t="str">
        <x:v>滚动训练/测试，禁用未来函数，做稳定性热力图</x:v>
      </x:c>
      <x:c r="S70" s="27" t="str">
        <x:v>arXiv q-fin.TR Trading and Market Microstructure</x:v>
      </x:c>
      <x:c r="T70" s="27" t="str">
        <x:v>https://arxiv.org/list/q-fin.TR/recent</x:v>
      </x:c>
      <x:c r="U70" s="27" t="str"/>
    </x:row>
    <x:row r="71" ht="54" customHeight="1">
      <x:c r="A71" s="27" t="str">
        <x:v>TS070</x:v>
      </x:c>
      <x:c r="B71" s="27" t="str">
        <x:v>时间序列</x:v>
      </x:c>
      <x:c r="C71" s="27" t="str">
        <x:v>统计时间序列/状态空间</x:v>
      </x:c>
      <x:c r="D71" s="27" t="str">
        <x:v>经典</x:v>
      </x:c>
      <x:c r="E71" s="27" t="str">
        <x:v>VAR跨资产领先滞后</x:v>
      </x:c>
      <x:c r="F71" s="27" t="str">
        <x:v>VAR lead-lag forecast</x:v>
      </x:c>
      <x:c r="G71" s="27" t="str">
        <x:v>多个资产收益存在短时传导</x:v>
      </x:c>
      <x:c r="H71" s="27" t="str">
        <x:v>股票/ETF/期货/FX/债券/加密</x:v>
      </x:c>
      <x:c r="I71" s="27" t="str">
        <x:v>30秒-5分钟</x:v>
      </x:c>
      <x:c r="J71" s="27" t="str">
        <x:v>10-60秒重估参数</x:v>
      </x:c>
      <x:c r="K71" s="27" t="str">
        <x:v>multi-asset returns</x:v>
      </x:c>
      <x:c r="L71" s="27" t="str">
        <x:v>模型预测值或残差超过阈值时开仓</x:v>
      </x:c>
      <x:c r="M71" s="27" t="str">
        <x:v>预测衰减、残差回归、参数不稳定或超时退出</x:v>
      </x:c>
      <x:c r="N71" s="27" t="str">
        <x:v>window, half_life, p_value, shrinkage</x:v>
      </x:c>
      <x:c r="O71" s="27" t="str">
        <x:v>中-高</x:v>
      </x:c>
      <x:c r="P71" s="27" t="str">
        <x:v>低-中</x:v>
      </x:c>
      <x:c r="Q71" s="27" t="str">
        <x:v>过拟合、参数漂移、相关性失效</x:v>
      </x:c>
      <x:c r="R71" s="27" t="str">
        <x:v>滚动训练/测试，禁用未来函数，做稳定性热力图</x:v>
      </x:c>
      <x:c r="S71" s="27" t="str">
        <x:v>arXiv q-fin.TR Trading and Market Microstructure</x:v>
      </x:c>
      <x:c r="T71" s="27" t="str">
        <x:v>https://arxiv.org/list/q-fin.TR/recent</x:v>
      </x:c>
      <x:c r="U71" s="27" t="str"/>
    </x:row>
    <x:row r="72" ht="54" customHeight="1">
      <x:c r="A72" s="27" t="str">
        <x:v>TS071</x:v>
      </x:c>
      <x:c r="B72" s="27" t="str">
        <x:v>时间序列</x:v>
      </x:c>
      <x:c r="C72" s="27" t="str">
        <x:v>统计时间序列/状态空间</x:v>
      </x:c>
      <x:c r="D72" s="27" t="str">
        <x:v>经典</x:v>
      </x:c>
      <x:c r="E72" s="27" t="str">
        <x:v>误差修正微套利</x:v>
      </x:c>
      <x:c r="F72" s="27" t="str">
        <x:v>intraday ECM convergence</x:v>
      </x:c>
      <x:c r="G72" s="27" t="str">
        <x:v>协整资产短时偏离后通过误差修正收敛</x:v>
      </x:c>
      <x:c r="H72" s="27" t="str">
        <x:v>股票/ETF/期货/FX/债券/加密</x:v>
      </x:c>
      <x:c r="I72" s="27" t="str">
        <x:v>30秒-5分钟</x:v>
      </x:c>
      <x:c r="J72" s="27" t="str">
        <x:v>10-60秒重估参数</x:v>
      </x:c>
      <x:c r="K72" s="27" t="str">
        <x:v>pair prices</x:v>
      </x:c>
      <x:c r="L72" s="27" t="str">
        <x:v>模型预测值或残差超过阈值时开仓</x:v>
      </x:c>
      <x:c r="M72" s="27" t="str">
        <x:v>预测衰减、残差回归、参数不稳定或超时退出</x:v>
      </x:c>
      <x:c r="N72" s="27" t="str">
        <x:v>window, half_life, p_value, shrinkage</x:v>
      </x:c>
      <x:c r="O72" s="27" t="str">
        <x:v>中-高</x:v>
      </x:c>
      <x:c r="P72" s="27" t="str">
        <x:v>低-中</x:v>
      </x:c>
      <x:c r="Q72" s="27" t="str">
        <x:v>过拟合、参数漂移、相关性失效</x:v>
      </x:c>
      <x:c r="R72" s="27" t="str">
        <x:v>滚动训练/测试，禁用未来函数，做稳定性热力图</x:v>
      </x:c>
      <x:c r="S72" s="27" t="str">
        <x:v>arXiv q-fin.TR Trading and Market Microstructure</x:v>
      </x:c>
      <x:c r="T72" s="27" t="str">
        <x:v>https://arxiv.org/list/q-fin.TR/recent</x:v>
      </x:c>
      <x:c r="U72" s="27" t="str"/>
    </x:row>
    <x:row r="73" ht="54" customHeight="1">
      <x:c r="A73" s="27" t="str">
        <x:v>TS072</x:v>
      </x:c>
      <x:c r="B73" s="27" t="str">
        <x:v>时间序列</x:v>
      </x:c>
      <x:c r="C73" s="27" t="str">
        <x:v>统计时间序列/状态空间</x:v>
      </x:c>
      <x:c r="D73" s="27" t="str">
        <x:v>经典</x:v>
      </x:c>
      <x:c r="E73" s="27" t="str">
        <x:v>卡尔曼动态beta残差</x:v>
      </x:c>
      <x:c r="F73" s="27" t="str">
        <x:v>Kalman dynamic beta residual</x:v>
      </x:c>
      <x:c r="G73" s="27" t="str">
        <x:v>动态对冲比率下的残差更适合短线回归</x:v>
      </x:c>
      <x:c r="H73" s="27" t="str">
        <x:v>股票/ETF/期货/FX/债券/加密</x:v>
      </x:c>
      <x:c r="I73" s="27" t="str">
        <x:v>30秒-5分钟</x:v>
      </x:c>
      <x:c r="J73" s="27" t="str">
        <x:v>10-60秒重估参数</x:v>
      </x:c>
      <x:c r="K73" s="27" t="str">
        <x:v>pairs, Kalman beta</x:v>
      </x:c>
      <x:c r="L73" s="27" t="str">
        <x:v>模型预测值或残差超过阈值时开仓</x:v>
      </x:c>
      <x:c r="M73" s="27" t="str">
        <x:v>预测衰减、残差回归、参数不稳定或超时退出</x:v>
      </x:c>
      <x:c r="N73" s="27" t="str">
        <x:v>window, half_life, p_value, shrinkage</x:v>
      </x:c>
      <x:c r="O73" s="27" t="str">
        <x:v>中-高</x:v>
      </x:c>
      <x:c r="P73" s="27" t="str">
        <x:v>低-中</x:v>
      </x:c>
      <x:c r="Q73" s="27" t="str">
        <x:v>过拟合、参数漂移、相关性失效</x:v>
      </x:c>
      <x:c r="R73" s="27" t="str">
        <x:v>滚动训练/测试，禁用未来函数，做稳定性热力图</x:v>
      </x:c>
      <x:c r="S73" s="27" t="str">
        <x:v>arXiv q-fin.TR Trading and Market Microstructure</x:v>
      </x:c>
      <x:c r="T73" s="27" t="str">
        <x:v>https://arxiv.org/list/q-fin.TR/recent</x:v>
      </x:c>
      <x:c r="U73" s="27" t="str"/>
    </x:row>
    <x:row r="74" ht="54" customHeight="1">
      <x:c r="A74" s="27" t="str">
        <x:v>TS073</x:v>
      </x:c>
      <x:c r="B74" s="27" t="str">
        <x:v>时间序列</x:v>
      </x:c>
      <x:c r="C74" s="27" t="str">
        <x:v>统计时间序列/状态空间</x:v>
      </x:c>
      <x:c r="D74" s="27" t="str">
        <x:v>经典</x:v>
      </x:c>
      <x:c r="E74" s="27" t="str">
        <x:v>局部线性趋势滤波</x:v>
      </x:c>
      <x:c r="F74" s="27" t="str">
        <x:v>local linear trend filter</x:v>
      </x:c>
      <x:c r="G74" s="27" t="str">
        <x:v>状态空间模型可拆分噪声与趋势</x:v>
      </x:c>
      <x:c r="H74" s="27" t="str">
        <x:v>股票/ETF/期货/FX/债券/加密</x:v>
      </x:c>
      <x:c r="I74" s="27" t="str">
        <x:v>30秒-5分钟</x:v>
      </x:c>
      <x:c r="J74" s="27" t="str">
        <x:v>10-60秒重估参数</x:v>
      </x:c>
      <x:c r="K74" s="27" t="str">
        <x:v>returns/price</x:v>
      </x:c>
      <x:c r="L74" s="27" t="str">
        <x:v>模型预测值或残差超过阈值时开仓</x:v>
      </x:c>
      <x:c r="M74" s="27" t="str">
        <x:v>预测衰减、残差回归、参数不稳定或超时退出</x:v>
      </x:c>
      <x:c r="N74" s="27" t="str">
        <x:v>window, half_life, p_value, shrinkage</x:v>
      </x:c>
      <x:c r="O74" s="27" t="str">
        <x:v>中-高</x:v>
      </x:c>
      <x:c r="P74" s="27" t="str">
        <x:v>低-中</x:v>
      </x:c>
      <x:c r="Q74" s="27" t="str">
        <x:v>过拟合、参数漂移、相关性失效</x:v>
      </x:c>
      <x:c r="R74" s="27" t="str">
        <x:v>滚动训练/测试，禁用未来函数，做稳定性热力图</x:v>
      </x:c>
      <x:c r="S74" s="27" t="str">
        <x:v>arXiv q-fin.TR Trading and Market Microstructure</x:v>
      </x:c>
      <x:c r="T74" s="27" t="str">
        <x:v>https://arxiv.org/list/q-fin.TR/recent</x:v>
      </x:c>
      <x:c r="U74" s="27" t="str"/>
    </x:row>
    <x:row r="75" ht="54" customHeight="1">
      <x:c r="A75" s="27" t="str">
        <x:v>TS074</x:v>
      </x:c>
      <x:c r="B75" s="27" t="str">
        <x:v>时间序列</x:v>
      </x:c>
      <x:c r="C75" s="27" t="str">
        <x:v>统计时间序列/状态空间</x:v>
      </x:c>
      <x:c r="D75" s="27" t="str">
        <x:v>经典</x:v>
      </x:c>
      <x:c r="E75" s="27" t="str">
        <x:v>贝叶斯在线回归</x:v>
      </x:c>
      <x:c r="F75" s="27" t="str">
        <x:v>Bayesian online regression</x:v>
      </x:c>
      <x:c r="G75" s="27" t="str">
        <x:v>参数随市场状态递推更新比固定参数稳健</x:v>
      </x:c>
      <x:c r="H75" s="27" t="str">
        <x:v>股票/ETF/期货/FX/债券/加密</x:v>
      </x:c>
      <x:c r="I75" s="27" t="str">
        <x:v>30秒-5分钟</x:v>
      </x:c>
      <x:c r="J75" s="27" t="str">
        <x:v>10-60秒重估参数</x:v>
      </x:c>
      <x:c r="K75" s="27" t="str">
        <x:v>features、returns</x:v>
      </x:c>
      <x:c r="L75" s="27" t="str">
        <x:v>模型预测值或残差超过阈值时开仓</x:v>
      </x:c>
      <x:c r="M75" s="27" t="str">
        <x:v>预测衰减、残差回归、参数不稳定或超时退出</x:v>
      </x:c>
      <x:c r="N75" s="27" t="str">
        <x:v>window, half_life, p_value, shrinkage</x:v>
      </x:c>
      <x:c r="O75" s="27" t="str">
        <x:v>中-高</x:v>
      </x:c>
      <x:c r="P75" s="27" t="str">
        <x:v>低-中</x:v>
      </x:c>
      <x:c r="Q75" s="27" t="str">
        <x:v>过拟合、参数漂移、相关性失效</x:v>
      </x:c>
      <x:c r="R75" s="27" t="str">
        <x:v>滚动训练/测试，禁用未来函数，做稳定性热力图</x:v>
      </x:c>
      <x:c r="S75" s="27" t="str">
        <x:v>arXiv q-fin.TR Trading and Market Microstructure</x:v>
      </x:c>
      <x:c r="T75" s="27" t="str">
        <x:v>https://arxiv.org/list/q-fin.TR/recent</x:v>
      </x:c>
      <x:c r="U75" s="27" t="str"/>
    </x:row>
    <x:row r="76" ht="54" customHeight="1">
      <x:c r="A76" s="27" t="str">
        <x:v>TS075</x:v>
      </x:c>
      <x:c r="B76" s="27" t="str">
        <x:v>时间序列</x:v>
      </x:c>
      <x:c r="C76" s="27" t="str">
        <x:v>统计时间序列/状态空间</x:v>
      </x:c>
      <x:c r="D76" s="27" t="str">
        <x:v>经典</x:v>
      </x:c>
      <x:c r="E76" s="27" t="str">
        <x:v>分位数回归短线预测</x:v>
      </x:c>
      <x:c r="F76" s="27" t="str">
        <x:v>quantile regression forecast</x:v>
      </x:c>
      <x:c r="G76" s="27" t="str">
        <x:v>预测尾部收益而非均值更适合短线风险控制</x:v>
      </x:c>
      <x:c r="H76" s="27" t="str">
        <x:v>股票/ETF/期货/FX/债券/加密</x:v>
      </x:c>
      <x:c r="I76" s="27" t="str">
        <x:v>30秒-5分钟</x:v>
      </x:c>
      <x:c r="J76" s="27" t="str">
        <x:v>10-60秒重估参数</x:v>
      </x:c>
      <x:c r="K76" s="27" t="str">
        <x:v>features、returns</x:v>
      </x:c>
      <x:c r="L76" s="27" t="str">
        <x:v>模型预测值或残差超过阈值时开仓</x:v>
      </x:c>
      <x:c r="M76" s="27" t="str">
        <x:v>预测衰减、残差回归、参数不稳定或超时退出</x:v>
      </x:c>
      <x:c r="N76" s="27" t="str">
        <x:v>window, half_life, p_value, shrinkage</x:v>
      </x:c>
      <x:c r="O76" s="27" t="str">
        <x:v>中-高</x:v>
      </x:c>
      <x:c r="P76" s="27" t="str">
        <x:v>低-中</x:v>
      </x:c>
      <x:c r="Q76" s="27" t="str">
        <x:v>过拟合、参数漂移、相关性失效</x:v>
      </x:c>
      <x:c r="R76" s="27" t="str">
        <x:v>滚动训练/测试，禁用未来函数，做稳定性热力图</x:v>
      </x:c>
      <x:c r="S76" s="27" t="str">
        <x:v>arXiv q-fin.TR Trading and Market Microstructure</x:v>
      </x:c>
      <x:c r="T76" s="27" t="str">
        <x:v>https://arxiv.org/list/q-fin.TR/recent</x:v>
      </x:c>
      <x:c r="U76" s="27" t="str"/>
    </x:row>
    <x:row r="77" ht="54" customHeight="1">
      <x:c r="A77" s="27" t="str">
        <x:v>TS076</x:v>
      </x:c>
      <x:c r="B77" s="27" t="str">
        <x:v>时间序列</x:v>
      </x:c>
      <x:c r="C77" s="27" t="str">
        <x:v>统计时间序列/状态空间</x:v>
      </x:c>
      <x:c r="D77" s="27" t="str">
        <x:v>经典</x:v>
      </x:c>
      <x:c r="E77" s="27" t="str">
        <x:v>滚动Granger领先信号</x:v>
      </x:c>
      <x:c r="F77" s="27" t="str">
        <x:v>rolling Granger lead-lag</x:v>
      </x:c>
      <x:c r="G77" s="27" t="str">
        <x:v>领先关系随时间变化，需滚动检验</x:v>
      </x:c>
      <x:c r="H77" s="27" t="str">
        <x:v>股票/ETF/期货/FX/债券/加密</x:v>
      </x:c>
      <x:c r="I77" s="27" t="str">
        <x:v>30秒-5分钟</x:v>
      </x:c>
      <x:c r="J77" s="27" t="str">
        <x:v>10-60秒重估参数</x:v>
      </x:c>
      <x:c r="K77" s="27" t="str">
        <x:v>multi-asset returns</x:v>
      </x:c>
      <x:c r="L77" s="27" t="str">
        <x:v>模型预测值或残差超过阈值时开仓</x:v>
      </x:c>
      <x:c r="M77" s="27" t="str">
        <x:v>预测衰减、残差回归、参数不稳定或超时退出</x:v>
      </x:c>
      <x:c r="N77" s="27" t="str">
        <x:v>window, half_life, p_value, shrinkage</x:v>
      </x:c>
      <x:c r="O77" s="27" t="str">
        <x:v>中-高</x:v>
      </x:c>
      <x:c r="P77" s="27" t="str">
        <x:v>低-中</x:v>
      </x:c>
      <x:c r="Q77" s="27" t="str">
        <x:v>过拟合、参数漂移、相关性失效</x:v>
      </x:c>
      <x:c r="R77" s="27" t="str">
        <x:v>滚动训练/测试，禁用未来函数，做稳定性热力图</x:v>
      </x:c>
      <x:c r="S77" s="27" t="str">
        <x:v>arXiv q-fin.TR Trading and Market Microstructure</x:v>
      </x:c>
      <x:c r="T77" s="27" t="str">
        <x:v>https://arxiv.org/list/q-fin.TR/recent</x:v>
      </x:c>
      <x:c r="U77" s="27" t="str"/>
    </x:row>
    <x:row r="78" ht="54" customHeight="1">
      <x:c r="A78" s="27" t="str">
        <x:v>TS077</x:v>
      </x:c>
      <x:c r="B78" s="27" t="str">
        <x:v>时间序列</x:v>
      </x:c>
      <x:c r="C78" s="27" t="str">
        <x:v>统计时间序列/状态空间</x:v>
      </x:c>
      <x:c r="D78" s="27" t="str">
        <x:v>经典</x:v>
      </x:c>
      <x:c r="E78" s="27" t="str">
        <x:v>Hurst指数趋势/反转切换</x:v>
      </x:c>
      <x:c r="F78" s="27" t="str">
        <x:v>Hurst regime switch</x:v>
      </x:c>
      <x:c r="G78" s="27" t="str">
        <x:v>H&gt;0.5偏趋势，H&lt;0.5偏反转</x:v>
      </x:c>
      <x:c r="H78" s="27" t="str">
        <x:v>股票/ETF/期货/FX/债券/加密</x:v>
      </x:c>
      <x:c r="I78" s="27" t="str">
        <x:v>30秒-5分钟</x:v>
      </x:c>
      <x:c r="J78" s="27" t="str">
        <x:v>10-60秒重估参数</x:v>
      </x:c>
      <x:c r="K78" s="27" t="str">
        <x:v>price series</x:v>
      </x:c>
      <x:c r="L78" s="27" t="str">
        <x:v>模型预测值或残差超过阈值时开仓</x:v>
      </x:c>
      <x:c r="M78" s="27" t="str">
        <x:v>预测衰减、残差回归、参数不稳定或超时退出</x:v>
      </x:c>
      <x:c r="N78" s="27" t="str">
        <x:v>window, half_life, p_value, shrinkage</x:v>
      </x:c>
      <x:c r="O78" s="27" t="str">
        <x:v>中-高</x:v>
      </x:c>
      <x:c r="P78" s="27" t="str">
        <x:v>低-中</x:v>
      </x:c>
      <x:c r="Q78" s="27" t="str">
        <x:v>过拟合、参数漂移、相关性失效</x:v>
      </x:c>
      <x:c r="R78" s="27" t="str">
        <x:v>滚动训练/测试，禁用未来函数，做稳定性热力图</x:v>
      </x:c>
      <x:c r="S78" s="27" t="str">
        <x:v>arXiv q-fin.TR Trading and Market Microstructure</x:v>
      </x:c>
      <x:c r="T78" s="27" t="str">
        <x:v>https://arxiv.org/list/q-fin.TR/recent</x:v>
      </x:c>
      <x:c r="U78" s="27" t="str"/>
    </x:row>
    <x:row r="79" ht="54" customHeight="1">
      <x:c r="A79" s="27" t="str">
        <x:v>TS078</x:v>
      </x:c>
      <x:c r="B79" s="27" t="str">
        <x:v>时间序列</x:v>
      </x:c>
      <x:c r="C79" s="27" t="str">
        <x:v>统计时间序列/状态空间</x:v>
      </x:c>
      <x:c r="D79" s="27" t="str">
        <x:v>经典</x:v>
      </x:c>
      <x:c r="E79" s="27" t="str">
        <x:v>ADF残差稳定过滤</x:v>
      </x:c>
      <x:c r="F79" s="27" t="str">
        <x:v>ADF-filtered residual trading</x:v>
      </x:c>
      <x:c r="G79" s="27" t="str">
        <x:v>只有残差平稳时才交易均值回归</x:v>
      </x:c>
      <x:c r="H79" s="27" t="str">
        <x:v>股票/ETF/期货/FX/债券/加密</x:v>
      </x:c>
      <x:c r="I79" s="27" t="str">
        <x:v>30秒-5分钟</x:v>
      </x:c>
      <x:c r="J79" s="27" t="str">
        <x:v>10-60秒重估参数</x:v>
      </x:c>
      <x:c r="K79" s="27" t="str">
        <x:v>pair residual</x:v>
      </x:c>
      <x:c r="L79" s="27" t="str">
        <x:v>模型预测值或残差超过阈值时开仓</x:v>
      </x:c>
      <x:c r="M79" s="27" t="str">
        <x:v>预测衰减、残差回归、参数不稳定或超时退出</x:v>
      </x:c>
      <x:c r="N79" s="27" t="str">
        <x:v>window, half_life, p_value, shrinkage</x:v>
      </x:c>
      <x:c r="O79" s="27" t="str">
        <x:v>中-高</x:v>
      </x:c>
      <x:c r="P79" s="27" t="str">
        <x:v>低-中</x:v>
      </x:c>
      <x:c r="Q79" s="27" t="str">
        <x:v>过拟合、参数漂移、相关性失效</x:v>
      </x:c>
      <x:c r="R79" s="27" t="str">
        <x:v>滚动训练/测试，禁用未来函数，做稳定性热力图</x:v>
      </x:c>
      <x:c r="S79" s="27" t="str">
        <x:v>arXiv q-fin.TR Trading and Market Microstructure</x:v>
      </x:c>
      <x:c r="T79" s="27" t="str">
        <x:v>https://arxiv.org/list/q-fin.TR/recent</x:v>
      </x:c>
      <x:c r="U79" s="27" t="str"/>
    </x:row>
    <x:row r="80" ht="54" customHeight="1">
      <x:c r="A80" s="27" t="str">
        <x:v>TS079</x:v>
      </x:c>
      <x:c r="B80" s="27" t="str">
        <x:v>时间序列</x:v>
      </x:c>
      <x:c r="C80" s="27" t="str">
        <x:v>统计时间序列/状态空间</x:v>
      </x:c>
      <x:c r="D80" s="27" t="str">
        <x:v>经典</x:v>
      </x:c>
      <x:c r="E80" s="27" t="str">
        <x:v>小波去噪动量</x:v>
      </x:c>
      <x:c r="F80" s="27" t="str">
        <x:v>wavelet denoised momentum</x:v>
      </x:c>
      <x:c r="G80" s="27" t="str">
        <x:v>小波分解可去除秒级噪声提升趋势信号</x:v>
      </x:c>
      <x:c r="H80" s="27" t="str">
        <x:v>股票/ETF/期货/FX/债券/加密</x:v>
      </x:c>
      <x:c r="I80" s="27" t="str">
        <x:v>30秒-5分钟</x:v>
      </x:c>
      <x:c r="J80" s="27" t="str">
        <x:v>10-60秒重估参数</x:v>
      </x:c>
      <x:c r="K80" s="27" t="str">
        <x:v>tick/bar price</x:v>
      </x:c>
      <x:c r="L80" s="27" t="str">
        <x:v>模型预测值或残差超过阈值时开仓</x:v>
      </x:c>
      <x:c r="M80" s="27" t="str">
        <x:v>预测衰减、残差回归、参数不稳定或超时退出</x:v>
      </x:c>
      <x:c r="N80" s="27" t="str">
        <x:v>window, half_life, p_value, shrinkage</x:v>
      </x:c>
      <x:c r="O80" s="27" t="str">
        <x:v>中-高</x:v>
      </x:c>
      <x:c r="P80" s="27" t="str">
        <x:v>低-中</x:v>
      </x:c>
      <x:c r="Q80" s="27" t="str">
        <x:v>过拟合、参数漂移、相关性失效</x:v>
      </x:c>
      <x:c r="R80" s="27" t="str">
        <x:v>滚动训练/测试，禁用未来函数，做稳定性热力图</x:v>
      </x:c>
      <x:c r="S80" s="27" t="str">
        <x:v>arXiv q-fin.TR Trading and Market Microstructure</x:v>
      </x:c>
      <x:c r="T80" s="27" t="str">
        <x:v>https://arxiv.org/list/q-fin.TR/recent</x:v>
      </x:c>
      <x:c r="U80" s="27" t="str"/>
    </x:row>
    <x:row r="81" ht="54" customHeight="1">
      <x:c r="A81" s="27" t="str">
        <x:v>TS080</x:v>
      </x:c>
      <x:c r="B81" s="27" t="str">
        <x:v>时间序列</x:v>
      </x:c>
      <x:c r="C81" s="27" t="str">
        <x:v>统计时间序列/状态空间</x:v>
      </x:c>
      <x:c r="D81" s="27" t="str">
        <x:v>经典</x:v>
      </x:c>
      <x:c r="E81" s="27" t="str">
        <x:v>SSA奇异谱短趋势</x:v>
      </x:c>
      <x:c r="F81" s="27" t="str">
        <x:v>singular spectrum micro trend</x:v>
      </x:c>
      <x:c r="G81" s="27" t="str">
        <x:v>SSA提取短线主成分趋势</x:v>
      </x:c>
      <x:c r="H81" s="27" t="str">
        <x:v>股票/ETF/期货/FX/债券/加密</x:v>
      </x:c>
      <x:c r="I81" s="27" t="str">
        <x:v>30秒-5分钟</x:v>
      </x:c>
      <x:c r="J81" s="27" t="str">
        <x:v>10-60秒重估参数</x:v>
      </x:c>
      <x:c r="K81" s="27" t="str">
        <x:v>price series</x:v>
      </x:c>
      <x:c r="L81" s="27" t="str">
        <x:v>模型预测值或残差超过阈值时开仓</x:v>
      </x:c>
      <x:c r="M81" s="27" t="str">
        <x:v>预测衰减、残差回归、参数不稳定或超时退出</x:v>
      </x:c>
      <x:c r="N81" s="27" t="str">
        <x:v>window, half_life, p_value, shrinkage</x:v>
      </x:c>
      <x:c r="O81" s="27" t="str">
        <x:v>中-高</x:v>
      </x:c>
      <x:c r="P81" s="27" t="str">
        <x:v>低-中</x:v>
      </x:c>
      <x:c r="Q81" s="27" t="str">
        <x:v>过拟合、参数漂移、相关性失效</x:v>
      </x:c>
      <x:c r="R81" s="27" t="str">
        <x:v>滚动训练/测试，禁用未来函数，做稳定性热力图</x:v>
      </x:c>
      <x:c r="S81" s="27" t="str">
        <x:v>arXiv q-fin.TR Trading and Market Microstructure</x:v>
      </x:c>
      <x:c r="T81" s="27" t="str">
        <x:v>https://arxiv.org/list/q-fin.TR/recent</x:v>
      </x:c>
      <x:c r="U81" s="27" t="str"/>
    </x:row>
    <x:row r="82" ht="54" customHeight="1">
      <x:c r="A82" s="27" t="str">
        <x:v>TS081</x:v>
      </x:c>
      <x:c r="B82" s="27" t="str">
        <x:v>时间序列</x:v>
      </x:c>
      <x:c r="C82" s="27" t="str">
        <x:v>统计时间序列/状态空间</x:v>
      </x:c>
      <x:c r="D82" s="27" t="str">
        <x:v>新兴</x:v>
      </x:c>
      <x:c r="E82" s="27" t="str">
        <x:v>频域周期剥头皮</x:v>
      </x:c>
      <x:c r="F82" s="27" t="str">
        <x:v>frequency-domain cycle scalping</x:v>
      </x:c>
      <x:c r="G82" s="27" t="str">
        <x:v>短时周期成分可驱动进出</x:v>
      </x:c>
      <x:c r="H82" s="27" t="str">
        <x:v>股票/ETF/期货/FX/债券/加密</x:v>
      </x:c>
      <x:c r="I82" s="27" t="str">
        <x:v>30秒-5分钟</x:v>
      </x:c>
      <x:c r="J82" s="27" t="str">
        <x:v>10-60秒重估参数</x:v>
      </x:c>
      <x:c r="K82" s="27" t="str">
        <x:v>intraday price</x:v>
      </x:c>
      <x:c r="L82" s="27" t="str">
        <x:v>模型预测值或残差超过阈值时开仓</x:v>
      </x:c>
      <x:c r="M82" s="27" t="str">
        <x:v>预测衰减、残差回归、参数不稳定或超时退出</x:v>
      </x:c>
      <x:c r="N82" s="27" t="str">
        <x:v>window, half_life, p_value, shrinkage</x:v>
      </x:c>
      <x:c r="O82" s="27" t="str">
        <x:v>中-高</x:v>
      </x:c>
      <x:c r="P82" s="27" t="str">
        <x:v>低-中</x:v>
      </x:c>
      <x:c r="Q82" s="27" t="str">
        <x:v>过拟合、参数漂移、相关性失效</x:v>
      </x:c>
      <x:c r="R82" s="27" t="str">
        <x:v>滚动训练/测试，禁用未来函数，做稳定性热力图</x:v>
      </x:c>
      <x:c r="S82" s="27" t="str">
        <x:v>arXiv q-fin.TR Trading and Market Microstructure</x:v>
      </x:c>
      <x:c r="T82" s="27" t="str">
        <x:v>https://arxiv.org/list/q-fin.TR/recent</x:v>
      </x:c>
      <x:c r="U82" s="27" t="str"/>
    </x:row>
    <x:row r="83" ht="54" customHeight="1">
      <x:c r="A83" s="27" t="str">
        <x:v>TS082</x:v>
      </x:c>
      <x:c r="B83" s="27" t="str">
        <x:v>时间序列</x:v>
      </x:c>
      <x:c r="C83" s="27" t="str">
        <x:v>统计时间序列/状态空间</x:v>
      </x:c>
      <x:c r="D83" s="27" t="str">
        <x:v>新兴</x:v>
      </x:c>
      <x:c r="E83" s="27" t="str">
        <x:v>高频分形维度过滤</x:v>
      </x:c>
      <x:c r="F83" s="27" t="str">
        <x:v>fractal dimension filter</x:v>
      </x:c>
      <x:c r="G83" s="27" t="str">
        <x:v>分形维度低时趋势更强，高时噪声更多</x:v>
      </x:c>
      <x:c r="H83" s="27" t="str">
        <x:v>股票/ETF/期货/FX/债券/加密</x:v>
      </x:c>
      <x:c r="I83" s="27" t="str">
        <x:v>30秒-5分钟</x:v>
      </x:c>
      <x:c r="J83" s="27" t="str">
        <x:v>10-60秒重估参数</x:v>
      </x:c>
      <x:c r="K83" s="27" t="str">
        <x:v>price path</x:v>
      </x:c>
      <x:c r="L83" s="27" t="str">
        <x:v>模型预测值或残差超过阈值时开仓</x:v>
      </x:c>
      <x:c r="M83" s="27" t="str">
        <x:v>预测衰减、残差回归、参数不稳定或超时退出</x:v>
      </x:c>
      <x:c r="N83" s="27" t="str">
        <x:v>window, half_life, p_value, shrinkage</x:v>
      </x:c>
      <x:c r="O83" s="27" t="str">
        <x:v>中-高</x:v>
      </x:c>
      <x:c r="P83" s="27" t="str">
        <x:v>低-中</x:v>
      </x:c>
      <x:c r="Q83" s="27" t="str">
        <x:v>过拟合、参数漂移、相关性失效</x:v>
      </x:c>
      <x:c r="R83" s="27" t="str">
        <x:v>滚动训练/测试，禁用未来函数，做稳定性热力图</x:v>
      </x:c>
      <x:c r="S83" s="27" t="str">
        <x:v>arXiv q-fin.TR Trading and Market Microstructure</x:v>
      </x:c>
      <x:c r="T83" s="27" t="str">
        <x:v>https://arxiv.org/list/q-fin.TR/recent</x:v>
      </x:c>
      <x:c r="U83" s="27" t="str"/>
    </x:row>
    <x:row r="84" ht="54" customHeight="1">
      <x:c r="A84" s="27" t="str">
        <x:v>TS083</x:v>
      </x:c>
      <x:c r="B84" s="27" t="str">
        <x:v>时间序列</x:v>
      </x:c>
      <x:c r="C84" s="27" t="str">
        <x:v>统计时间序列/状态空间</x:v>
      </x:c>
      <x:c r="D84" s="27" t="str">
        <x:v>新兴</x:v>
      </x:c>
      <x:c r="E84" s="27" t="str">
        <x:v>在线change-point切换</x:v>
      </x:c>
      <x:c r="F84" s="27" t="str">
        <x:v>online change-point switching</x:v>
      </x:c>
      <x:c r="G84" s="27" t="str">
        <x:v>检测统计结构突变后切换策略</x:v>
      </x:c>
      <x:c r="H84" s="27" t="str">
        <x:v>股票/ETF/期货/FX/债券/加密</x:v>
      </x:c>
      <x:c r="I84" s="27" t="str">
        <x:v>30秒-5分钟</x:v>
      </x:c>
      <x:c r="J84" s="27" t="str">
        <x:v>10-60秒重估参数</x:v>
      </x:c>
      <x:c r="K84" s="27" t="str">
        <x:v>returns/features</x:v>
      </x:c>
      <x:c r="L84" s="27" t="str">
        <x:v>模型预测值或残差超过阈值时开仓</x:v>
      </x:c>
      <x:c r="M84" s="27" t="str">
        <x:v>预测衰减、残差回归、参数不稳定或超时退出</x:v>
      </x:c>
      <x:c r="N84" s="27" t="str">
        <x:v>window, half_life, p_value, shrinkage</x:v>
      </x:c>
      <x:c r="O84" s="27" t="str">
        <x:v>中-高</x:v>
      </x:c>
      <x:c r="P84" s="27" t="str">
        <x:v>低-中</x:v>
      </x:c>
      <x:c r="Q84" s="27" t="str">
        <x:v>过拟合、参数漂移、相关性失效</x:v>
      </x:c>
      <x:c r="R84" s="27" t="str">
        <x:v>滚动训练/测试，禁用未来函数，做稳定性热力图</x:v>
      </x:c>
      <x:c r="S84" s="27" t="str">
        <x:v>arXiv q-fin.TR Trading and Market Microstructure</x:v>
      </x:c>
      <x:c r="T84" s="27" t="str">
        <x:v>https://arxiv.org/list/q-fin.TR/recent</x:v>
      </x:c>
      <x:c r="U84" s="27" t="str"/>
    </x:row>
    <x:row r="85" ht="54" customHeight="1">
      <x:c r="A85" s="27" t="str">
        <x:v>TS084</x:v>
      </x:c>
      <x:c r="B85" s="27" t="str">
        <x:v>时间序列</x:v>
      </x:c>
      <x:c r="C85" s="27" t="str">
        <x:v>统计时间序列/状态空间</x:v>
      </x:c>
      <x:c r="D85" s="27" t="str">
        <x:v>新兴</x:v>
      </x:c>
      <x:c r="E85" s="27" t="str">
        <x:v>贝叶斯结构时间序列</x:v>
      </x:c>
      <x:c r="F85" s="27" t="str">
        <x:v>Bayesian structural time-series</x:v>
      </x:c>
      <x:c r="G85" s="27" t="str">
        <x:v>季节/趋势/噪声分量可在线估计</x:v>
      </x:c>
      <x:c r="H85" s="27" t="str">
        <x:v>股票/ETF/期货/FX/债券/加密</x:v>
      </x:c>
      <x:c r="I85" s="27" t="str">
        <x:v>30秒-5分钟</x:v>
      </x:c>
      <x:c r="J85" s="27" t="str">
        <x:v>10-60秒重估参数</x:v>
      </x:c>
      <x:c r="K85" s="27" t="str">
        <x:v>intraday bars</x:v>
      </x:c>
      <x:c r="L85" s="27" t="str">
        <x:v>模型预测值或残差超过阈值时开仓</x:v>
      </x:c>
      <x:c r="M85" s="27" t="str">
        <x:v>预测衰减、残差回归、参数不稳定或超时退出</x:v>
      </x:c>
      <x:c r="N85" s="27" t="str">
        <x:v>window, half_life, p_value, shrinkage</x:v>
      </x:c>
      <x:c r="O85" s="27" t="str">
        <x:v>中-高</x:v>
      </x:c>
      <x:c r="P85" s="27" t="str">
        <x:v>低-中</x:v>
      </x:c>
      <x:c r="Q85" s="27" t="str">
        <x:v>过拟合、参数漂移、相关性失效</x:v>
      </x:c>
      <x:c r="R85" s="27" t="str">
        <x:v>滚动训练/测试，禁用未来函数，做稳定性热力图</x:v>
      </x:c>
      <x:c r="S85" s="27" t="str">
        <x:v>arXiv q-fin.TR Trading and Market Microstructure</x:v>
      </x:c>
      <x:c r="T85" s="27" t="str">
        <x:v>https://arxiv.org/list/q-fin.TR/recent</x:v>
      </x:c>
      <x:c r="U85" s="27" t="str"/>
    </x:row>
    <x:row r="86" ht="54" customHeight="1">
      <x:c r="A86" s="27" t="str">
        <x:v>TS085</x:v>
      </x:c>
      <x:c r="B86" s="27" t="str">
        <x:v>时间序列</x:v>
      </x:c>
      <x:c r="C86" s="27" t="str">
        <x:v>统计时间序列/状态空间</x:v>
      </x:c>
      <x:c r="D86" s="27" t="str">
        <x:v>新兴</x:v>
      </x:c>
      <x:c r="E86" s="27" t="str">
        <x:v>Copula短窗尾部联动</x:v>
      </x:c>
      <x:c r="F86" s="27" t="str">
        <x:v>copula tail co-movement</x:v>
      </x:c>
      <x:c r="G86" s="27" t="str">
        <x:v>尾部相关突变可预测联动资产反应</x:v>
      </x:c>
      <x:c r="H86" s="27" t="str">
        <x:v>股票/ETF/期货/FX/债券/加密</x:v>
      </x:c>
      <x:c r="I86" s="27" t="str">
        <x:v>30秒-5分钟</x:v>
      </x:c>
      <x:c r="J86" s="27" t="str">
        <x:v>10-60秒重估参数</x:v>
      </x:c>
      <x:c r="K86" s="27" t="str">
        <x:v>multi-asset returns</x:v>
      </x:c>
      <x:c r="L86" s="27" t="str">
        <x:v>模型预测值或残差超过阈值时开仓</x:v>
      </x:c>
      <x:c r="M86" s="27" t="str">
        <x:v>预测衰减、残差回归、参数不稳定或超时退出</x:v>
      </x:c>
      <x:c r="N86" s="27" t="str">
        <x:v>window, half_life, p_value, shrinkage</x:v>
      </x:c>
      <x:c r="O86" s="27" t="str">
        <x:v>中-高</x:v>
      </x:c>
      <x:c r="P86" s="27" t="str">
        <x:v>低-中</x:v>
      </x:c>
      <x:c r="Q86" s="27" t="str">
        <x:v>过拟合、参数漂移、相关性失效</x:v>
      </x:c>
      <x:c r="R86" s="27" t="str">
        <x:v>滚动训练/测试，禁用未来函数，做稳定性热力图</x:v>
      </x:c>
      <x:c r="S86" s="27" t="str">
        <x:v>arXiv q-fin.TR Trading and Market Microstructure</x:v>
      </x:c>
      <x:c r="T86" s="27" t="str">
        <x:v>https://arxiv.org/list/q-fin.TR/recent</x:v>
      </x:c>
      <x:c r="U86" s="27" t="str"/>
    </x:row>
    <x:row r="87" ht="54" customHeight="1">
      <x:c r="A87" s="27" t="str">
        <x:v>TS086</x:v>
      </x:c>
      <x:c r="B87" s="27" t="str">
        <x:v>时间序列</x:v>
      </x:c>
      <x:c r="C87" s="27" t="str">
        <x:v>统计时间序列/状态空间</x:v>
      </x:c>
      <x:c r="D87" s="27" t="str">
        <x:v>新兴</x:v>
      </x:c>
      <x:c r="E87" s="27" t="str">
        <x:v>动态相关收敛交易</x:v>
      </x:c>
      <x:c r="F87" s="27" t="str">
        <x:v>DCC correlation convergence</x:v>
      </x:c>
      <x:c r="G87" s="27" t="str">
        <x:v>动态相关偏离长期状态时可做对冲收敛</x:v>
      </x:c>
      <x:c r="H87" s="27" t="str">
        <x:v>股票/ETF/期货/FX/债券/加密</x:v>
      </x:c>
      <x:c r="I87" s="27" t="str">
        <x:v>30秒-5分钟</x:v>
      </x:c>
      <x:c r="J87" s="27" t="str">
        <x:v>10-60秒重估参数</x:v>
      </x:c>
      <x:c r="K87" s="27" t="str">
        <x:v>pairs/multi assets</x:v>
      </x:c>
      <x:c r="L87" s="27" t="str">
        <x:v>模型预测值或残差超过阈值时开仓</x:v>
      </x:c>
      <x:c r="M87" s="27" t="str">
        <x:v>预测衰减、残差回归、参数不稳定或超时退出</x:v>
      </x:c>
      <x:c r="N87" s="27" t="str">
        <x:v>window, half_life, p_value, shrinkage</x:v>
      </x:c>
      <x:c r="O87" s="27" t="str">
        <x:v>中-高</x:v>
      </x:c>
      <x:c r="P87" s="27" t="str">
        <x:v>低-中</x:v>
      </x:c>
      <x:c r="Q87" s="27" t="str">
        <x:v>过拟合、参数漂移、相关性失效</x:v>
      </x:c>
      <x:c r="R87" s="27" t="str">
        <x:v>滚动训练/测试，禁用未来函数，做稳定性热力图</x:v>
      </x:c>
      <x:c r="S87" s="27" t="str">
        <x:v>arXiv q-fin.TR Trading and Market Microstructure</x:v>
      </x:c>
      <x:c r="T87" s="27" t="str">
        <x:v>https://arxiv.org/list/q-fin.TR/recent</x:v>
      </x:c>
      <x:c r="U87" s="27" t="str"/>
    </x:row>
    <x:row r="88" ht="54" customHeight="1">
      <x:c r="A88" s="27" t="str">
        <x:v>TS087</x:v>
      </x:c>
      <x:c r="B88" s="27" t="str">
        <x:v>时间序列</x:v>
      </x:c>
      <x:c r="C88" s="27" t="str">
        <x:v>状态切换/Regime Detection</x:v>
      </x:c>
      <x:c r="D88" s="27" t="str">
        <x:v>经典</x:v>
      </x:c>
      <x:c r="E88" s="27" t="str">
        <x:v>HMM趋势/反转状态切换</x:v>
      </x:c>
      <x:c r="F88" s="27" t="str">
        <x:v>HMM trend-reversal regime</x:v>
      </x:c>
      <x:c r="G88" s="27" t="str">
        <x:v>隐藏状态决定动量或反转更有效</x:v>
      </x:c>
      <x:c r="H88" s="27" t="str">
        <x:v>股票/期货/FX/期权/加密</x:v>
      </x:c>
      <x:c r="I88" s="27" t="str">
        <x:v>5秒-5分钟</x:v>
      </x:c>
      <x:c r="J88" s="27" t="str">
        <x:v>5-60秒更新状态</x:v>
      </x:c>
      <x:c r="K88" s="27" t="str">
        <x:v>returns、vol</x:v>
      </x:c>
      <x:c r="L88" s="27" t="str">
        <x:v>状态概率超过阈值后启用对应子策略</x:v>
      </x:c>
      <x:c r="M88" s="27" t="str">
        <x:v>状态置信度下降、风控触发或进入禁交易状态退出</x:v>
      </x:c>
      <x:c r="N88" s="27" t="str">
        <x:v>state_prob, transition_cost, min_duration</x:v>
      </x:c>
      <x:c r="O88" s="27" t="str">
        <x:v>高</x:v>
      </x:c>
      <x:c r="P88" s="27" t="str">
        <x:v>中</x:v>
      </x:c>
      <x:c r="Q88" s="27" t="str">
        <x:v>状态误判、样本不足、模型滞后</x:v>
      </x:c>
      <x:c r="R88" s="27" t="str">
        <x:v>按状态输出混淆矩阵和策略分层PnL</x:v>
      </x:c>
      <x:c r="S88" s="27" t="str">
        <x:v>arXiv q-fin.TR Trading and Market Microstructure</x:v>
      </x:c>
      <x:c r="T88" s="27" t="str">
        <x:v>https://arxiv.org/list/q-fin.TR/recent</x:v>
      </x:c>
      <x:c r="U88" s="27" t="str"/>
    </x:row>
    <x:row r="89" ht="54" customHeight="1">
      <x:c r="A89" s="27" t="str">
        <x:v>TS088</x:v>
      </x:c>
      <x:c r="B89" s="27" t="str">
        <x:v>时间序列</x:v>
      </x:c>
      <x:c r="C89" s="27" t="str">
        <x:v>状态切换/Regime Detection</x:v>
      </x:c>
      <x:c r="D89" s="27" t="str">
        <x:v>经典</x:v>
      </x:c>
      <x:c r="E89" s="27" t="str">
        <x:v>马尔可夫切换波动率</x:v>
      </x:c>
      <x:c r="F89" s="27" t="str">
        <x:v>Markov switching volatility</x:v>
      </x:c>
      <x:c r="G89" s="27" t="str">
        <x:v>高低波动状态下阈值与仓位应不同</x:v>
      </x:c>
      <x:c r="H89" s="27" t="str">
        <x:v>股票/期货/FX/期权/加密</x:v>
      </x:c>
      <x:c r="I89" s="27" t="str">
        <x:v>5秒-5分钟</x:v>
      </x:c>
      <x:c r="J89" s="27" t="str">
        <x:v>5-60秒更新状态</x:v>
      </x:c>
      <x:c r="K89" s="27" t="str">
        <x:v>returns、RV</x:v>
      </x:c>
      <x:c r="L89" s="27" t="str">
        <x:v>状态概率超过阈值后启用对应子策略</x:v>
      </x:c>
      <x:c r="M89" s="27" t="str">
        <x:v>状态置信度下降、风控触发或进入禁交易状态退出</x:v>
      </x:c>
      <x:c r="N89" s="27" t="str">
        <x:v>state_prob, transition_cost, min_duration</x:v>
      </x:c>
      <x:c r="O89" s="27" t="str">
        <x:v>高</x:v>
      </x:c>
      <x:c r="P89" s="27" t="str">
        <x:v>中</x:v>
      </x:c>
      <x:c r="Q89" s="27" t="str">
        <x:v>状态误判、样本不足、模型滞后</x:v>
      </x:c>
      <x:c r="R89" s="27" t="str">
        <x:v>按状态输出混淆矩阵和策略分层PnL</x:v>
      </x:c>
      <x:c r="S89" s="27" t="str">
        <x:v>arXiv q-fin.TR Trading and Market Microstructure</x:v>
      </x:c>
      <x:c r="T89" s="27" t="str">
        <x:v>https://arxiv.org/list/q-fin.TR/recent</x:v>
      </x:c>
      <x:c r="U89" s="27" t="str"/>
    </x:row>
    <x:row r="90" ht="54" customHeight="1">
      <x:c r="A90" s="27" t="str">
        <x:v>TS089</x:v>
      </x:c>
      <x:c r="B90" s="27" t="str">
        <x:v>时间序列</x:v>
      </x:c>
      <x:c r="C90" s="27" t="str">
        <x:v>状态切换/Regime Detection</x:v>
      </x:c>
      <x:c r="D90" s="27" t="str">
        <x:v>经典</x:v>
      </x:c>
      <x:c r="E90" s="27" t="str">
        <x:v>订单流状态HMM</x:v>
      </x:c>
      <x:c r="F90" s="27" t="str">
        <x:v>order-flow HMM</x:v>
      </x:c>
      <x:c r="G90" s="27" t="str">
        <x:v>买卖压力的隐藏状态可预测短窗方向</x:v>
      </x:c>
      <x:c r="H90" s="27" t="str">
        <x:v>股票/期货/FX/期权/加密</x:v>
      </x:c>
      <x:c r="I90" s="27" t="str">
        <x:v>5秒-5分钟</x:v>
      </x:c>
      <x:c r="J90" s="27" t="str">
        <x:v>5-60秒更新状态</x:v>
      </x:c>
      <x:c r="K90" s="27" t="str">
        <x:v>signed volume</x:v>
      </x:c>
      <x:c r="L90" s="27" t="str">
        <x:v>状态概率超过阈值后启用对应子策略</x:v>
      </x:c>
      <x:c r="M90" s="27" t="str">
        <x:v>状态置信度下降、风控触发或进入禁交易状态退出</x:v>
      </x:c>
      <x:c r="N90" s="27" t="str">
        <x:v>state_prob, transition_cost, min_duration</x:v>
      </x:c>
      <x:c r="O90" s="27" t="str">
        <x:v>高</x:v>
      </x:c>
      <x:c r="P90" s="27" t="str">
        <x:v>中</x:v>
      </x:c>
      <x:c r="Q90" s="27" t="str">
        <x:v>状态误判、样本不足、模型滞后</x:v>
      </x:c>
      <x:c r="R90" s="27" t="str">
        <x:v>按状态输出混淆矩阵和策略分层PnL</x:v>
      </x:c>
      <x:c r="S90" s="27" t="str">
        <x:v>arXiv q-fin.TR Trading and Market Microstructure</x:v>
      </x:c>
      <x:c r="T90" s="27" t="str">
        <x:v>https://arxiv.org/list/q-fin.TR/recent</x:v>
      </x:c>
      <x:c r="U90" s="27" t="str"/>
    </x:row>
    <x:row r="91" ht="54" customHeight="1">
      <x:c r="A91" s="27" t="str">
        <x:v>TS090</x:v>
      </x:c>
      <x:c r="B91" s="27" t="str">
        <x:v>时间序列</x:v>
      </x:c>
      <x:c r="C91" s="27" t="str">
        <x:v>状态切换/Regime Detection</x:v>
      </x:c>
      <x:c r="D91" s="27" t="str">
        <x:v>经典</x:v>
      </x:c>
      <x:c r="E91" s="27" t="str">
        <x:v>流动性状态分类器</x:v>
      </x:c>
      <x:c r="F91" s="27" t="str">
        <x:v>liquidity state classifier</x:v>
      </x:c>
      <x:c r="G91" s="27" t="str">
        <x:v>点差/深度状态决定可交易性</x:v>
      </x:c>
      <x:c r="H91" s="27" t="str">
        <x:v>股票/期货/FX/期权/加密</x:v>
      </x:c>
      <x:c r="I91" s="27" t="str">
        <x:v>5秒-5分钟</x:v>
      </x:c>
      <x:c r="J91" s="27" t="str">
        <x:v>5-60秒更新状态</x:v>
      </x:c>
      <x:c r="K91" s="27" t="str">
        <x:v>spread、depth</x:v>
      </x:c>
      <x:c r="L91" s="27" t="str">
        <x:v>状态概率超过阈值后启用对应子策略</x:v>
      </x:c>
      <x:c r="M91" s="27" t="str">
        <x:v>状态置信度下降、风控触发或进入禁交易状态退出</x:v>
      </x:c>
      <x:c r="N91" s="27" t="str">
        <x:v>state_prob, transition_cost, min_duration</x:v>
      </x:c>
      <x:c r="O91" s="27" t="str">
        <x:v>高</x:v>
      </x:c>
      <x:c r="P91" s="27" t="str">
        <x:v>中</x:v>
      </x:c>
      <x:c r="Q91" s="27" t="str">
        <x:v>状态误判、样本不足、模型滞后</x:v>
      </x:c>
      <x:c r="R91" s="27" t="str">
        <x:v>按状态输出混淆矩阵和策略分层PnL</x:v>
      </x:c>
      <x:c r="S91" s="27" t="str">
        <x:v>arXiv q-fin.TR Trading and Market Microstructure</x:v>
      </x:c>
      <x:c r="T91" s="27" t="str">
        <x:v>https://arxiv.org/list/q-fin.TR/recent</x:v>
      </x:c>
      <x:c r="U91" s="27" t="str"/>
    </x:row>
    <x:row r="92" ht="54" customHeight="1">
      <x:c r="A92" s="27" t="str">
        <x:v>TS091</x:v>
      </x:c>
      <x:c r="B92" s="27" t="str">
        <x:v>时间序列</x:v>
      </x:c>
      <x:c r="C92" s="27" t="str">
        <x:v>状态切换/Regime Detection</x:v>
      </x:c>
      <x:c r="D92" s="27" t="str">
        <x:v>经典</x:v>
      </x:c>
      <x:c r="E92" s="27" t="str">
        <x:v>成交强度状态切换</x:v>
      </x:c>
      <x:c r="F92" s="27" t="str">
        <x:v>trade intensity regime</x:v>
      </x:c>
      <x:c r="G92" s="27" t="str">
        <x:v>成交到达率高时动量有效性变化</x:v>
      </x:c>
      <x:c r="H92" s="27" t="str">
        <x:v>股票/期货/FX/期权/加密</x:v>
      </x:c>
      <x:c r="I92" s="27" t="str">
        <x:v>5秒-5分钟</x:v>
      </x:c>
      <x:c r="J92" s="27" t="str">
        <x:v>5-60秒更新状态</x:v>
      </x:c>
      <x:c r="K92" s="27" t="str">
        <x:v>trade arrivals</x:v>
      </x:c>
      <x:c r="L92" s="27" t="str">
        <x:v>状态概率超过阈值后启用对应子策略</x:v>
      </x:c>
      <x:c r="M92" s="27" t="str">
        <x:v>状态置信度下降、风控触发或进入禁交易状态退出</x:v>
      </x:c>
      <x:c r="N92" s="27" t="str">
        <x:v>state_prob, transition_cost, min_duration</x:v>
      </x:c>
      <x:c r="O92" s="27" t="str">
        <x:v>高</x:v>
      </x:c>
      <x:c r="P92" s="27" t="str">
        <x:v>中</x:v>
      </x:c>
      <x:c r="Q92" s="27" t="str">
        <x:v>状态误判、样本不足、模型滞后</x:v>
      </x:c>
      <x:c r="R92" s="27" t="str">
        <x:v>按状态输出混淆矩阵和策略分层PnL</x:v>
      </x:c>
      <x:c r="S92" s="27" t="str">
        <x:v>arXiv q-fin.TR Trading and Market Microstructure</x:v>
      </x:c>
      <x:c r="T92" s="27" t="str">
        <x:v>https://arxiv.org/list/q-fin.TR/recent</x:v>
      </x:c>
      <x:c r="U92" s="27" t="str"/>
    </x:row>
    <x:row r="93" ht="54" customHeight="1">
      <x:c r="A93" s="27" t="str">
        <x:v>TS092</x:v>
      </x:c>
      <x:c r="B93" s="27" t="str">
        <x:v>时间序列</x:v>
      </x:c>
      <x:c r="C93" s="27" t="str">
        <x:v>状态切换/Regime Detection</x:v>
      </x:c>
      <x:c r="D93" s="27" t="str">
        <x:v>经典</x:v>
      </x:c>
      <x:c r="E93" s="27" t="str">
        <x:v>新闻状态门控</x:v>
      </x:c>
      <x:c r="F93" s="27" t="str">
        <x:v>news-state gated strategy</x:v>
      </x:c>
      <x:c r="G93" s="27" t="str">
        <x:v>有新闻状态下关闭常规回归或提高阈值</x:v>
      </x:c>
      <x:c r="H93" s="27" t="str">
        <x:v>股票/期货/FX/期权/加密</x:v>
      </x:c>
      <x:c r="I93" s="27" t="str">
        <x:v>5秒-5分钟</x:v>
      </x:c>
      <x:c r="J93" s="27" t="str">
        <x:v>5-60秒更新状态</x:v>
      </x:c>
      <x:c r="K93" s="27" t="str">
        <x:v>news flags</x:v>
      </x:c>
      <x:c r="L93" s="27" t="str">
        <x:v>状态概率超过阈值后启用对应子策略</x:v>
      </x:c>
      <x:c r="M93" s="27" t="str">
        <x:v>状态置信度下降、风控触发或进入禁交易状态退出</x:v>
      </x:c>
      <x:c r="N93" s="27" t="str">
        <x:v>state_prob, transition_cost, min_duration</x:v>
      </x:c>
      <x:c r="O93" s="27" t="str">
        <x:v>高</x:v>
      </x:c>
      <x:c r="P93" s="27" t="str">
        <x:v>中</x:v>
      </x:c>
      <x:c r="Q93" s="27" t="str">
        <x:v>状态误判、样本不足、模型滞后</x:v>
      </x:c>
      <x:c r="R93" s="27" t="str">
        <x:v>按状态输出混淆矩阵和策略分层PnL</x:v>
      </x:c>
      <x:c r="S93" s="27" t="str">
        <x:v>arXiv q-fin.TR Trading and Market Microstructure</x:v>
      </x:c>
      <x:c r="T93" s="27" t="str">
        <x:v>https://arxiv.org/list/q-fin.TR/recent</x:v>
      </x:c>
      <x:c r="U93" s="27" t="str"/>
    </x:row>
    <x:row r="94" ht="54" customHeight="1">
      <x:c r="A94" s="27" t="str">
        <x:v>TS093</x:v>
      </x:c>
      <x:c r="B94" s="27" t="str">
        <x:v>时间序列</x:v>
      </x:c>
      <x:c r="C94" s="27" t="str">
        <x:v>状态切换/Regime Detection</x:v>
      </x:c>
      <x:c r="D94" s="27" t="str">
        <x:v>经典</x:v>
      </x:c>
      <x:c r="E94" s="27" t="str">
        <x:v>开盘/午盘/收盘状态模型</x:v>
      </x:c>
      <x:c r="F94" s="27" t="str">
        <x:v>session-state model</x:v>
      </x:c>
      <x:c r="G94" s="27" t="str">
        <x:v>同一信号在不同时段表现不同</x:v>
      </x:c>
      <x:c r="H94" s="27" t="str">
        <x:v>股票/期货/FX/期权/加密</x:v>
      </x:c>
      <x:c r="I94" s="27" t="str">
        <x:v>5秒-5分钟</x:v>
      </x:c>
      <x:c r="J94" s="27" t="str">
        <x:v>5-60秒更新状态</x:v>
      </x:c>
      <x:c r="K94" s="27" t="str">
        <x:v>clock time</x:v>
      </x:c>
      <x:c r="L94" s="27" t="str">
        <x:v>状态概率超过阈值后启用对应子策略</x:v>
      </x:c>
      <x:c r="M94" s="27" t="str">
        <x:v>状态置信度下降、风控触发或进入禁交易状态退出</x:v>
      </x:c>
      <x:c r="N94" s="27" t="str">
        <x:v>state_prob, transition_cost, min_duration</x:v>
      </x:c>
      <x:c r="O94" s="27" t="str">
        <x:v>高</x:v>
      </x:c>
      <x:c r="P94" s="27" t="str">
        <x:v>中</x:v>
      </x:c>
      <x:c r="Q94" s="27" t="str">
        <x:v>状态误判、样本不足、模型滞后</x:v>
      </x:c>
      <x:c r="R94" s="27" t="str">
        <x:v>按状态输出混淆矩阵和策略分层PnL</x:v>
      </x:c>
      <x:c r="S94" s="27" t="str">
        <x:v>arXiv q-fin.TR Trading and Market Microstructure</x:v>
      </x:c>
      <x:c r="T94" s="27" t="str">
        <x:v>https://arxiv.org/list/q-fin.TR/recent</x:v>
      </x:c>
      <x:c r="U94" s="27" t="str"/>
    </x:row>
    <x:row r="95" ht="54" customHeight="1">
      <x:c r="A95" s="27" t="str">
        <x:v>TS094</x:v>
      </x:c>
      <x:c r="B95" s="27" t="str">
        <x:v>时间序列</x:v>
      </x:c>
      <x:c r="C95" s="27" t="str">
        <x:v>状态切换/Regime Detection</x:v>
      </x:c>
      <x:c r="D95" s="27" t="str">
        <x:v>经典</x:v>
      </x:c>
      <x:c r="E95" s="27" t="str">
        <x:v>波动率-流动性二维状态</x:v>
      </x:c>
      <x:c r="F95" s="27" t="str">
        <x:v>vol-liquidity regime grid</x:v>
      </x:c>
      <x:c r="G95" s="27" t="str">
        <x:v>波动与流动性组合决定策略族</x:v>
      </x:c>
      <x:c r="H95" s="27" t="str">
        <x:v>股票/期货/FX/期权/加密</x:v>
      </x:c>
      <x:c r="I95" s="27" t="str">
        <x:v>5秒-5分钟</x:v>
      </x:c>
      <x:c r="J95" s="27" t="str">
        <x:v>5-60秒更新状态</x:v>
      </x:c>
      <x:c r="K95" s="27" t="str">
        <x:v>RV、spread</x:v>
      </x:c>
      <x:c r="L95" s="27" t="str">
        <x:v>状态概率超过阈值后启用对应子策略</x:v>
      </x:c>
      <x:c r="M95" s="27" t="str">
        <x:v>状态置信度下降、风控触发或进入禁交易状态退出</x:v>
      </x:c>
      <x:c r="N95" s="27" t="str">
        <x:v>state_prob, transition_cost, min_duration</x:v>
      </x:c>
      <x:c r="O95" s="27" t="str">
        <x:v>高</x:v>
      </x:c>
      <x:c r="P95" s="27" t="str">
        <x:v>中</x:v>
      </x:c>
      <x:c r="Q95" s="27" t="str">
        <x:v>状态误判、样本不足、模型滞后</x:v>
      </x:c>
      <x:c r="R95" s="27" t="str">
        <x:v>按状态输出混淆矩阵和策略分层PnL</x:v>
      </x:c>
      <x:c r="S95" s="27" t="str">
        <x:v>arXiv q-fin.TR Trading and Market Microstructure</x:v>
      </x:c>
      <x:c r="T95" s="27" t="str">
        <x:v>https://arxiv.org/list/q-fin.TR/recent</x:v>
      </x:c>
      <x:c r="U95" s="27" t="str"/>
    </x:row>
    <x:row r="96" ht="54" customHeight="1">
      <x:c r="A96" s="27" t="str">
        <x:v>TS095</x:v>
      </x:c>
      <x:c r="B96" s="27" t="str">
        <x:v>时间序列</x:v>
      </x:c>
      <x:c r="C96" s="27" t="str">
        <x:v>状态切换/Regime Detection</x:v>
      </x:c>
      <x:c r="D96" s="27" t="str">
        <x:v>经典</x:v>
      </x:c>
      <x:c r="E96" s="27" t="str">
        <x:v>隐含波动状态门控</x:v>
      </x:c>
      <x:c r="F96" s="27" t="str">
        <x:v>implied-vol regime gate</x:v>
      </x:c>
      <x:c r="G96" s="27" t="str">
        <x:v>IV状态影响现货短线方向/风控</x:v>
      </x:c>
      <x:c r="H96" s="27" t="str">
        <x:v>股票/期货/FX/期权/加密</x:v>
      </x:c>
      <x:c r="I96" s="27" t="str">
        <x:v>5秒-5分钟</x:v>
      </x:c>
      <x:c r="J96" s="27" t="str">
        <x:v>5-60秒更新状态</x:v>
      </x:c>
      <x:c r="K96" s="27" t="str">
        <x:v>IV、spot</x:v>
      </x:c>
      <x:c r="L96" s="27" t="str">
        <x:v>状态概率超过阈值后启用对应子策略</x:v>
      </x:c>
      <x:c r="M96" s="27" t="str">
        <x:v>状态置信度下降、风控触发或进入禁交易状态退出</x:v>
      </x:c>
      <x:c r="N96" s="27" t="str">
        <x:v>state_prob, transition_cost, min_duration</x:v>
      </x:c>
      <x:c r="O96" s="27" t="str">
        <x:v>高</x:v>
      </x:c>
      <x:c r="P96" s="27" t="str">
        <x:v>中</x:v>
      </x:c>
      <x:c r="Q96" s="27" t="str">
        <x:v>状态误判、样本不足、模型滞后</x:v>
      </x:c>
      <x:c r="R96" s="27" t="str">
        <x:v>按状态输出混淆矩阵和策略分层PnL</x:v>
      </x:c>
      <x:c r="S96" s="27" t="str">
        <x:v>arXiv q-fin.TR Trading and Market Microstructure</x:v>
      </x:c>
      <x:c r="T96" s="27" t="str">
        <x:v>https://arxiv.org/list/q-fin.TR/recent</x:v>
      </x:c>
      <x:c r="U96" s="27" t="str"/>
    </x:row>
    <x:row r="97" ht="54" customHeight="1">
      <x:c r="A97" s="27" t="str">
        <x:v>TS096</x:v>
      </x:c>
      <x:c r="B97" s="27" t="str">
        <x:v>时间序列</x:v>
      </x:c>
      <x:c r="C97" s="27" t="str">
        <x:v>状态切换/Regime Detection</x:v>
      </x:c>
      <x:c r="D97" s="27" t="str">
        <x:v>经典</x:v>
      </x:c>
      <x:c r="E97" s="27" t="str">
        <x:v>收益率尾部状态切换</x:v>
      </x:c>
      <x:c r="F97" s="27" t="str">
        <x:v>tail-state switching</x:v>
      </x:c>
      <x:c r="G97" s="27" t="str">
        <x:v>尾部事件后短线分布不同</x:v>
      </x:c>
      <x:c r="H97" s="27" t="str">
        <x:v>股票/期货/FX/期权/加密</x:v>
      </x:c>
      <x:c r="I97" s="27" t="str">
        <x:v>5秒-5分钟</x:v>
      </x:c>
      <x:c r="J97" s="27" t="str">
        <x:v>5-60秒更新状态</x:v>
      </x:c>
      <x:c r="K97" s="27" t="str">
        <x:v>returns tail</x:v>
      </x:c>
      <x:c r="L97" s="27" t="str">
        <x:v>状态概率超过阈值后启用对应子策略</x:v>
      </x:c>
      <x:c r="M97" s="27" t="str">
        <x:v>状态置信度下降、风控触发或进入禁交易状态退出</x:v>
      </x:c>
      <x:c r="N97" s="27" t="str">
        <x:v>state_prob, transition_cost, min_duration</x:v>
      </x:c>
      <x:c r="O97" s="27" t="str">
        <x:v>高</x:v>
      </x:c>
      <x:c r="P97" s="27" t="str">
        <x:v>中</x:v>
      </x:c>
      <x:c r="Q97" s="27" t="str">
        <x:v>状态误判、样本不足、模型滞后</x:v>
      </x:c>
      <x:c r="R97" s="27" t="str">
        <x:v>按状态输出混淆矩阵和策略分层PnL</x:v>
      </x:c>
      <x:c r="S97" s="27" t="str">
        <x:v>arXiv q-fin.TR Trading and Market Microstructure</x:v>
      </x:c>
      <x:c r="T97" s="27" t="str">
        <x:v>https://arxiv.org/list/q-fin.TR/recent</x:v>
      </x:c>
      <x:c r="U97" s="27" t="str"/>
    </x:row>
    <x:row r="98" ht="54" customHeight="1">
      <x:c r="A98" s="27" t="str">
        <x:v>TS097</x:v>
      </x:c>
      <x:c r="B98" s="27" t="str">
        <x:v>时间序列</x:v>
      </x:c>
      <x:c r="C98" s="27" t="str">
        <x:v>状态切换/Regime Detection</x:v>
      </x:c>
      <x:c r="D98" s="27" t="str">
        <x:v>新兴</x:v>
      </x:c>
      <x:c r="E98" s="27" t="str">
        <x:v>在线聚类状态路由</x:v>
      </x:c>
      <x:c r="F98" s="27" t="str">
        <x:v>online clustering strategy router</x:v>
      </x:c>
      <x:c r="G98" s="27" t="str">
        <x:v>实时聚类选择动量/反转/不交易</x:v>
      </x:c>
      <x:c r="H98" s="27" t="str">
        <x:v>股票/期货/FX/期权/加密</x:v>
      </x:c>
      <x:c r="I98" s="27" t="str">
        <x:v>5秒-5分钟</x:v>
      </x:c>
      <x:c r="J98" s="27" t="str">
        <x:v>5-60秒更新状态</x:v>
      </x:c>
      <x:c r="K98" s="27" t="str">
        <x:v>features</x:v>
      </x:c>
      <x:c r="L98" s="27" t="str">
        <x:v>状态概率超过阈值后启用对应子策略</x:v>
      </x:c>
      <x:c r="M98" s="27" t="str">
        <x:v>状态置信度下降、风控触发或进入禁交易状态退出</x:v>
      </x:c>
      <x:c r="N98" s="27" t="str">
        <x:v>state_prob, transition_cost, min_duration</x:v>
      </x:c>
      <x:c r="O98" s="27" t="str">
        <x:v>高</x:v>
      </x:c>
      <x:c r="P98" s="27" t="str">
        <x:v>中</x:v>
      </x:c>
      <x:c r="Q98" s="27" t="str">
        <x:v>状态误判、样本不足、模型滞后</x:v>
      </x:c>
      <x:c r="R98" s="27" t="str">
        <x:v>按状态输出混淆矩阵和策略分层PnL</x:v>
      </x:c>
      <x:c r="S98" s="27" t="str">
        <x:v>arXiv q-fin.TR Trading and Market Microstructure</x:v>
      </x:c>
      <x:c r="T98" s="27" t="str">
        <x:v>https://arxiv.org/list/q-fin.TR/recent</x:v>
      </x:c>
      <x:c r="U98" s="27" t="str"/>
    </x:row>
    <x:row r="99" ht="54" customHeight="1">
      <x:c r="A99" s="27" t="str">
        <x:v>TS098</x:v>
      </x:c>
      <x:c r="B99" s="27" t="str">
        <x:v>时间序列</x:v>
      </x:c>
      <x:c r="C99" s="27" t="str">
        <x:v>状态切换/Regime Detection</x:v>
      </x:c>
      <x:c r="D99" s="27" t="str">
        <x:v>新兴</x:v>
      </x:c>
      <x:c r="E99" s="27" t="str">
        <x:v>漂移检测后重置参数</x:v>
      </x:c>
      <x:c r="F99" s="27" t="str">
        <x:v>drift detection parameter reset</x:v>
      </x:c>
      <x:c r="G99" s="27" t="str">
        <x:v>数据分布漂移后旧参数失效</x:v>
      </x:c>
      <x:c r="H99" s="27" t="str">
        <x:v>股票/期货/FX/期权/加密</x:v>
      </x:c>
      <x:c r="I99" s="27" t="str">
        <x:v>5秒-5分钟</x:v>
      </x:c>
      <x:c r="J99" s="27" t="str">
        <x:v>5-60秒更新状态</x:v>
      </x:c>
      <x:c r="K99" s="27" t="str">
        <x:v>features</x:v>
      </x:c>
      <x:c r="L99" s="27" t="str">
        <x:v>状态概率超过阈值后启用对应子策略</x:v>
      </x:c>
      <x:c r="M99" s="27" t="str">
        <x:v>状态置信度下降、风控触发或进入禁交易状态退出</x:v>
      </x:c>
      <x:c r="N99" s="27" t="str">
        <x:v>state_prob, transition_cost, min_duration</x:v>
      </x:c>
      <x:c r="O99" s="27" t="str">
        <x:v>高</x:v>
      </x:c>
      <x:c r="P99" s="27" t="str">
        <x:v>中</x:v>
      </x:c>
      <x:c r="Q99" s="27" t="str">
        <x:v>状态误判、样本不足、模型滞后</x:v>
      </x:c>
      <x:c r="R99" s="27" t="str">
        <x:v>按状态输出混淆矩阵和策略分层PnL</x:v>
      </x:c>
      <x:c r="S99" s="27" t="str">
        <x:v>arXiv q-fin.TR Trading and Market Microstructure</x:v>
      </x:c>
      <x:c r="T99" s="27" t="str">
        <x:v>https://arxiv.org/list/q-fin.TR/recent</x:v>
      </x:c>
      <x:c r="U99" s="27" t="str"/>
    </x:row>
    <x:row r="100" ht="54" customHeight="1">
      <x:c r="A100" s="27" t="str">
        <x:v>TS099</x:v>
      </x:c>
      <x:c r="B100" s="27" t="str">
        <x:v>时间序列</x:v>
      </x:c>
      <x:c r="C100" s="27" t="str">
        <x:v>状态切换/Regime Detection</x:v>
      </x:c>
      <x:c r="D100" s="27" t="str">
        <x:v>新兴</x:v>
      </x:c>
      <x:c r="E100" s="27" t="str">
        <x:v>高维盘口状态嵌入</x:v>
      </x:c>
      <x:c r="F100" s="27" t="str">
        <x:v>LOB state embedding regime</x:v>
      </x:c>
      <x:c r="G100" s="27" t="str">
        <x:v>深度/队列状态嵌入可区分微结构状态</x:v>
      </x:c>
      <x:c r="H100" s="27" t="str">
        <x:v>股票/期货/FX/期权/加密</x:v>
      </x:c>
      <x:c r="I100" s="27" t="str">
        <x:v>5秒-5分钟</x:v>
      </x:c>
      <x:c r="J100" s="27" t="str">
        <x:v>5-60秒更新状态</x:v>
      </x:c>
      <x:c r="K100" s="27" t="str">
        <x:v>LOB</x:v>
      </x:c>
      <x:c r="L100" s="27" t="str">
        <x:v>状态概率超过阈值后启用对应子策略</x:v>
      </x:c>
      <x:c r="M100" s="27" t="str">
        <x:v>状态置信度下降、风控触发或进入禁交易状态退出</x:v>
      </x:c>
      <x:c r="N100" s="27" t="str">
        <x:v>state_prob, transition_cost, min_duration</x:v>
      </x:c>
      <x:c r="O100" s="27" t="str">
        <x:v>高</x:v>
      </x:c>
      <x:c r="P100" s="27" t="str">
        <x:v>中</x:v>
      </x:c>
      <x:c r="Q100" s="27" t="str">
        <x:v>状态误判、样本不足、模型滞后</x:v>
      </x:c>
      <x:c r="R100" s="27" t="str">
        <x:v>按状态输出混淆矩阵和策略分层PnL</x:v>
      </x:c>
      <x:c r="S100" s="27" t="str">
        <x:v>arXiv q-fin.TR Trading and Market Microstructure</x:v>
      </x:c>
      <x:c r="T100" s="27" t="str">
        <x:v>https://arxiv.org/list/q-fin.TR/recent</x:v>
      </x:c>
      <x:c r="U100" s="27" t="str"/>
    </x:row>
    <x:row r="101" ht="54" customHeight="1">
      <x:c r="A101" s="27" t="str">
        <x:v>TS100</x:v>
      </x:c>
      <x:c r="B101" s="27" t="str">
        <x:v>时间序列</x:v>
      </x:c>
      <x:c r="C101" s="27" t="str">
        <x:v>状态切换/Regime Detection</x:v>
      </x:c>
      <x:c r="D101" s="27" t="str">
        <x:v>新兴</x:v>
      </x:c>
      <x:c r="E101" s="27" t="str">
        <x:v>隐状态仓位缩放</x:v>
      </x:c>
      <x:c r="F101" s="27" t="str">
        <x:v>latent-state position scaling</x:v>
      </x:c>
      <x:c r="G101" s="27" t="str">
        <x:v>状态置信度越高，仓位越大</x:v>
      </x:c>
      <x:c r="H101" s="27" t="str">
        <x:v>股票/期货/FX/期权/加密</x:v>
      </x:c>
      <x:c r="I101" s="27" t="str">
        <x:v>5秒-5分钟</x:v>
      </x:c>
      <x:c r="J101" s="27" t="str">
        <x:v>5-60秒更新状态</x:v>
      </x:c>
      <x:c r="K101" s="27" t="str">
        <x:v>model probs</x:v>
      </x:c>
      <x:c r="L101" s="27" t="str">
        <x:v>状态概率超过阈值后启用对应子策略</x:v>
      </x:c>
      <x:c r="M101" s="27" t="str">
        <x:v>状态置信度下降、风控触发或进入禁交易状态退出</x:v>
      </x:c>
      <x:c r="N101" s="27" t="str">
        <x:v>state_prob, transition_cost, min_duration</x:v>
      </x:c>
      <x:c r="O101" s="27" t="str">
        <x:v>高</x:v>
      </x:c>
      <x:c r="P101" s="27" t="str">
        <x:v>中</x:v>
      </x:c>
      <x:c r="Q101" s="27" t="str">
        <x:v>状态误判、样本不足、模型滞后</x:v>
      </x:c>
      <x:c r="R101" s="27" t="str">
        <x:v>按状态输出混淆矩阵和策略分层PnL</x:v>
      </x:c>
      <x:c r="S101" s="27" t="str">
        <x:v>arXiv q-fin.TR Trading and Market Microstructure</x:v>
      </x:c>
      <x:c r="T101" s="27" t="str">
        <x:v>https://arxiv.org/list/q-fin.TR/recent</x:v>
      </x:c>
      <x:c r="U101" s="27" t="str"/>
    </x:row>
    <x:row r="102" ht="54" customHeight="1">
      <x:c r="A102" s="27" t="str">
        <x:v>TS101</x:v>
      </x:c>
      <x:c r="B102" s="27" t="str">
        <x:v>时间序列</x:v>
      </x:c>
      <x:c r="C102" s="27" t="str">
        <x:v>状态切换/Regime Detection</x:v>
      </x:c>
      <x:c r="D102" s="27" t="str">
        <x:v>新兴</x:v>
      </x:c>
      <x:c r="E102" s="27" t="str">
        <x:v>宏观日程状态过滤</x:v>
      </x:c>
      <x:c r="F102" s="27" t="str">
        <x:v>macro-calendar regime filter</x:v>
      </x:c>
      <x:c r="G102" s="27" t="str">
        <x:v>数据发布前后切换交易规则</x:v>
      </x:c>
      <x:c r="H102" s="27" t="str">
        <x:v>股票/期货/FX/期权/加密</x:v>
      </x:c>
      <x:c r="I102" s="27" t="str">
        <x:v>5秒-5分钟</x:v>
      </x:c>
      <x:c r="J102" s="27" t="str">
        <x:v>5-60秒更新状态</x:v>
      </x:c>
      <x:c r="K102" s="27" t="str">
        <x:v>calendar</x:v>
      </x:c>
      <x:c r="L102" s="27" t="str">
        <x:v>状态概率超过阈值后启用对应子策略</x:v>
      </x:c>
      <x:c r="M102" s="27" t="str">
        <x:v>状态置信度下降、风控触发或进入禁交易状态退出</x:v>
      </x:c>
      <x:c r="N102" s="27" t="str">
        <x:v>state_prob, transition_cost, min_duration</x:v>
      </x:c>
      <x:c r="O102" s="27" t="str">
        <x:v>高</x:v>
      </x:c>
      <x:c r="P102" s="27" t="str">
        <x:v>中</x:v>
      </x:c>
      <x:c r="Q102" s="27" t="str">
        <x:v>状态误判、样本不足、模型滞后</x:v>
      </x:c>
      <x:c r="R102" s="27" t="str">
        <x:v>按状态输出混淆矩阵和策略分层PnL</x:v>
      </x:c>
      <x:c r="S102" s="27" t="str">
        <x:v>arXiv q-fin.TR Trading and Market Microstructure</x:v>
      </x:c>
      <x:c r="T102" s="27" t="str">
        <x:v>https://arxiv.org/list/q-fin.TR/recent</x:v>
      </x:c>
      <x:c r="U102" s="27" t="str"/>
    </x:row>
    <x:row r="103" ht="54" customHeight="1">
      <x:c r="A103" s="27" t="str">
        <x:v>TS102</x:v>
      </x:c>
      <x:c r="B103" s="27" t="str">
        <x:v>时间序列</x:v>
      </x:c>
      <x:c r="C103" s="27" t="str">
        <x:v>状态切换/Regime Detection</x:v>
      </x:c>
      <x:c r="D103" s="27" t="str">
        <x:v>新兴</x:v>
      </x:c>
      <x:c r="E103" s="27" t="str">
        <x:v>交易所拥堵状态过滤</x:v>
      </x:c>
      <x:c r="F103" s="27" t="str">
        <x:v>exchange-congestion state filter</x:v>
      </x:c>
      <x:c r="G103" s="27" t="str">
        <x:v>延迟/撮合拥堵导致短线信号失真</x:v>
      </x:c>
      <x:c r="H103" s="27" t="str">
        <x:v>股票/期货/FX/期权/加密</x:v>
      </x:c>
      <x:c r="I103" s="27" t="str">
        <x:v>5秒-5分钟</x:v>
      </x:c>
      <x:c r="J103" s="27" t="str">
        <x:v>5-60秒更新状态</x:v>
      </x:c>
      <x:c r="K103" s="27" t="str">
        <x:v>latency metrics</x:v>
      </x:c>
      <x:c r="L103" s="27" t="str">
        <x:v>状态概率超过阈值后启用对应子策略</x:v>
      </x:c>
      <x:c r="M103" s="27" t="str">
        <x:v>状态置信度下降、风控触发或进入禁交易状态退出</x:v>
      </x:c>
      <x:c r="N103" s="27" t="str">
        <x:v>state_prob, transition_cost, min_duration</x:v>
      </x:c>
      <x:c r="O103" s="27" t="str">
        <x:v>高</x:v>
      </x:c>
      <x:c r="P103" s="27" t="str">
        <x:v>中</x:v>
      </x:c>
      <x:c r="Q103" s="27" t="str">
        <x:v>状态误判、样本不足、模型滞后</x:v>
      </x:c>
      <x:c r="R103" s="27" t="str">
        <x:v>按状态输出混淆矩阵和策略分层PnL</x:v>
      </x:c>
      <x:c r="S103" s="27" t="str">
        <x:v>arXiv q-fin.TR Trading and Market Microstructure</x:v>
      </x:c>
      <x:c r="T103" s="27" t="str">
        <x:v>https://arxiv.org/list/q-fin.TR/recent</x:v>
      </x:c>
      <x:c r="U103" s="27" t="str"/>
    </x:row>
    <x:row r="104" ht="54" customHeight="1">
      <x:c r="A104" s="27" t="str">
        <x:v>TS103</x:v>
      </x:c>
      <x:c r="B104" s="27" t="str">
        <x:v>时间序列</x:v>
      </x:c>
      <x:c r="C104" s="27" t="str">
        <x:v>状态切换/Regime Detection</x:v>
      </x:c>
      <x:c r="D104" s="27" t="str">
        <x:v>新兴</x:v>
      </x:c>
      <x:c r="E104" s="27" t="str">
        <x:v>极端订单取消状态</x:v>
      </x:c>
      <x:c r="F104" s="27" t="str">
        <x:v>cancel-burst regime</x:v>
      </x:c>
      <x:c r="G104" s="27" t="str">
        <x:v>撤单潮代表流动性风险，需要切换策略</x:v>
      </x:c>
      <x:c r="H104" s="27" t="str">
        <x:v>股票/期货/FX/期权/加密</x:v>
      </x:c>
      <x:c r="I104" s="27" t="str">
        <x:v>5秒-5分钟</x:v>
      </x:c>
      <x:c r="J104" s="27" t="str">
        <x:v>5-60秒更新状态</x:v>
      </x:c>
      <x:c r="K104" s="27" t="str">
        <x:v>cancel events</x:v>
      </x:c>
      <x:c r="L104" s="27" t="str">
        <x:v>状态概率超过阈值后启用对应子策略</x:v>
      </x:c>
      <x:c r="M104" s="27" t="str">
        <x:v>状态置信度下降、风控触发或进入禁交易状态退出</x:v>
      </x:c>
      <x:c r="N104" s="27" t="str">
        <x:v>state_prob, transition_cost, min_duration</x:v>
      </x:c>
      <x:c r="O104" s="27" t="str">
        <x:v>高</x:v>
      </x:c>
      <x:c r="P104" s="27" t="str">
        <x:v>中</x:v>
      </x:c>
      <x:c r="Q104" s="27" t="str">
        <x:v>状态误判、样本不足、模型滞后</x:v>
      </x:c>
      <x:c r="R104" s="27" t="str">
        <x:v>按状态输出混淆矩阵和策略分层PnL</x:v>
      </x:c>
      <x:c r="S104" s="27" t="str">
        <x:v>arXiv q-fin.TR Trading and Market Microstructure</x:v>
      </x:c>
      <x:c r="T104" s="27" t="str">
        <x:v>https://arxiv.org/list/q-fin.TR/recent</x:v>
      </x:c>
      <x:c r="U104" s="27" t="str"/>
    </x:row>
    <x:row r="105" ht="54" customHeight="1">
      <x:c r="A105" s="27" t="str">
        <x:v>TS104</x:v>
      </x:c>
      <x:c r="B105" s="27" t="str">
        <x:v>时间序列</x:v>
      </x:c>
      <x:c r="C105" s="27" t="str">
        <x:v>状态切换/Regime Detection</x:v>
      </x:c>
      <x:c r="D105" s="27" t="str">
        <x:v>新兴</x:v>
      </x:c>
      <x:c r="E105" s="27" t="str">
        <x:v>机器学习状态集成</x:v>
      </x:c>
      <x:c r="F105" s="27" t="str">
        <x:v>ML ensemble regime router</x:v>
      </x:c>
      <x:c r="G105" s="27" t="str">
        <x:v>多个弱状态分类器投票选择策略</x:v>
      </x:c>
      <x:c r="H105" s="27" t="str">
        <x:v>股票/期货/FX/期权/加密</x:v>
      </x:c>
      <x:c r="I105" s="27" t="str">
        <x:v>5秒-5分钟</x:v>
      </x:c>
      <x:c r="J105" s="27" t="str">
        <x:v>5-60秒更新状态</x:v>
      </x:c>
      <x:c r="K105" s="27" t="str">
        <x:v>features, meta labels</x:v>
      </x:c>
      <x:c r="L105" s="27" t="str">
        <x:v>状态概率超过阈值后启用对应子策略</x:v>
      </x:c>
      <x:c r="M105" s="27" t="str">
        <x:v>状态置信度下降、风控触发或进入禁交易状态退出</x:v>
      </x:c>
      <x:c r="N105" s="27" t="str">
        <x:v>state_prob, transition_cost, min_duration</x:v>
      </x:c>
      <x:c r="O105" s="27" t="str">
        <x:v>高</x:v>
      </x:c>
      <x:c r="P105" s="27" t="str">
        <x:v>中</x:v>
      </x:c>
      <x:c r="Q105" s="27" t="str">
        <x:v>状态误判、样本不足、模型滞后</x:v>
      </x:c>
      <x:c r="R105" s="27" t="str">
        <x:v>按状态输出混淆矩阵和策略分层PnL</x:v>
      </x:c>
      <x:c r="S105" s="27" t="str">
        <x:v>arXiv q-fin.TR Trading and Market Microstructure</x:v>
      </x:c>
      <x:c r="T105" s="27" t="str">
        <x:v>https://arxiv.org/list/q-fin.TR/recent</x:v>
      </x:c>
      <x:c r="U105" s="27" t="str"/>
    </x:row>
    <x:row r="106" ht="54" customHeight="1">
      <x:c r="A106" s="27" t="str">
        <x:v>TS105</x:v>
      </x:c>
      <x:c r="B106" s="27" t="str">
        <x:v>时间序列</x:v>
      </x:c>
      <x:c r="C106" s="27" t="str">
        <x:v>日内季节性/事件时间</x:v>
      </x:c>
      <x:c r="D106" s="27" t="str">
        <x:v>经典</x:v>
      </x:c>
      <x:c r="E106" s="27" t="str">
        <x:v>开盘5分钟方向延续</x:v>
      </x:c>
      <x:c r="F106" s="27" t="str">
        <x:v>first-five-min continuation</x:v>
      </x:c>
      <x:c r="G106" s="27" t="str">
        <x:v>开盘价格发现形成短线惯性</x:v>
      </x:c>
      <x:c r="H106" s="27" t="str">
        <x:v>股票/ETF/期货/FX/期权/债券/加密</x:v>
      </x:c>
      <x:c r="I106" s="27" t="str">
        <x:v>30秒-5分钟</x:v>
      </x:c>
      <x:c r="J106" s="27" t="str">
        <x:v>事件窗口内5-30秒</x:v>
      </x:c>
      <x:c r="K106" s="27" t="str">
        <x:v>clock, price</x:v>
      </x:c>
      <x:c r="L106" s="27" t="str">
        <x:v>只在预定义时间窗内启用方向/回归规则</x:v>
      </x:c>
      <x:c r="M106" s="27" t="str">
        <x:v>窗口结束、目标价、异常点差或事件二次冲击退出</x:v>
      </x:c>
      <x:c r="N106" s="27" t="str">
        <x:v>event_window, clock_filter, imbalance_threshold</x:v>
      </x:c>
      <x:c r="O106" s="27" t="str">
        <x:v>中</x:v>
      </x:c>
      <x:c r="P106" s="27" t="str">
        <x:v>中-高</x:v>
      </x:c>
      <x:c r="Q106" s="27" t="str">
        <x:v>事件解释错误、样本少、交易拥挤</x:v>
      </x:c>
      <x:c r="R106" s="27" t="str">
        <x:v>使用事件日与非事件日对照，并做日期外推</x:v>
      </x:c>
      <x:c r="S106" s="27" t="str">
        <x:v>QuantConnect Strategy Library</x:v>
      </x:c>
      <x:c r="T106" s="27" t="str">
        <x:v>https://www.quantconnect.com/docs/v2/writing-algorithms/strategy-library</x:v>
      </x:c>
      <x:c r="U106" s="27" t="str"/>
    </x:row>
    <x:row r="107" ht="54" customHeight="1">
      <x:c r="A107" s="27" t="str">
        <x:v>TS106</x:v>
      </x:c>
      <x:c r="B107" s="27" t="str">
        <x:v>时间序列</x:v>
      </x:c>
      <x:c r="C107" s="27" t="str">
        <x:v>日内季节性/事件时间</x:v>
      </x:c>
      <x:c r="D107" s="27" t="str">
        <x:v>经典</x:v>
      </x:c>
      <x:c r="E107" s="27" t="str">
        <x:v>开盘缺口回补</x:v>
      </x:c>
      <x:c r="F107" s="27" t="str">
        <x:v>open gap fill</x:v>
      </x:c>
      <x:c r="G107" s="27" t="str">
        <x:v>隔夜缺口在开盘初期部分回补</x:v>
      </x:c>
      <x:c r="H107" s="27" t="str">
        <x:v>股票/ETF/期货/FX/期权/债券/加密</x:v>
      </x:c>
      <x:c r="I107" s="27" t="str">
        <x:v>30秒-5分钟</x:v>
      </x:c>
      <x:c r="J107" s="27" t="str">
        <x:v>事件窗口内5-30秒</x:v>
      </x:c>
      <x:c r="K107" s="27" t="str">
        <x:v>prev close, open</x:v>
      </x:c>
      <x:c r="L107" s="27" t="str">
        <x:v>只在预定义时间窗内启用方向/回归规则</x:v>
      </x:c>
      <x:c r="M107" s="27" t="str">
        <x:v>窗口结束、目标价、异常点差或事件二次冲击退出</x:v>
      </x:c>
      <x:c r="N107" s="27" t="str">
        <x:v>event_window, clock_filter, imbalance_threshold</x:v>
      </x:c>
      <x:c r="O107" s="27" t="str">
        <x:v>中</x:v>
      </x:c>
      <x:c r="P107" s="27" t="str">
        <x:v>中-高</x:v>
      </x:c>
      <x:c r="Q107" s="27" t="str">
        <x:v>事件解释错误、样本少、交易拥挤</x:v>
      </x:c>
      <x:c r="R107" s="27" t="str">
        <x:v>使用事件日与非事件日对照，并做日期外推</x:v>
      </x:c>
      <x:c r="S107" s="27" t="str">
        <x:v>QuantConnect Strategy Library</x:v>
      </x:c>
      <x:c r="T107" s="27" t="str">
        <x:v>https://www.quantconnect.com/docs/v2/writing-algorithms/strategy-library</x:v>
      </x:c>
      <x:c r="U107" s="27" t="str"/>
    </x:row>
    <x:row r="108" ht="54" customHeight="1">
      <x:c r="A108" s="27" t="str">
        <x:v>TS107</x:v>
      </x:c>
      <x:c r="B108" s="27" t="str">
        <x:v>时间序列</x:v>
      </x:c>
      <x:c r="C108" s="27" t="str">
        <x:v>日内季节性/事件时间</x:v>
      </x:c>
      <x:c r="D108" s="27" t="str">
        <x:v>经典</x:v>
      </x:c>
      <x:c r="E108" s="27" t="str">
        <x:v>午盘低流动性反转</x:v>
      </x:c>
      <x:c r="F108" s="27" t="str">
        <x:v>lunch liquidity reversal</x:v>
      </x:c>
      <x:c r="G108" s="27" t="str">
        <x:v>低流动性时过度反应更容易反转</x:v>
      </x:c>
      <x:c r="H108" s="27" t="str">
        <x:v>股票/ETF/期货/FX/期权/债券/加密</x:v>
      </x:c>
      <x:c r="I108" s="27" t="str">
        <x:v>30秒-5分钟</x:v>
      </x:c>
      <x:c r="J108" s="27" t="str">
        <x:v>事件窗口内5-30秒</x:v>
      </x:c>
      <x:c r="K108" s="27" t="str">
        <x:v>time, liquidity</x:v>
      </x:c>
      <x:c r="L108" s="27" t="str">
        <x:v>只在预定义时间窗内启用方向/回归规则</x:v>
      </x:c>
      <x:c r="M108" s="27" t="str">
        <x:v>窗口结束、目标价、异常点差或事件二次冲击退出</x:v>
      </x:c>
      <x:c r="N108" s="27" t="str">
        <x:v>event_window, clock_filter, imbalance_threshold</x:v>
      </x:c>
      <x:c r="O108" s="27" t="str">
        <x:v>中</x:v>
      </x:c>
      <x:c r="P108" s="27" t="str">
        <x:v>中-高</x:v>
      </x:c>
      <x:c r="Q108" s="27" t="str">
        <x:v>事件解释错误、样本少、交易拥挤</x:v>
      </x:c>
      <x:c r="R108" s="27" t="str">
        <x:v>使用事件日与非事件日对照，并做日期外推</x:v>
      </x:c>
      <x:c r="S108" s="27" t="str">
        <x:v>QuantConnect Strategy Library</x:v>
      </x:c>
      <x:c r="T108" s="27" t="str">
        <x:v>https://www.quantconnect.com/docs/v2/writing-algorithms/strategy-library</x:v>
      </x:c>
      <x:c r="U108" s="27" t="str"/>
    </x:row>
    <x:row r="109" ht="54" customHeight="1">
      <x:c r="A109" s="27" t="str">
        <x:v>TS108</x:v>
      </x:c>
      <x:c r="B109" s="27" t="str">
        <x:v>时间序列</x:v>
      </x:c>
      <x:c r="C109" s="27" t="str">
        <x:v>日内季节性/事件时间</x:v>
      </x:c>
      <x:c r="D109" s="27" t="str">
        <x:v>经典</x:v>
      </x:c>
      <x:c r="E109" s="27" t="str">
        <x:v>收盘前趋势延续</x:v>
      </x:c>
      <x:c r="F109" s="27" t="str">
        <x:v>pre-close continuation</x:v>
      </x:c>
      <x:c r="G109" s="27" t="str">
        <x:v>调仓资金在收盘前持续冲击</x:v>
      </x:c>
      <x:c r="H109" s="27" t="str">
        <x:v>股票/ETF/期货/FX/期权/债券/加密</x:v>
      </x:c>
      <x:c r="I109" s="27" t="str">
        <x:v>30秒-5分钟</x:v>
      </x:c>
      <x:c r="J109" s="27" t="str">
        <x:v>事件窗口内5-30秒</x:v>
      </x:c>
      <x:c r="K109" s="27" t="str">
        <x:v>time, volume</x:v>
      </x:c>
      <x:c r="L109" s="27" t="str">
        <x:v>只在预定义时间窗内启用方向/回归规则</x:v>
      </x:c>
      <x:c r="M109" s="27" t="str">
        <x:v>窗口结束、目标价、异常点差或事件二次冲击退出</x:v>
      </x:c>
      <x:c r="N109" s="27" t="str">
        <x:v>event_window, clock_filter, imbalance_threshold</x:v>
      </x:c>
      <x:c r="O109" s="27" t="str">
        <x:v>中</x:v>
      </x:c>
      <x:c r="P109" s="27" t="str">
        <x:v>中-高</x:v>
      </x:c>
      <x:c r="Q109" s="27" t="str">
        <x:v>事件解释错误、样本少、交易拥挤</x:v>
      </x:c>
      <x:c r="R109" s="27" t="str">
        <x:v>使用事件日与非事件日对照，并做日期外推</x:v>
      </x:c>
      <x:c r="S109" s="27" t="str">
        <x:v>QuantConnect Strategy Library</x:v>
      </x:c>
      <x:c r="T109" s="27" t="str">
        <x:v>https://www.quantconnect.com/docs/v2/writing-algorithms/strategy-library</x:v>
      </x:c>
      <x:c r="U109" s="27" t="str"/>
    </x:row>
    <x:row r="110" ht="54" customHeight="1">
      <x:c r="A110" s="27" t="str">
        <x:v>TS109</x:v>
      </x:c>
      <x:c r="B110" s="27" t="str">
        <x:v>时间序列</x:v>
      </x:c>
      <x:c r="C110" s="27" t="str">
        <x:v>日内季节性/事件时间</x:v>
      </x:c>
      <x:c r="D110" s="27" t="str">
        <x:v>经典</x:v>
      </x:c>
      <x:c r="E110" s="27" t="str">
        <x:v>收盘竞价前不平衡跟随</x:v>
      </x:c>
      <x:c r="F110" s="27" t="str">
        <x:v>pre-auction imbalance follow</x:v>
      </x:c>
      <x:c r="G110" s="27" t="str">
        <x:v>竞价不平衡披露后价格向不平衡方向调整</x:v>
      </x:c>
      <x:c r="H110" s="27" t="str">
        <x:v>股票/ETF/期货/FX/期权/债券/加密</x:v>
      </x:c>
      <x:c r="I110" s="27" t="str">
        <x:v>30秒-5分钟</x:v>
      </x:c>
      <x:c r="J110" s="27" t="str">
        <x:v>事件窗口内5-30秒</x:v>
      </x:c>
      <x:c r="K110" s="27" t="str">
        <x:v>imbalance feed</x:v>
      </x:c>
      <x:c r="L110" s="27" t="str">
        <x:v>只在预定义时间窗内启用方向/回归规则</x:v>
      </x:c>
      <x:c r="M110" s="27" t="str">
        <x:v>窗口结束、目标价、异常点差或事件二次冲击退出</x:v>
      </x:c>
      <x:c r="N110" s="27" t="str">
        <x:v>event_window, clock_filter, imbalance_threshold</x:v>
      </x:c>
      <x:c r="O110" s="27" t="str">
        <x:v>中</x:v>
      </x:c>
      <x:c r="P110" s="27" t="str">
        <x:v>中-高</x:v>
      </x:c>
      <x:c r="Q110" s="27" t="str">
        <x:v>事件解释错误、样本少、交易拥挤</x:v>
      </x:c>
      <x:c r="R110" s="27" t="str">
        <x:v>使用事件日与非事件日对照，并做日期外推</x:v>
      </x:c>
      <x:c r="S110" s="27" t="str">
        <x:v>QuantConnect Strategy Library</x:v>
      </x:c>
      <x:c r="T110" s="27" t="str">
        <x:v>https://www.quantconnect.com/docs/v2/writing-algorithms/strategy-library</x:v>
      </x:c>
      <x:c r="U110" s="27" t="str"/>
    </x:row>
    <x:row r="111" ht="54" customHeight="1">
      <x:c r="A111" s="27" t="str">
        <x:v>TS110</x:v>
      </x:c>
      <x:c r="B111" s="27" t="str">
        <x:v>时间序列</x:v>
      </x:c>
      <x:c r="C111" s="27" t="str">
        <x:v>日内季节性/事件时间</x:v>
      </x:c>
      <x:c r="D111" s="27" t="str">
        <x:v>经典</x:v>
      </x:c>
      <x:c r="E111" s="27" t="str">
        <x:v>指数再平衡日短线冲击</x:v>
      </x:c>
      <x:c r="F111" s="27" t="str">
        <x:v>index rebalance intraday flow</x:v>
      </x:c>
      <x:c r="G111" s="27" t="str">
        <x:v>被动资金调仓造成可预期短窗冲击</x:v>
      </x:c>
      <x:c r="H111" s="27" t="str">
        <x:v>股票/ETF/期货/FX/期权/债券/加密</x:v>
      </x:c>
      <x:c r="I111" s="27" t="str">
        <x:v>30秒-5分钟</x:v>
      </x:c>
      <x:c r="J111" s="27" t="str">
        <x:v>事件窗口内5-30秒</x:v>
      </x:c>
      <x:c r="K111" s="27" t="str">
        <x:v>calendar, index changes</x:v>
      </x:c>
      <x:c r="L111" s="27" t="str">
        <x:v>只在预定义时间窗内启用方向/回归规则</x:v>
      </x:c>
      <x:c r="M111" s="27" t="str">
        <x:v>窗口结束、目标价、异常点差或事件二次冲击退出</x:v>
      </x:c>
      <x:c r="N111" s="27" t="str">
        <x:v>event_window, clock_filter, imbalance_threshold</x:v>
      </x:c>
      <x:c r="O111" s="27" t="str">
        <x:v>中</x:v>
      </x:c>
      <x:c r="P111" s="27" t="str">
        <x:v>中-高</x:v>
      </x:c>
      <x:c r="Q111" s="27" t="str">
        <x:v>事件解释错误、样本少、交易拥挤</x:v>
      </x:c>
      <x:c r="R111" s="27" t="str">
        <x:v>使用事件日与非事件日对照，并做日期外推</x:v>
      </x:c>
      <x:c r="S111" s="27" t="str">
        <x:v>QuantConnect Strategy Library</x:v>
      </x:c>
      <x:c r="T111" s="27" t="str">
        <x:v>https://www.quantconnect.com/docs/v2/writing-algorithms/strategy-library</x:v>
      </x:c>
      <x:c r="U111" s="27" t="str"/>
    </x:row>
    <x:row r="112" ht="54" customHeight="1">
      <x:c r="A112" s="27" t="str">
        <x:v>TS111</x:v>
      </x:c>
      <x:c r="B112" s="27" t="str">
        <x:v>时间序列</x:v>
      </x:c>
      <x:c r="C112" s="27" t="str">
        <x:v>日内季节性/事件时间</x:v>
      </x:c>
      <x:c r="D112" s="27" t="str">
        <x:v>经典</x:v>
      </x:c>
      <x:c r="E112" s="27" t="str">
        <x:v>期权到期日gamma pin</x:v>
      </x:c>
      <x:c r="F112" s="27" t="str">
        <x:v>expiry-day gamma pin</x:v>
      </x:c>
      <x:c r="G112" s="27" t="str">
        <x:v>大持仓行权价附近价格受对冲流影响</x:v>
      </x:c>
      <x:c r="H112" s="27" t="str">
        <x:v>股票/ETF/期货/FX/期权/债券/加密</x:v>
      </x:c>
      <x:c r="I112" s="27" t="str">
        <x:v>30秒-5分钟</x:v>
      </x:c>
      <x:c r="J112" s="27" t="str">
        <x:v>事件窗口内5-30秒</x:v>
      </x:c>
      <x:c r="K112" s="27" t="str">
        <x:v>options OI, spot</x:v>
      </x:c>
      <x:c r="L112" s="27" t="str">
        <x:v>只在预定义时间窗内启用方向/回归规则</x:v>
      </x:c>
      <x:c r="M112" s="27" t="str">
        <x:v>窗口结束、目标价、异常点差或事件二次冲击退出</x:v>
      </x:c>
      <x:c r="N112" s="27" t="str">
        <x:v>event_window, clock_filter, imbalance_threshold</x:v>
      </x:c>
      <x:c r="O112" s="27" t="str">
        <x:v>中</x:v>
      </x:c>
      <x:c r="P112" s="27" t="str">
        <x:v>中-高</x:v>
      </x:c>
      <x:c r="Q112" s="27" t="str">
        <x:v>事件解释错误、样本少、交易拥挤</x:v>
      </x:c>
      <x:c r="R112" s="27" t="str">
        <x:v>使用事件日与非事件日对照，并做日期外推</x:v>
      </x:c>
      <x:c r="S112" s="27" t="str">
        <x:v>QuantConnect Strategy Library</x:v>
      </x:c>
      <x:c r="T112" s="27" t="str">
        <x:v>https://www.quantconnect.com/docs/v2/writing-algorithms/strategy-library</x:v>
      </x:c>
      <x:c r="U112" s="27" t="str"/>
    </x:row>
    <x:row r="113" ht="54" customHeight="1">
      <x:c r="A113" s="27" t="str">
        <x:v>TS112</x:v>
      </x:c>
      <x:c r="B113" s="27" t="str">
        <x:v>时间序列</x:v>
      </x:c>
      <x:c r="C113" s="27" t="str">
        <x:v>日内季节性/事件时间</x:v>
      </x:c>
      <x:c r="D113" s="27" t="str">
        <x:v>经典</x:v>
      </x:c>
      <x:c r="E113" s="27" t="str">
        <x:v>0DTE午后gamma挤压</x:v>
      </x:c>
      <x:c r="F113" s="27" t="str">
        <x:v>0DTE afternoon gamma squeeze</x:v>
      </x:c>
      <x:c r="G113" s="27" t="str">
        <x:v>当日到期期权gamma对冲放大标的短线波动</x:v>
      </x:c>
      <x:c r="H113" s="27" t="str">
        <x:v>股票/ETF/期货/FX/期权/债券/加密</x:v>
      </x:c>
      <x:c r="I113" s="27" t="str">
        <x:v>30秒-5分钟</x:v>
      </x:c>
      <x:c r="J113" s="27" t="str">
        <x:v>事件窗口内5-30秒</x:v>
      </x:c>
      <x:c r="K113" s="27" t="str">
        <x:v>0DTE options</x:v>
      </x:c>
      <x:c r="L113" s="27" t="str">
        <x:v>只在预定义时间窗内启用方向/回归规则</x:v>
      </x:c>
      <x:c r="M113" s="27" t="str">
        <x:v>窗口结束、目标价、异常点差或事件二次冲击退出</x:v>
      </x:c>
      <x:c r="N113" s="27" t="str">
        <x:v>event_window, clock_filter, imbalance_threshold</x:v>
      </x:c>
      <x:c r="O113" s="27" t="str">
        <x:v>中</x:v>
      </x:c>
      <x:c r="P113" s="27" t="str">
        <x:v>中-高</x:v>
      </x:c>
      <x:c r="Q113" s="27" t="str">
        <x:v>事件解释错误、样本少、交易拥挤</x:v>
      </x:c>
      <x:c r="R113" s="27" t="str">
        <x:v>使用事件日与非事件日对照，并做日期外推</x:v>
      </x:c>
      <x:c r="S113" s="27" t="str">
        <x:v>QuantConnect Strategy Library</x:v>
      </x:c>
      <x:c r="T113" s="27" t="str">
        <x:v>https://www.quantconnect.com/docs/v2/writing-algorithms/strategy-library</x:v>
      </x:c>
      <x:c r="U113" s="27" t="str"/>
    </x:row>
    <x:row r="114" ht="54" customHeight="1">
      <x:c r="A114" s="27" t="str">
        <x:v>TS113</x:v>
      </x:c>
      <x:c r="B114" s="27" t="str">
        <x:v>时间序列</x:v>
      </x:c>
      <x:c r="C114" s="27" t="str">
        <x:v>日内季节性/事件时间</x:v>
      </x:c>
      <x:c r="D114" s="27" t="str">
        <x:v>经典</x:v>
      </x:c>
      <x:c r="E114" s="27" t="str">
        <x:v>宏观数据发布后延续</x:v>
      </x:c>
      <x:c r="F114" s="27" t="str">
        <x:v>post-macro release drift</x:v>
      </x:c>
      <x:c r="G114" s="27" t="str">
        <x:v>经济数据发布后价格发现分阶段完成</x:v>
      </x:c>
      <x:c r="H114" s="27" t="str">
        <x:v>股票/ETF/期货/FX/期权/债券/加密</x:v>
      </x:c>
      <x:c r="I114" s="27" t="str">
        <x:v>30秒-5分钟</x:v>
      </x:c>
      <x:c r="J114" s="27" t="str">
        <x:v>事件窗口内5-30秒</x:v>
      </x:c>
      <x:c r="K114" s="27" t="str">
        <x:v>macro calendar</x:v>
      </x:c>
      <x:c r="L114" s="27" t="str">
        <x:v>只在预定义时间窗内启用方向/回归规则</x:v>
      </x:c>
      <x:c r="M114" s="27" t="str">
        <x:v>窗口结束、目标价、异常点差或事件二次冲击退出</x:v>
      </x:c>
      <x:c r="N114" s="27" t="str">
        <x:v>event_window, clock_filter, imbalance_threshold</x:v>
      </x:c>
      <x:c r="O114" s="27" t="str">
        <x:v>中</x:v>
      </x:c>
      <x:c r="P114" s="27" t="str">
        <x:v>中-高</x:v>
      </x:c>
      <x:c r="Q114" s="27" t="str">
        <x:v>事件解释错误、样本少、交易拥挤</x:v>
      </x:c>
      <x:c r="R114" s="27" t="str">
        <x:v>使用事件日与非事件日对照，并做日期外推</x:v>
      </x:c>
      <x:c r="S114" s="27" t="str">
        <x:v>QuantConnect Strategy Library</x:v>
      </x:c>
      <x:c r="T114" s="27" t="str">
        <x:v>https://www.quantconnect.com/docs/v2/writing-algorithms/strategy-library</x:v>
      </x:c>
      <x:c r="U114" s="27" t="str"/>
    </x:row>
    <x:row r="115" ht="54" customHeight="1">
      <x:c r="A115" s="27" t="str">
        <x:v>TS114</x:v>
      </x:c>
      <x:c r="B115" s="27" t="str">
        <x:v>时间序列</x:v>
      </x:c>
      <x:c r="C115" s="27" t="str">
        <x:v>日内季节性/事件时间</x:v>
      </x:c>
      <x:c r="D115" s="27" t="str">
        <x:v>经典</x:v>
      </x:c>
      <x:c r="E115" s="27" t="str">
        <x:v>央行讲话标题冲击</x:v>
      </x:c>
      <x:c r="F115" s="27" t="str">
        <x:v>central-bank headline reaction</x:v>
      </x:c>
      <x:c r="G115" s="27" t="str">
        <x:v>央行关键词带来秒级趋势/反转</x:v>
      </x:c>
      <x:c r="H115" s="27" t="str">
        <x:v>股票/ETF/期货/FX/期权/债券/加密</x:v>
      </x:c>
      <x:c r="I115" s="27" t="str">
        <x:v>30秒-5分钟</x:v>
      </x:c>
      <x:c r="J115" s="27" t="str">
        <x:v>事件窗口内5-30秒</x:v>
      </x:c>
      <x:c r="K115" s="27" t="str">
        <x:v>headline feed</x:v>
      </x:c>
      <x:c r="L115" s="27" t="str">
        <x:v>只在预定义时间窗内启用方向/回归规则</x:v>
      </x:c>
      <x:c r="M115" s="27" t="str">
        <x:v>窗口结束、目标价、异常点差或事件二次冲击退出</x:v>
      </x:c>
      <x:c r="N115" s="27" t="str">
        <x:v>event_window, clock_filter, imbalance_threshold</x:v>
      </x:c>
      <x:c r="O115" s="27" t="str">
        <x:v>中</x:v>
      </x:c>
      <x:c r="P115" s="27" t="str">
        <x:v>中-高</x:v>
      </x:c>
      <x:c r="Q115" s="27" t="str">
        <x:v>事件解释错误、样本少、交易拥挤</x:v>
      </x:c>
      <x:c r="R115" s="27" t="str">
        <x:v>使用事件日与非事件日对照，并做日期外推</x:v>
      </x:c>
      <x:c r="S115" s="27" t="str">
        <x:v>QuantConnect Strategy Library</x:v>
      </x:c>
      <x:c r="T115" s="27" t="str">
        <x:v>https://www.quantconnect.com/docs/v2/writing-algorithms/strategy-library</x:v>
      </x:c>
      <x:c r="U115" s="27" t="str"/>
    </x:row>
    <x:row r="116" ht="54" customHeight="1">
      <x:c r="A116" s="27" t="str">
        <x:v>TS115</x:v>
      </x:c>
      <x:c r="B116" s="27" t="str">
        <x:v>时间序列</x:v>
      </x:c>
      <x:c r="C116" s="27" t="str">
        <x:v>日内季节性/事件时间</x:v>
      </x:c>
      <x:c r="D116" s="27" t="str">
        <x:v>新兴</x:v>
      </x:c>
      <x:c r="E116" s="27" t="str">
        <x:v>EIA库存数据原油冲击</x:v>
      </x:c>
      <x:c r="F116" s="27" t="str">
        <x:v>EIA inventory oil shock</x:v>
      </x:c>
      <x:c r="G116" s="27" t="str">
        <x:v>库存数据后原油期货短时重新定价</x:v>
      </x:c>
      <x:c r="H116" s="27" t="str">
        <x:v>股票/ETF/期货/FX/期权/债券/加密</x:v>
      </x:c>
      <x:c r="I116" s="27" t="str">
        <x:v>30秒-5分钟</x:v>
      </x:c>
      <x:c r="J116" s="27" t="str">
        <x:v>事件窗口内5-30秒</x:v>
      </x:c>
      <x:c r="K116" s="27" t="str">
        <x:v>calendar, futures</x:v>
      </x:c>
      <x:c r="L116" s="27" t="str">
        <x:v>只在预定义时间窗内启用方向/回归规则</x:v>
      </x:c>
      <x:c r="M116" s="27" t="str">
        <x:v>窗口结束、目标价、异常点差或事件二次冲击退出</x:v>
      </x:c>
      <x:c r="N116" s="27" t="str">
        <x:v>event_window, clock_filter, imbalance_threshold</x:v>
      </x:c>
      <x:c r="O116" s="27" t="str">
        <x:v>中</x:v>
      </x:c>
      <x:c r="P116" s="27" t="str">
        <x:v>中-高</x:v>
      </x:c>
      <x:c r="Q116" s="27" t="str">
        <x:v>事件解释错误、样本少、交易拥挤</x:v>
      </x:c>
      <x:c r="R116" s="27" t="str">
        <x:v>使用事件日与非事件日对照，并做日期外推</x:v>
      </x:c>
      <x:c r="S116" s="27" t="str">
        <x:v>QuantConnect Strategy Library</x:v>
      </x:c>
      <x:c r="T116" s="27" t="str">
        <x:v>https://www.quantconnect.com/docs/v2/writing-algorithms/strategy-library</x:v>
      </x:c>
      <x:c r="U116" s="27" t="str"/>
    </x:row>
    <x:row r="117" ht="54" customHeight="1">
      <x:c r="A117" s="27" t="str">
        <x:v>TS116</x:v>
      </x:c>
      <x:c r="B117" s="27" t="str">
        <x:v>时间序列</x:v>
      </x:c>
      <x:c r="C117" s="27" t="str">
        <x:v>日内季节性/事件时间</x:v>
      </x:c>
      <x:c r="D117" s="27" t="str">
        <x:v>新兴</x:v>
      </x:c>
      <x:c r="E117" s="27" t="str">
        <x:v>FOMC前后波动门控</x:v>
      </x:c>
      <x:c r="F117" s="27" t="str">
        <x:v>FOMC volatility gate</x:v>
      </x:c>
      <x:c r="G117" s="27" t="str">
        <x:v>重大事件前后常规信号需关闭或放宽</x:v>
      </x:c>
      <x:c r="H117" s="27" t="str">
        <x:v>股票/ETF/期货/FX/期权/债券/加密</x:v>
      </x:c>
      <x:c r="I117" s="27" t="str">
        <x:v>30秒-5分钟</x:v>
      </x:c>
      <x:c r="J117" s="27" t="str">
        <x:v>事件窗口内5-30秒</x:v>
      </x:c>
      <x:c r="K117" s="27" t="str">
        <x:v>event calendar</x:v>
      </x:c>
      <x:c r="L117" s="27" t="str">
        <x:v>只在预定义时间窗内启用方向/回归规则</x:v>
      </x:c>
      <x:c r="M117" s="27" t="str">
        <x:v>窗口结束、目标价、异常点差或事件二次冲击退出</x:v>
      </x:c>
      <x:c r="N117" s="27" t="str">
        <x:v>event_window, clock_filter, imbalance_threshold</x:v>
      </x:c>
      <x:c r="O117" s="27" t="str">
        <x:v>中</x:v>
      </x:c>
      <x:c r="P117" s="27" t="str">
        <x:v>中-高</x:v>
      </x:c>
      <x:c r="Q117" s="27" t="str">
        <x:v>事件解释错误、样本少、交易拥挤</x:v>
      </x:c>
      <x:c r="R117" s="27" t="str">
        <x:v>使用事件日与非事件日对照，并做日期外推</x:v>
      </x:c>
      <x:c r="S117" s="27" t="str">
        <x:v>QuantConnect Strategy Library</x:v>
      </x:c>
      <x:c r="T117" s="27" t="str">
        <x:v>https://www.quantconnect.com/docs/v2/writing-algorithms/strategy-library</x:v>
      </x:c>
      <x:c r="U117" s="27" t="str"/>
    </x:row>
    <x:row r="118" ht="54" customHeight="1">
      <x:c r="A118" s="27" t="str">
        <x:v>TS117</x:v>
      </x:c>
      <x:c r="B118" s="27" t="str">
        <x:v>时间序列</x:v>
      </x:c>
      <x:c r="C118" s="27" t="str">
        <x:v>日内季节性/事件时间</x:v>
      </x:c>
      <x:c r="D118" s="27" t="str">
        <x:v>新兴</x:v>
      </x:c>
      <x:c r="E118" s="27" t="str">
        <x:v>亚洲/欧洲/美盘FX切换</x:v>
      </x:c>
      <x:c r="F118" s="27" t="str">
        <x:v>FX session handoff</x:v>
      </x:c>
      <x:c r="G118" s="27" t="str">
        <x:v>交易时段切换改变流动性与方向性</x:v>
      </x:c>
      <x:c r="H118" s="27" t="str">
        <x:v>股票/ETF/期货/FX/期权/债券/加密</x:v>
      </x:c>
      <x:c r="I118" s="27" t="str">
        <x:v>30秒-5分钟</x:v>
      </x:c>
      <x:c r="J118" s="27" t="str">
        <x:v>事件窗口内5-30秒</x:v>
      </x:c>
      <x:c r="K118" s="27" t="str">
        <x:v>clock, FX quotes</x:v>
      </x:c>
      <x:c r="L118" s="27" t="str">
        <x:v>只在预定义时间窗内启用方向/回归规则</x:v>
      </x:c>
      <x:c r="M118" s="27" t="str">
        <x:v>窗口结束、目标价、异常点差或事件二次冲击退出</x:v>
      </x:c>
      <x:c r="N118" s="27" t="str">
        <x:v>event_window, clock_filter, imbalance_threshold</x:v>
      </x:c>
      <x:c r="O118" s="27" t="str">
        <x:v>中</x:v>
      </x:c>
      <x:c r="P118" s="27" t="str">
        <x:v>中-高</x:v>
      </x:c>
      <x:c r="Q118" s="27" t="str">
        <x:v>事件解释错误、样本少、交易拥挤</x:v>
      </x:c>
      <x:c r="R118" s="27" t="str">
        <x:v>使用事件日与非事件日对照，并做日期外推</x:v>
      </x:c>
      <x:c r="S118" s="27" t="str">
        <x:v>QuantConnect Strategy Library</x:v>
      </x:c>
      <x:c r="T118" s="27" t="str">
        <x:v>https://www.quantconnect.com/docs/v2/writing-algorithms/strategy-library</x:v>
      </x:c>
      <x:c r="U118" s="27" t="str"/>
    </x:row>
    <x:row r="119" ht="54" customHeight="1">
      <x:c r="A119" s="27" t="str">
        <x:v>TS118</x:v>
      </x:c>
      <x:c r="B119" s="27" t="str">
        <x:v>时间序列</x:v>
      </x:c>
      <x:c r="C119" s="27" t="str">
        <x:v>日内季节性/事件时间</x:v>
      </x:c>
      <x:c r="D119" s="27" t="str">
        <x:v>新兴</x:v>
      </x:c>
      <x:c r="E119" s="27" t="str">
        <x:v>加密资金费率结算窗口</x:v>
      </x:c>
      <x:c r="F119" s="27" t="str">
        <x:v>crypto funding window</x:v>
      </x:c>
      <x:c r="G119" s="27" t="str">
        <x:v>结算前后杠杆资金行为改变</x:v>
      </x:c>
      <x:c r="H119" s="27" t="str">
        <x:v>股票/ETF/期货/FX/期权/债券/加密</x:v>
      </x:c>
      <x:c r="I119" s="27" t="str">
        <x:v>30秒-5分钟</x:v>
      </x:c>
      <x:c r="J119" s="27" t="str">
        <x:v>事件窗口内5-30秒</x:v>
      </x:c>
      <x:c r="K119" s="27" t="str">
        <x:v>funding time</x:v>
      </x:c>
      <x:c r="L119" s="27" t="str">
        <x:v>只在预定义时间窗内启用方向/回归规则</x:v>
      </x:c>
      <x:c r="M119" s="27" t="str">
        <x:v>窗口结束、目标价、异常点差或事件二次冲击退出</x:v>
      </x:c>
      <x:c r="N119" s="27" t="str">
        <x:v>event_window, clock_filter, imbalance_threshold</x:v>
      </x:c>
      <x:c r="O119" s="27" t="str">
        <x:v>中</x:v>
      </x:c>
      <x:c r="P119" s="27" t="str">
        <x:v>中-高</x:v>
      </x:c>
      <x:c r="Q119" s="27" t="str">
        <x:v>事件解释错误、样本少、交易拥挤</x:v>
      </x:c>
      <x:c r="R119" s="27" t="str">
        <x:v>使用事件日与非事件日对照，并做日期外推</x:v>
      </x:c>
      <x:c r="S119" s="27" t="str">
        <x:v>QuantConnect Strategy Library</x:v>
      </x:c>
      <x:c r="T119" s="27" t="str">
        <x:v>https://www.quantconnect.com/docs/v2/writing-algorithms/strategy-library</x:v>
      </x:c>
      <x:c r="U119" s="27" t="str"/>
    </x:row>
    <x:row r="120" ht="54" customHeight="1">
      <x:c r="A120" s="27" t="str">
        <x:v>TS119</x:v>
      </x:c>
      <x:c r="B120" s="27" t="str">
        <x:v>时间序列</x:v>
      </x:c>
      <x:c r="C120" s="27" t="str">
        <x:v>日内季节性/事件时间</x:v>
      </x:c>
      <x:c r="D120" s="27" t="str">
        <x:v>新兴</x:v>
      </x:c>
      <x:c r="E120" s="27" t="str">
        <x:v>期货换月价差波动</x:v>
      </x:c>
      <x:c r="F120" s="27" t="str">
        <x:v>futures roll micro spread</x:v>
      </x:c>
      <x:c r="G120" s="27" t="str">
        <x:v>换月期主次合约流动性迁移造成短时价差机会</x:v>
      </x:c>
      <x:c r="H120" s="27" t="str">
        <x:v>股票/ETF/期货/FX/期权/债券/加密</x:v>
      </x:c>
      <x:c r="I120" s="27" t="str">
        <x:v>30秒-5分钟</x:v>
      </x:c>
      <x:c r="J120" s="27" t="str">
        <x:v>事件窗口内5-30秒</x:v>
      </x:c>
      <x:c r="K120" s="27" t="str">
        <x:v>front/next contracts</x:v>
      </x:c>
      <x:c r="L120" s="27" t="str">
        <x:v>只在预定义时间窗内启用方向/回归规则</x:v>
      </x:c>
      <x:c r="M120" s="27" t="str">
        <x:v>窗口结束、目标价、异常点差或事件二次冲击退出</x:v>
      </x:c>
      <x:c r="N120" s="27" t="str">
        <x:v>event_window, clock_filter, imbalance_threshold</x:v>
      </x:c>
      <x:c r="O120" s="27" t="str">
        <x:v>中</x:v>
      </x:c>
      <x:c r="P120" s="27" t="str">
        <x:v>中-高</x:v>
      </x:c>
      <x:c r="Q120" s="27" t="str">
        <x:v>事件解释错误、样本少、交易拥挤</x:v>
      </x:c>
      <x:c r="R120" s="27" t="str">
        <x:v>使用事件日与非事件日对照，并做日期外推</x:v>
      </x:c>
      <x:c r="S120" s="27" t="str">
        <x:v>QuantConnect Strategy Library</x:v>
      </x:c>
      <x:c r="T120" s="27" t="str">
        <x:v>https://www.quantconnect.com/docs/v2/writing-algorithms/strategy-library</x:v>
      </x:c>
      <x:c r="U120" s="27" t="str"/>
    </x:row>
    <x:row r="121" ht="54" customHeight="1">
      <x:c r="A121" s="27" t="str">
        <x:v>TS120</x:v>
      </x:c>
      <x:c r="B121" s="27" t="str">
        <x:v>时间序列</x:v>
      </x:c>
      <x:c r="C121" s="27" t="str">
        <x:v>日内季节性/事件时间</x:v>
      </x:c>
      <x:c r="D121" s="27" t="str">
        <x:v>新兴</x:v>
      </x:c>
      <x:c r="E121" s="27" t="str">
        <x:v>债券拍卖后收益率反应</x:v>
      </x:c>
      <x:c r="F121" s="27" t="str">
        <x:v>post-treasury-auction reaction</x:v>
      </x:c>
      <x:c r="G121" s="27" t="str">
        <x:v>拍卖结果公布后收益率短时调整</x:v>
      </x:c>
      <x:c r="H121" s="27" t="str">
        <x:v>股票/ETF/期货/FX/期权/债券/加密</x:v>
      </x:c>
      <x:c r="I121" s="27" t="str">
        <x:v>30秒-5分钟</x:v>
      </x:c>
      <x:c r="J121" s="27" t="str">
        <x:v>事件窗口内5-30秒</x:v>
      </x:c>
      <x:c r="K121" s="27" t="str">
        <x:v>auction calendar</x:v>
      </x:c>
      <x:c r="L121" s="27" t="str">
        <x:v>只在预定义时间窗内启用方向/回归规则</x:v>
      </x:c>
      <x:c r="M121" s="27" t="str">
        <x:v>窗口结束、目标价、异常点差或事件二次冲击退出</x:v>
      </x:c>
      <x:c r="N121" s="27" t="str">
        <x:v>event_window, clock_filter, imbalance_threshold</x:v>
      </x:c>
      <x:c r="O121" s="27" t="str">
        <x:v>中</x:v>
      </x:c>
      <x:c r="P121" s="27" t="str">
        <x:v>中-高</x:v>
      </x:c>
      <x:c r="Q121" s="27" t="str">
        <x:v>事件解释错误、样本少、交易拥挤</x:v>
      </x:c>
      <x:c r="R121" s="27" t="str">
        <x:v>使用事件日与非事件日对照，并做日期外推</x:v>
      </x:c>
      <x:c r="S121" s="27" t="str">
        <x:v>QuantConnect Strategy Library</x:v>
      </x:c>
      <x:c r="T121" s="27" t="str">
        <x:v>https://www.quantconnect.com/docs/v2/writing-algorithms/strategy-library</x:v>
      </x:c>
      <x:c r="U121" s="27" t="str"/>
    </x:row>
    <x:row r="122" ht="54" customHeight="1">
      <x:c r="A122" s="27" t="str">
        <x:v>TS121</x:v>
      </x:c>
      <x:c r="B122" s="27" t="str">
        <x:v>时间序列</x:v>
      </x:c>
      <x:c r="C122" s="27" t="str">
        <x:v>日内季节性/事件时间</x:v>
      </x:c>
      <x:c r="D122" s="27" t="str">
        <x:v>新兴</x:v>
      </x:c>
      <x:c r="E122" s="27" t="str">
        <x:v>财报电话会关键词</x:v>
      </x:c>
      <x:c r="F122" s="27" t="str">
        <x:v>earnings-call keyword drift</x:v>
      </x:c>
      <x:c r="G122" s="27" t="str">
        <x:v>电话会关键词在盘后/盘中引发短窗波动</x:v>
      </x:c>
      <x:c r="H122" s="27" t="str">
        <x:v>股票/ETF/期货/FX/期权/债券/加密</x:v>
      </x:c>
      <x:c r="I122" s="27" t="str">
        <x:v>30秒-5分钟</x:v>
      </x:c>
      <x:c r="J122" s="27" t="str">
        <x:v>事件窗口内5-30秒</x:v>
      </x:c>
      <x:c r="K122" s="27" t="str">
        <x:v>transcript, tick</x:v>
      </x:c>
      <x:c r="L122" s="27" t="str">
        <x:v>只在预定义时间窗内启用方向/回归规则</x:v>
      </x:c>
      <x:c r="M122" s="27" t="str">
        <x:v>窗口结束、目标价、异常点差或事件二次冲击退出</x:v>
      </x:c>
      <x:c r="N122" s="27" t="str">
        <x:v>event_window, clock_filter, imbalance_threshold</x:v>
      </x:c>
      <x:c r="O122" s="27" t="str">
        <x:v>中</x:v>
      </x:c>
      <x:c r="P122" s="27" t="str">
        <x:v>中-高</x:v>
      </x:c>
      <x:c r="Q122" s="27" t="str">
        <x:v>事件解释错误、样本少、交易拥挤</x:v>
      </x:c>
      <x:c r="R122" s="27" t="str">
        <x:v>使用事件日与非事件日对照，并做日期外推</x:v>
      </x:c>
      <x:c r="S122" s="27" t="str">
        <x:v>QuantConnect Strategy Library</x:v>
      </x:c>
      <x:c r="T122" s="27" t="str">
        <x:v>https://www.quantconnect.com/docs/v2/writing-algorithms/strategy-library</x:v>
      </x:c>
      <x:c r="U122" s="27" t="str"/>
    </x:row>
    <x:row r="123" ht="54" customHeight="1">
      <x:c r="A123" s="27" t="str">
        <x:v>TS122</x:v>
      </x:c>
      <x:c r="B123" s="27" t="str">
        <x:v>时间序列</x:v>
      </x:c>
      <x:c r="C123" s="27" t="str">
        <x:v>日内季节性/事件时间</x:v>
      </x:c>
      <x:c r="D123" s="27" t="str">
        <x:v>新兴</x:v>
      </x:c>
      <x:c r="E123" s="27" t="str">
        <x:v>ETF申赎截止前流动性</x:v>
      </x:c>
      <x:c r="F123" s="27" t="str">
        <x:v>ETF creation-redemption window</x:v>
      </x:c>
      <x:c r="G123" s="27" t="str">
        <x:v>申赎窗口附近ETF/篮子偏离行为不同</x:v>
      </x:c>
      <x:c r="H123" s="27" t="str">
        <x:v>股票/ETF/期货/FX/期权/债券/加密</x:v>
      </x:c>
      <x:c r="I123" s="27" t="str">
        <x:v>30秒-5分钟</x:v>
      </x:c>
      <x:c r="J123" s="27" t="str">
        <x:v>事件窗口内5-30秒</x:v>
      </x:c>
      <x:c r="K123" s="27" t="str">
        <x:v>ETF data</x:v>
      </x:c>
      <x:c r="L123" s="27" t="str">
        <x:v>只在预定义时间窗内启用方向/回归规则</x:v>
      </x:c>
      <x:c r="M123" s="27" t="str">
        <x:v>窗口结束、目标价、异常点差或事件二次冲击退出</x:v>
      </x:c>
      <x:c r="N123" s="27" t="str">
        <x:v>event_window, clock_filter, imbalance_threshold</x:v>
      </x:c>
      <x:c r="O123" s="27" t="str">
        <x:v>中</x:v>
      </x:c>
      <x:c r="P123" s="27" t="str">
        <x:v>中-高</x:v>
      </x:c>
      <x:c r="Q123" s="27" t="str">
        <x:v>事件解释错误、样本少、交易拥挤</x:v>
      </x:c>
      <x:c r="R123" s="27" t="str">
        <x:v>使用事件日与非事件日对照，并做日期外推</x:v>
      </x:c>
      <x:c r="S123" s="27" t="str">
        <x:v>QuantConnect Strategy Library</x:v>
      </x:c>
      <x:c r="T123" s="27" t="str">
        <x:v>https://www.quantconnect.com/docs/v2/writing-algorithms/strategy-library</x:v>
      </x:c>
      <x:c r="U123" s="27" t="str"/>
    </x:row>
    <x:row r="124" ht="54" customHeight="1">
      <x:c r="A124" s="27" t="str">
        <x:v>TS123</x:v>
      </x:c>
      <x:c r="B124" s="27" t="str">
        <x:v>时间序列</x:v>
      </x:c>
      <x:c r="C124" s="27" t="str">
        <x:v>跨资产领先滞后</x:v>
      </x:c>
      <x:c r="D124" s="27" t="str">
        <x:v>经典</x:v>
      </x:c>
      <x:c r="E124" s="27" t="str">
        <x:v>期货领先ETF</x:v>
      </x:c>
      <x:c r="F124" s="27" t="str">
        <x:v>futures lead ETF</x:v>
      </x:c>
      <x:c r="G124" s="27" t="str">
        <x:v>高流动性期货先反映信息，ETF随后调整</x:v>
      </x:c>
      <x:c r="H124" s="27" t="str">
        <x:v>ETF/期货/股票/FX/债券/加密/期权</x:v>
      </x:c>
      <x:c r="I124" s="27" t="str">
        <x:v>5秒-5分钟</x:v>
      </x:c>
      <x:c r="J124" s="27" t="str">
        <x:v>5-30秒同步采样</x:v>
      </x:c>
      <x:c r="K124" s="27" t="str">
        <x:v>ES/SPY, NQ/QQQ</x:v>
      </x:c>
      <x:c r="L124" s="27" t="str">
        <x:v>领先资产信号显著且滞后资产尚未完全反应时开仓</x:v>
      </x:c>
      <x:c r="M124" s="27" t="str">
        <x:v>滞后资产完成调整、领先关系消失或价差异常时退出</x:v>
      </x:c>
      <x:c r="N124" s="27" t="str">
        <x:v>lag_seconds, beta, cointegration_filter, cost_buffer</x:v>
      </x:c>
      <x:c r="O124" s="27" t="str">
        <x:v>高</x:v>
      </x:c>
      <x:c r="P124" s="27" t="str">
        <x:v>高</x:v>
      </x:c>
      <x:c r="Q124" s="27" t="str">
        <x:v>同步误差、数据延迟、关系反转</x:v>
      </x:c>
      <x:c r="R124" s="27" t="str">
        <x:v>使用严格时间戳同步和延迟敏感回测</x:v>
      </x:c>
      <x:c r="S124" s="27" t="str">
        <x:v>arXiv q-fin.TR Trading and Market Microstructure</x:v>
      </x:c>
      <x:c r="T124" s="27" t="str">
        <x:v>https://arxiv.org/list/q-fin.TR/recent</x:v>
      </x:c>
      <x:c r="U124" s="27" t="str"/>
    </x:row>
    <x:row r="125" ht="54" customHeight="1">
      <x:c r="A125" s="27" t="str">
        <x:v>TS124</x:v>
      </x:c>
      <x:c r="B125" s="27" t="str">
        <x:v>时间序列</x:v>
      </x:c>
      <x:c r="C125" s="27" t="str">
        <x:v>跨资产领先滞后</x:v>
      </x:c>
      <x:c r="D125" s="27" t="str">
        <x:v>经典</x:v>
      </x:c>
      <x:c r="E125" s="27" t="str">
        <x:v>ETF领先成分股篮子</x:v>
      </x:c>
      <x:c r="F125" s="27" t="str">
        <x:v>ETF leads basket</x:v>
      </x:c>
      <x:c r="G125" s="27" t="str">
        <x:v>ETF交易冲击可短时领先成分股</x:v>
      </x:c>
      <x:c r="H125" s="27" t="str">
        <x:v>ETF/期货/股票/FX/债券/加密/期权</x:v>
      </x:c>
      <x:c r="I125" s="27" t="str">
        <x:v>5秒-5分钟</x:v>
      </x:c>
      <x:c r="J125" s="27" t="str">
        <x:v>5-30秒同步采样</x:v>
      </x:c>
      <x:c r="K125" s="27" t="str">
        <x:v>ETF and constituents</x:v>
      </x:c>
      <x:c r="L125" s="27" t="str">
        <x:v>领先资产信号显著且滞后资产尚未完全反应时开仓</x:v>
      </x:c>
      <x:c r="M125" s="27" t="str">
        <x:v>滞后资产完成调整、领先关系消失或价差异常时退出</x:v>
      </x:c>
      <x:c r="N125" s="27" t="str">
        <x:v>lag_seconds, beta, cointegration_filter, cost_buffer</x:v>
      </x:c>
      <x:c r="O125" s="27" t="str">
        <x:v>高</x:v>
      </x:c>
      <x:c r="P125" s="27" t="str">
        <x:v>高</x:v>
      </x:c>
      <x:c r="Q125" s="27" t="str">
        <x:v>同步误差、数据延迟、关系反转</x:v>
      </x:c>
      <x:c r="R125" s="27" t="str">
        <x:v>使用严格时间戳同步和延迟敏感回测</x:v>
      </x:c>
      <x:c r="S125" s="27" t="str">
        <x:v>arXiv q-fin.TR Trading and Market Microstructure</x:v>
      </x:c>
      <x:c r="T125" s="27" t="str">
        <x:v>https://arxiv.org/list/q-fin.TR/recent</x:v>
      </x:c>
      <x:c r="U125" s="27" t="str"/>
    </x:row>
    <x:row r="126" ht="54" customHeight="1">
      <x:c r="A126" s="27" t="str">
        <x:v>TS125</x:v>
      </x:c>
      <x:c r="B126" s="27" t="str">
        <x:v>时间序列</x:v>
      </x:c>
      <x:c r="C126" s="27" t="str">
        <x:v>跨资产领先滞后</x:v>
      </x:c>
      <x:c r="D126" s="27" t="str">
        <x:v>经典</x:v>
      </x:c>
      <x:c r="E126" s="27" t="str">
        <x:v>大型股领先小型股</x:v>
      </x:c>
      <x:c r="F126" s="27" t="str">
        <x:v>large-cap leads small-cap</x:v>
      </x:c>
      <x:c r="G126" s="27" t="str">
        <x:v>信息先进入高流动性大盘股</x:v>
      </x:c>
      <x:c r="H126" s="27" t="str">
        <x:v>ETF/期货/股票/FX/债券/加密/期权</x:v>
      </x:c>
      <x:c r="I126" s="27" t="str">
        <x:v>5秒-5分钟</x:v>
      </x:c>
      <x:c r="J126" s="27" t="str">
        <x:v>5-30秒同步采样</x:v>
      </x:c>
      <x:c r="K126" s="27" t="str">
        <x:v>stocks</x:v>
      </x:c>
      <x:c r="L126" s="27" t="str">
        <x:v>领先资产信号显著且滞后资产尚未完全反应时开仓</x:v>
      </x:c>
      <x:c r="M126" s="27" t="str">
        <x:v>滞后资产完成调整、领先关系消失或价差异常时退出</x:v>
      </x:c>
      <x:c r="N126" s="27" t="str">
        <x:v>lag_seconds, beta, cointegration_filter, cost_buffer</x:v>
      </x:c>
      <x:c r="O126" s="27" t="str">
        <x:v>高</x:v>
      </x:c>
      <x:c r="P126" s="27" t="str">
        <x:v>高</x:v>
      </x:c>
      <x:c r="Q126" s="27" t="str">
        <x:v>同步误差、数据延迟、关系反转</x:v>
      </x:c>
      <x:c r="R126" s="27" t="str">
        <x:v>使用严格时间戳同步和延迟敏感回测</x:v>
      </x:c>
      <x:c r="S126" s="27" t="str">
        <x:v>arXiv q-fin.TR Trading and Market Microstructure</x:v>
      </x:c>
      <x:c r="T126" s="27" t="str">
        <x:v>https://arxiv.org/list/q-fin.TR/recent</x:v>
      </x:c>
      <x:c r="U126" s="27" t="str"/>
    </x:row>
    <x:row r="127" ht="54" customHeight="1">
      <x:c r="A127" s="27" t="str">
        <x:v>TS126</x:v>
      </x:c>
      <x:c r="B127" s="27" t="str">
        <x:v>时间序列</x:v>
      </x:c>
      <x:c r="C127" s="27" t="str">
        <x:v>跨资产领先滞后</x:v>
      </x:c>
      <x:c r="D127" s="27" t="str">
        <x:v>经典</x:v>
      </x:c>
      <x:c r="E127" s="27" t="str">
        <x:v>ADR领先本地股票</x:v>
      </x:c>
      <x:c r="F127" s="27" t="str">
        <x:v>ADR leads local share</x:v>
      </x:c>
      <x:c r="G127" s="27" t="str">
        <x:v>跨市场交易时段错位导致领先滞后</x:v>
      </x:c>
      <x:c r="H127" s="27" t="str">
        <x:v>ETF/期货/股票/FX/债券/加密/期权</x:v>
      </x:c>
      <x:c r="I127" s="27" t="str">
        <x:v>5秒-5分钟</x:v>
      </x:c>
      <x:c r="J127" s="27" t="str">
        <x:v>5-30秒同步采样</x:v>
      </x:c>
      <x:c r="K127" s="27" t="str">
        <x:v>ADR/local</x:v>
      </x:c>
      <x:c r="L127" s="27" t="str">
        <x:v>领先资产信号显著且滞后资产尚未完全反应时开仓</x:v>
      </x:c>
      <x:c r="M127" s="27" t="str">
        <x:v>滞后资产完成调整、领先关系消失或价差异常时退出</x:v>
      </x:c>
      <x:c r="N127" s="27" t="str">
        <x:v>lag_seconds, beta, cointegration_filter, cost_buffer</x:v>
      </x:c>
      <x:c r="O127" s="27" t="str">
        <x:v>高</x:v>
      </x:c>
      <x:c r="P127" s="27" t="str">
        <x:v>高</x:v>
      </x:c>
      <x:c r="Q127" s="27" t="str">
        <x:v>同步误差、数据延迟、关系反转</x:v>
      </x:c>
      <x:c r="R127" s="27" t="str">
        <x:v>使用严格时间戳同步和延迟敏感回测</x:v>
      </x:c>
      <x:c r="S127" s="27" t="str">
        <x:v>arXiv q-fin.TR Trading and Market Microstructure</x:v>
      </x:c>
      <x:c r="T127" s="27" t="str">
        <x:v>https://arxiv.org/list/q-fin.TR/recent</x:v>
      </x:c>
      <x:c r="U127" s="27" t="str"/>
    </x:row>
    <x:row r="128" ht="54" customHeight="1">
      <x:c r="A128" s="27" t="str">
        <x:v>TS127</x:v>
      </x:c>
      <x:c r="B128" s="27" t="str">
        <x:v>时间序列</x:v>
      </x:c>
      <x:c r="C128" s="27" t="str">
        <x:v>跨资产领先滞后</x:v>
      </x:c>
      <x:c r="D128" s="27" t="str">
        <x:v>经典</x:v>
      </x:c>
      <x:c r="E128" s="27" t="str">
        <x:v>现货领先永续</x:v>
      </x:c>
      <x:c r="F128" s="27" t="str">
        <x:v>spot leads perp</x:v>
      </x:c>
      <x:c r="G128" s="27" t="str">
        <x:v>现货冲击通过套利传导至永续</x:v>
      </x:c>
      <x:c r="H128" s="27" t="str">
        <x:v>ETF/期货/股票/FX/债券/加密/期权</x:v>
      </x:c>
      <x:c r="I128" s="27" t="str">
        <x:v>5秒-5分钟</x:v>
      </x:c>
      <x:c r="J128" s="27" t="str">
        <x:v>5-30秒同步采样</x:v>
      </x:c>
      <x:c r="K128" s="27" t="str">
        <x:v>crypto spot/perp</x:v>
      </x:c>
      <x:c r="L128" s="27" t="str">
        <x:v>领先资产信号显著且滞后资产尚未完全反应时开仓</x:v>
      </x:c>
      <x:c r="M128" s="27" t="str">
        <x:v>滞后资产完成调整、领先关系消失或价差异常时退出</x:v>
      </x:c>
      <x:c r="N128" s="27" t="str">
        <x:v>lag_seconds, beta, cointegration_filter, cost_buffer</x:v>
      </x:c>
      <x:c r="O128" s="27" t="str">
        <x:v>高</x:v>
      </x:c>
      <x:c r="P128" s="27" t="str">
        <x:v>高</x:v>
      </x:c>
      <x:c r="Q128" s="27" t="str">
        <x:v>同步误差、数据延迟、关系反转</x:v>
      </x:c>
      <x:c r="R128" s="27" t="str">
        <x:v>使用严格时间戳同步和延迟敏感回测</x:v>
      </x:c>
      <x:c r="S128" s="27" t="str">
        <x:v>arXiv q-fin.TR Trading and Market Microstructure</x:v>
      </x:c>
      <x:c r="T128" s="27" t="str">
        <x:v>https://arxiv.org/list/q-fin.TR/recent</x:v>
      </x:c>
      <x:c r="U128" s="27" t="str"/>
    </x:row>
    <x:row r="129" ht="54" customHeight="1">
      <x:c r="A129" s="27" t="str">
        <x:v>TS128</x:v>
      </x:c>
      <x:c r="B129" s="27" t="str">
        <x:v>时间序列</x:v>
      </x:c>
      <x:c r="C129" s="27" t="str">
        <x:v>跨资产领先滞后</x:v>
      </x:c>
      <x:c r="D129" s="27" t="str">
        <x:v>经典</x:v>
      </x:c>
      <x:c r="E129" s="27" t="str">
        <x:v>永续领先现货</x:v>
      </x:c>
      <x:c r="F129" s="27" t="str">
        <x:v>perp leads spot</x:v>
      </x:c>
      <x:c r="G129" s="27" t="str">
        <x:v>杠杆交易活跃时永续先动</x:v>
      </x:c>
      <x:c r="H129" s="27" t="str">
        <x:v>ETF/期货/股票/FX/债券/加密/期权</x:v>
      </x:c>
      <x:c r="I129" s="27" t="str">
        <x:v>5秒-5分钟</x:v>
      </x:c>
      <x:c r="J129" s="27" t="str">
        <x:v>5-30秒同步采样</x:v>
      </x:c>
      <x:c r="K129" s="27" t="str">
        <x:v>crypto perp/spot</x:v>
      </x:c>
      <x:c r="L129" s="27" t="str">
        <x:v>领先资产信号显著且滞后资产尚未完全反应时开仓</x:v>
      </x:c>
      <x:c r="M129" s="27" t="str">
        <x:v>滞后资产完成调整、领先关系消失或价差异常时退出</x:v>
      </x:c>
      <x:c r="N129" s="27" t="str">
        <x:v>lag_seconds, beta, cointegration_filter, cost_buffer</x:v>
      </x:c>
      <x:c r="O129" s="27" t="str">
        <x:v>高</x:v>
      </x:c>
      <x:c r="P129" s="27" t="str">
        <x:v>高</x:v>
      </x:c>
      <x:c r="Q129" s="27" t="str">
        <x:v>同步误差、数据延迟、关系反转</x:v>
      </x:c>
      <x:c r="R129" s="27" t="str">
        <x:v>使用严格时间戳同步和延迟敏感回测</x:v>
      </x:c>
      <x:c r="S129" s="27" t="str">
        <x:v>arXiv q-fin.TR Trading and Market Microstructure</x:v>
      </x:c>
      <x:c r="T129" s="27" t="str">
        <x:v>https://arxiv.org/list/q-fin.TR/recent</x:v>
      </x:c>
      <x:c r="U129" s="27" t="str"/>
    </x:row>
    <x:row r="130" ht="54" customHeight="1">
      <x:c r="A130" s="27" t="str">
        <x:v>TS129</x:v>
      </x:c>
      <x:c r="B130" s="27" t="str">
        <x:v>时间序列</x:v>
      </x:c>
      <x:c r="C130" s="27" t="str">
        <x:v>跨资产领先滞后</x:v>
      </x:c>
      <x:c r="D130" s="27" t="str">
        <x:v>经典</x:v>
      </x:c>
      <x:c r="E130" s="27" t="str">
        <x:v>收益率领先银行股</x:v>
      </x:c>
      <x:c r="F130" s="27" t="str">
        <x:v>rates lead financials</x:v>
      </x:c>
      <x:c r="G130" s="27" t="str">
        <x:v>利率期货变化影响金融股短线定价</x:v>
      </x:c>
      <x:c r="H130" s="27" t="str">
        <x:v>ETF/期货/股票/FX/债券/加密/期权</x:v>
      </x:c>
      <x:c r="I130" s="27" t="str">
        <x:v>5秒-5分钟</x:v>
      </x:c>
      <x:c r="J130" s="27" t="str">
        <x:v>5-30秒同步采样</x:v>
      </x:c>
      <x:c r="K130" s="27" t="str">
        <x:v>bond fut, stocks</x:v>
      </x:c>
      <x:c r="L130" s="27" t="str">
        <x:v>领先资产信号显著且滞后资产尚未完全反应时开仓</x:v>
      </x:c>
      <x:c r="M130" s="27" t="str">
        <x:v>滞后资产完成调整、领先关系消失或价差异常时退出</x:v>
      </x:c>
      <x:c r="N130" s="27" t="str">
        <x:v>lag_seconds, beta, cointegration_filter, cost_buffer</x:v>
      </x:c>
      <x:c r="O130" s="27" t="str">
        <x:v>高</x:v>
      </x:c>
      <x:c r="P130" s="27" t="str">
        <x:v>高</x:v>
      </x:c>
      <x:c r="Q130" s="27" t="str">
        <x:v>同步误差、数据延迟、关系反转</x:v>
      </x:c>
      <x:c r="R130" s="27" t="str">
        <x:v>使用严格时间戳同步和延迟敏感回测</x:v>
      </x:c>
      <x:c r="S130" s="27" t="str">
        <x:v>arXiv q-fin.TR Trading and Market Microstructure</x:v>
      </x:c>
      <x:c r="T130" s="27" t="str">
        <x:v>https://arxiv.org/list/q-fin.TR/recent</x:v>
      </x:c>
      <x:c r="U130" s="27" t="str"/>
    </x:row>
    <x:row r="131" ht="54" customHeight="1">
      <x:c r="A131" s="27" t="str">
        <x:v>TS130</x:v>
      </x:c>
      <x:c r="B131" s="27" t="str">
        <x:v>时间序列</x:v>
      </x:c>
      <x:c r="C131" s="27" t="str">
        <x:v>跨资产领先滞后</x:v>
      </x:c>
      <x:c r="D131" s="27" t="str">
        <x:v>经典</x:v>
      </x:c>
      <x:c r="E131" s="27" t="str">
        <x:v>美元指数领先黄金</x:v>
      </x:c>
      <x:c r="F131" s="27" t="str">
        <x:v>DXY leads gold</x:v>
      </x:c>
      <x:c r="G131" s="27" t="str">
        <x:v>美元变动对黄金期货有短时传导</x:v>
      </x:c>
      <x:c r="H131" s="27" t="str">
        <x:v>ETF/期货/股票/FX/债券/加密/期权</x:v>
      </x:c>
      <x:c r="I131" s="27" t="str">
        <x:v>5秒-5分钟</x:v>
      </x:c>
      <x:c r="J131" s="27" t="str">
        <x:v>5-30秒同步采样</x:v>
      </x:c>
      <x:c r="K131" s="27" t="str">
        <x:v>DXY, GC</x:v>
      </x:c>
      <x:c r="L131" s="27" t="str">
        <x:v>领先资产信号显著且滞后资产尚未完全反应时开仓</x:v>
      </x:c>
      <x:c r="M131" s="27" t="str">
        <x:v>滞后资产完成调整、领先关系消失或价差异常时退出</x:v>
      </x:c>
      <x:c r="N131" s="27" t="str">
        <x:v>lag_seconds, beta, cointegration_filter, cost_buffer</x:v>
      </x:c>
      <x:c r="O131" s="27" t="str">
        <x:v>高</x:v>
      </x:c>
      <x:c r="P131" s="27" t="str">
        <x:v>高</x:v>
      </x:c>
      <x:c r="Q131" s="27" t="str">
        <x:v>同步误差、数据延迟、关系反转</x:v>
      </x:c>
      <x:c r="R131" s="27" t="str">
        <x:v>使用严格时间戳同步和延迟敏感回测</x:v>
      </x:c>
      <x:c r="S131" s="27" t="str">
        <x:v>arXiv q-fin.TR Trading and Market Microstructure</x:v>
      </x:c>
      <x:c r="T131" s="27" t="str">
        <x:v>https://arxiv.org/list/q-fin.TR/recent</x:v>
      </x:c>
      <x:c r="U131" s="27" t="str"/>
    </x:row>
    <x:row r="132" ht="54" customHeight="1">
      <x:c r="A132" s="27" t="str">
        <x:v>TS131</x:v>
      </x:c>
      <x:c r="B132" s="27" t="str">
        <x:v>时间序列</x:v>
      </x:c>
      <x:c r="C132" s="27" t="str">
        <x:v>跨资产领先滞后</x:v>
      </x:c>
      <x:c r="D132" s="27" t="str">
        <x:v>经典</x:v>
      </x:c>
      <x:c r="E132" s="27" t="str">
        <x:v>原油领先能源股</x:v>
      </x:c>
      <x:c r="F132" s="27" t="str">
        <x:v>oil leads energy equities</x:v>
      </x:c>
      <x:c r="G132" s="27" t="str">
        <x:v>原油期货冲击传导至能源股/ETF</x:v>
      </x:c>
      <x:c r="H132" s="27" t="str">
        <x:v>ETF/期货/股票/FX/债券/加密/期权</x:v>
      </x:c>
      <x:c r="I132" s="27" t="str">
        <x:v>5秒-5分钟</x:v>
      </x:c>
      <x:c r="J132" s="27" t="str">
        <x:v>5-30秒同步采样</x:v>
      </x:c>
      <x:c r="K132" s="27" t="str">
        <x:v>CL, XLE</x:v>
      </x:c>
      <x:c r="L132" s="27" t="str">
        <x:v>领先资产信号显著且滞后资产尚未完全反应时开仓</x:v>
      </x:c>
      <x:c r="M132" s="27" t="str">
        <x:v>滞后资产完成调整、领先关系消失或价差异常时退出</x:v>
      </x:c>
      <x:c r="N132" s="27" t="str">
        <x:v>lag_seconds, beta, cointegration_filter, cost_buffer</x:v>
      </x:c>
      <x:c r="O132" s="27" t="str">
        <x:v>高</x:v>
      </x:c>
      <x:c r="P132" s="27" t="str">
        <x:v>高</x:v>
      </x:c>
      <x:c r="Q132" s="27" t="str">
        <x:v>同步误差、数据延迟、关系反转</x:v>
      </x:c>
      <x:c r="R132" s="27" t="str">
        <x:v>使用严格时间戳同步和延迟敏感回测</x:v>
      </x:c>
      <x:c r="S132" s="27" t="str">
        <x:v>arXiv q-fin.TR Trading and Market Microstructure</x:v>
      </x:c>
      <x:c r="T132" s="27" t="str">
        <x:v>https://arxiv.org/list/q-fin.TR/recent</x:v>
      </x:c>
      <x:c r="U132" s="27" t="str"/>
    </x:row>
    <x:row r="133" ht="54" customHeight="1">
      <x:c r="A133" s="27" t="str">
        <x:v>TS132</x:v>
      </x:c>
      <x:c r="B133" s="27" t="str">
        <x:v>时间序列</x:v>
      </x:c>
      <x:c r="C133" s="27" t="str">
        <x:v>跨资产领先滞后</x:v>
      </x:c>
      <x:c r="D133" s="27" t="str">
        <x:v>经典</x:v>
      </x:c>
      <x:c r="E133" s="27" t="str">
        <x:v>VIX领先股指</x:v>
      </x:c>
      <x:c r="F133" s="27" t="str">
        <x:v>VIX leads equity index</x:v>
      </x:c>
      <x:c r="G133" s="27" t="str">
        <x:v>波动率期货先反映风险偏好变化</x:v>
      </x:c>
      <x:c r="H133" s="27" t="str">
        <x:v>ETF/期货/股票/FX/债券/加密/期权</x:v>
      </x:c>
      <x:c r="I133" s="27" t="str">
        <x:v>5秒-5分钟</x:v>
      </x:c>
      <x:c r="J133" s="27" t="str">
        <x:v>5-30秒同步采样</x:v>
      </x:c>
      <x:c r="K133" s="27" t="str">
        <x:v>VX, ES/SPY</x:v>
      </x:c>
      <x:c r="L133" s="27" t="str">
        <x:v>领先资产信号显著且滞后资产尚未完全反应时开仓</x:v>
      </x:c>
      <x:c r="M133" s="27" t="str">
        <x:v>滞后资产完成调整、领先关系消失或价差异常时退出</x:v>
      </x:c>
      <x:c r="N133" s="27" t="str">
        <x:v>lag_seconds, beta, cointegration_filter, cost_buffer</x:v>
      </x:c>
      <x:c r="O133" s="27" t="str">
        <x:v>高</x:v>
      </x:c>
      <x:c r="P133" s="27" t="str">
        <x:v>高</x:v>
      </x:c>
      <x:c r="Q133" s="27" t="str">
        <x:v>同步误差、数据延迟、关系反转</x:v>
      </x:c>
      <x:c r="R133" s="27" t="str">
        <x:v>使用严格时间戳同步和延迟敏感回测</x:v>
      </x:c>
      <x:c r="S133" s="27" t="str">
        <x:v>arXiv q-fin.TR Trading and Market Microstructure</x:v>
      </x:c>
      <x:c r="T133" s="27" t="str">
        <x:v>https://arxiv.org/list/q-fin.TR/recent</x:v>
      </x:c>
      <x:c r="U133" s="27" t="str"/>
    </x:row>
    <x:row r="134" ht="54" customHeight="1">
      <x:c r="A134" s="27" t="str">
        <x:v>TS133</x:v>
      </x:c>
      <x:c r="B134" s="27" t="str">
        <x:v>时间序列</x:v>
      </x:c>
      <x:c r="C134" s="27" t="str">
        <x:v>跨资产领先滞后</x:v>
      </x:c>
      <x:c r="D134" s="27" t="str">
        <x:v>经典</x:v>
      </x:c>
      <x:c r="E134" s="27" t="str">
        <x:v>期限结构领先债券ETF</x:v>
      </x:c>
      <x:c r="F134" s="27" t="str">
        <x:v>yield curve leads bond ETF</x:v>
      </x:c>
      <x:c r="G134" s="27" t="str">
        <x:v>国债期货/掉期变化影响债券ETF</x:v>
      </x:c>
      <x:c r="H134" s="27" t="str">
        <x:v>ETF/期货/股票/FX/债券/加密/期权</x:v>
      </x:c>
      <x:c r="I134" s="27" t="str">
        <x:v>5秒-5分钟</x:v>
      </x:c>
      <x:c r="J134" s="27" t="str">
        <x:v>5-30秒同步采样</x:v>
      </x:c>
      <x:c r="K134" s="27" t="str">
        <x:v>rates, bond ETFs</x:v>
      </x:c>
      <x:c r="L134" s="27" t="str">
        <x:v>领先资产信号显著且滞后资产尚未完全反应时开仓</x:v>
      </x:c>
      <x:c r="M134" s="27" t="str">
        <x:v>滞后资产完成调整、领先关系消失或价差异常时退出</x:v>
      </x:c>
      <x:c r="N134" s="27" t="str">
        <x:v>lag_seconds, beta, cointegration_filter, cost_buffer</x:v>
      </x:c>
      <x:c r="O134" s="27" t="str">
        <x:v>高</x:v>
      </x:c>
      <x:c r="P134" s="27" t="str">
        <x:v>高</x:v>
      </x:c>
      <x:c r="Q134" s="27" t="str">
        <x:v>同步误差、数据延迟、关系反转</x:v>
      </x:c>
      <x:c r="R134" s="27" t="str">
        <x:v>使用严格时间戳同步和延迟敏感回测</x:v>
      </x:c>
      <x:c r="S134" s="27" t="str">
        <x:v>arXiv q-fin.TR Trading and Market Microstructure</x:v>
      </x:c>
      <x:c r="T134" s="27" t="str">
        <x:v>https://arxiv.org/list/q-fin.TR/recent</x:v>
      </x:c>
      <x:c r="U134" s="27" t="str"/>
    </x:row>
    <x:row r="135" ht="54" customHeight="1">
      <x:c r="A135" s="27" t="str">
        <x:v>TS134</x:v>
      </x:c>
      <x:c r="B135" s="27" t="str">
        <x:v>时间序列</x:v>
      </x:c>
      <x:c r="C135" s="27" t="str">
        <x:v>跨资产领先滞后</x:v>
      </x:c>
      <x:c r="D135" s="27" t="str">
        <x:v>经典</x:v>
      </x:c>
      <x:c r="E135" s="27" t="str">
        <x:v>信用CDS领先股票</x:v>
      </x:c>
      <x:c r="F135" s="27" t="str">
        <x:v>CDS leads equity</x:v>
      </x:c>
      <x:c r="G135" s="27" t="str">
        <x:v>信用风险信息可能先体现在CDS</x:v>
      </x:c>
      <x:c r="H135" s="27" t="str">
        <x:v>ETF/期货/股票/FX/债券/加密/期权</x:v>
      </x:c>
      <x:c r="I135" s="27" t="str">
        <x:v>5秒-5分钟</x:v>
      </x:c>
      <x:c r="J135" s="27" t="str">
        <x:v>5-30秒同步采样</x:v>
      </x:c>
      <x:c r="K135" s="27" t="str">
        <x:v>CDS, stock</x:v>
      </x:c>
      <x:c r="L135" s="27" t="str">
        <x:v>领先资产信号显著且滞后资产尚未完全反应时开仓</x:v>
      </x:c>
      <x:c r="M135" s="27" t="str">
        <x:v>滞后资产完成调整、领先关系消失或价差异常时退出</x:v>
      </x:c>
      <x:c r="N135" s="27" t="str">
        <x:v>lag_seconds, beta, cointegration_filter, cost_buffer</x:v>
      </x:c>
      <x:c r="O135" s="27" t="str">
        <x:v>高</x:v>
      </x:c>
      <x:c r="P135" s="27" t="str">
        <x:v>高</x:v>
      </x:c>
      <x:c r="Q135" s="27" t="str">
        <x:v>同步误差、数据延迟、关系反转</x:v>
      </x:c>
      <x:c r="R135" s="27" t="str">
        <x:v>使用严格时间戳同步和延迟敏感回测</x:v>
      </x:c>
      <x:c r="S135" s="27" t="str">
        <x:v>arXiv q-fin.TR Trading and Market Microstructure</x:v>
      </x:c>
      <x:c r="T135" s="27" t="str">
        <x:v>https://arxiv.org/list/q-fin.TR/recent</x:v>
      </x:c>
      <x:c r="U135" s="27" t="str"/>
    </x:row>
    <x:row r="136" ht="54" customHeight="1">
      <x:c r="A136" s="27" t="str">
        <x:v>TS135</x:v>
      </x:c>
      <x:c r="B136" s="27" t="str">
        <x:v>时间序列</x:v>
      </x:c>
      <x:c r="C136" s="27" t="str">
        <x:v>跨资产领先滞后</x:v>
      </x:c>
      <x:c r="D136" s="27" t="str">
        <x:v>新兴</x:v>
      </x:c>
      <x:c r="E136" s="27" t="str">
        <x:v>外汇领先跨国股票</x:v>
      </x:c>
      <x:c r="F136" s="27" t="str">
        <x:v>FX leads multinationals</x:v>
      </x:c>
      <x:c r="G136" s="27" t="str">
        <x:v>汇率冲击影响跨国公司短线定价</x:v>
      </x:c>
      <x:c r="H136" s="27" t="str">
        <x:v>ETF/期货/股票/FX/债券/加密/期权</x:v>
      </x:c>
      <x:c r="I136" s="27" t="str">
        <x:v>5秒-5分钟</x:v>
      </x:c>
      <x:c r="J136" s="27" t="str">
        <x:v>5-30秒同步采样</x:v>
      </x:c>
      <x:c r="K136" s="27" t="str">
        <x:v>FX, stocks</x:v>
      </x:c>
      <x:c r="L136" s="27" t="str">
        <x:v>领先资产信号显著且滞后资产尚未完全反应时开仓</x:v>
      </x:c>
      <x:c r="M136" s="27" t="str">
        <x:v>滞后资产完成调整、领先关系消失或价差异常时退出</x:v>
      </x:c>
      <x:c r="N136" s="27" t="str">
        <x:v>lag_seconds, beta, cointegration_filter, cost_buffer</x:v>
      </x:c>
      <x:c r="O136" s="27" t="str">
        <x:v>高</x:v>
      </x:c>
      <x:c r="P136" s="27" t="str">
        <x:v>高</x:v>
      </x:c>
      <x:c r="Q136" s="27" t="str">
        <x:v>同步误差、数据延迟、关系反转</x:v>
      </x:c>
      <x:c r="R136" s="27" t="str">
        <x:v>使用严格时间戳同步和延迟敏感回测</x:v>
      </x:c>
      <x:c r="S136" s="27" t="str">
        <x:v>arXiv q-fin.TR Trading and Market Microstructure</x:v>
      </x:c>
      <x:c r="T136" s="27" t="str">
        <x:v>https://arxiv.org/list/q-fin.TR/recent</x:v>
      </x:c>
      <x:c r="U136" s="27" t="str"/>
    </x:row>
    <x:row r="137" ht="54" customHeight="1">
      <x:c r="A137" s="27" t="str">
        <x:v>TS136</x:v>
      </x:c>
      <x:c r="B137" s="27" t="str">
        <x:v>时间序列</x:v>
      </x:c>
      <x:c r="C137" s="27" t="str">
        <x:v>跨资产领先滞后</x:v>
      </x:c>
      <x:c r="D137" s="27" t="str">
        <x:v>新兴</x:v>
      </x:c>
      <x:c r="E137" s="27" t="str">
        <x:v>指数期货跨区域传导</x:v>
      </x:c>
      <x:c r="F137" s="27" t="str">
        <x:v>global futures lead-lag</x:v>
      </x:c>
      <x:c r="G137" s="27" t="str">
        <x:v>欧美亚股指期货冲击跨区传导</x:v>
      </x:c>
      <x:c r="H137" s="27" t="str">
        <x:v>ETF/期货/股票/FX/债券/加密/期权</x:v>
      </x:c>
      <x:c r="I137" s="27" t="str">
        <x:v>5秒-5分钟</x:v>
      </x:c>
      <x:c r="J137" s="27" t="str">
        <x:v>5-30秒同步采样</x:v>
      </x:c>
      <x:c r="K137" s="27" t="str">
        <x:v>global index futures</x:v>
      </x:c>
      <x:c r="L137" s="27" t="str">
        <x:v>领先资产信号显著且滞后资产尚未完全反应时开仓</x:v>
      </x:c>
      <x:c r="M137" s="27" t="str">
        <x:v>滞后资产完成调整、领先关系消失或价差异常时退出</x:v>
      </x:c>
      <x:c r="N137" s="27" t="str">
        <x:v>lag_seconds, beta, cointegration_filter, cost_buffer</x:v>
      </x:c>
      <x:c r="O137" s="27" t="str">
        <x:v>高</x:v>
      </x:c>
      <x:c r="P137" s="27" t="str">
        <x:v>高</x:v>
      </x:c>
      <x:c r="Q137" s="27" t="str">
        <x:v>同步误差、数据延迟、关系反转</x:v>
      </x:c>
      <x:c r="R137" s="27" t="str">
        <x:v>使用严格时间戳同步和延迟敏感回测</x:v>
      </x:c>
      <x:c r="S137" s="27" t="str">
        <x:v>arXiv q-fin.TR Trading and Market Microstructure</x:v>
      </x:c>
      <x:c r="T137" s="27" t="str">
        <x:v>https://arxiv.org/list/q-fin.TR/recent</x:v>
      </x:c>
      <x:c r="U137" s="27" t="str"/>
    </x:row>
    <x:row r="138" ht="54" customHeight="1">
      <x:c r="A138" s="27" t="str">
        <x:v>TS137</x:v>
      </x:c>
      <x:c r="B138" s="27" t="str">
        <x:v>时间序列</x:v>
      </x:c>
      <x:c r="C138" s="27" t="str">
        <x:v>跨资产领先滞后</x:v>
      </x:c>
      <x:c r="D138" s="27" t="str">
        <x:v>新兴</x:v>
      </x:c>
      <x:c r="E138" s="27" t="str">
        <x:v>L2价差领先成交价</x:v>
      </x:c>
      <x:c r="F138" s="27" t="str">
        <x:v>quote leads trade price</x:v>
      </x:c>
      <x:c r="G138" s="27" t="str">
        <x:v>报价中间价变化领先最近成交价</x:v>
      </x:c>
      <x:c r="H138" s="27" t="str">
        <x:v>ETF/期货/股票/FX/债券/加密/期权</x:v>
      </x:c>
      <x:c r="I138" s="27" t="str">
        <x:v>5秒-5分钟</x:v>
      </x:c>
      <x:c r="J138" s="27" t="str">
        <x:v>5-30秒同步采样</x:v>
      </x:c>
      <x:c r="K138" s="27" t="str">
        <x:v>quotes, trades</x:v>
      </x:c>
      <x:c r="L138" s="27" t="str">
        <x:v>领先资产信号显著且滞后资产尚未完全反应时开仓</x:v>
      </x:c>
      <x:c r="M138" s="27" t="str">
        <x:v>滞后资产完成调整、领先关系消失或价差异常时退出</x:v>
      </x:c>
      <x:c r="N138" s="27" t="str">
        <x:v>lag_seconds, beta, cointegration_filter, cost_buffer</x:v>
      </x:c>
      <x:c r="O138" s="27" t="str">
        <x:v>高</x:v>
      </x:c>
      <x:c r="P138" s="27" t="str">
        <x:v>高</x:v>
      </x:c>
      <x:c r="Q138" s="27" t="str">
        <x:v>同步误差、数据延迟、关系反转</x:v>
      </x:c>
      <x:c r="R138" s="27" t="str">
        <x:v>使用严格时间戳同步和延迟敏感回测</x:v>
      </x:c>
      <x:c r="S138" s="27" t="str">
        <x:v>arXiv q-fin.TR Trading and Market Microstructure</x:v>
      </x:c>
      <x:c r="T138" s="27" t="str">
        <x:v>https://arxiv.org/list/q-fin.TR/recent</x:v>
      </x:c>
      <x:c r="U138" s="27" t="str"/>
    </x:row>
    <x:row r="139" ht="54" customHeight="1">
      <x:c r="A139" s="27" t="str">
        <x:v>TS138</x:v>
      </x:c>
      <x:c r="B139" s="27" t="str">
        <x:v>时间序列</x:v>
      </x:c>
      <x:c r="C139" s="27" t="str">
        <x:v>跨资产领先滞后</x:v>
      </x:c>
      <x:c r="D139" s="27" t="str">
        <x:v>新兴</x:v>
      </x:c>
      <x:c r="E139" s="27" t="str">
        <x:v>期权Delta流领先标的</x:v>
      </x:c>
      <x:c r="F139" s="27" t="str">
        <x:v>option delta flow leads underlying</x:v>
      </x:c>
      <x:c r="G139" s="27" t="str">
        <x:v>期权成交引发做市商对冲，影响标的</x:v>
      </x:c>
      <x:c r="H139" s="27" t="str">
        <x:v>ETF/期货/股票/FX/债券/加密/期权</x:v>
      </x:c>
      <x:c r="I139" s="27" t="str">
        <x:v>5秒-5分钟</x:v>
      </x:c>
      <x:c r="J139" s="27" t="str">
        <x:v>5-30秒同步采样</x:v>
      </x:c>
      <x:c r="K139" s="27" t="str">
        <x:v>options, underlying</x:v>
      </x:c>
      <x:c r="L139" s="27" t="str">
        <x:v>领先资产信号显著且滞后资产尚未完全反应时开仓</x:v>
      </x:c>
      <x:c r="M139" s="27" t="str">
        <x:v>滞后资产完成调整、领先关系消失或价差异常时退出</x:v>
      </x:c>
      <x:c r="N139" s="27" t="str">
        <x:v>lag_seconds, beta, cointegration_filter, cost_buffer</x:v>
      </x:c>
      <x:c r="O139" s="27" t="str">
        <x:v>高</x:v>
      </x:c>
      <x:c r="P139" s="27" t="str">
        <x:v>高</x:v>
      </x:c>
      <x:c r="Q139" s="27" t="str">
        <x:v>同步误差、数据延迟、关系反转</x:v>
      </x:c>
      <x:c r="R139" s="27" t="str">
        <x:v>使用严格时间戳同步和延迟敏感回测</x:v>
      </x:c>
      <x:c r="S139" s="27" t="str">
        <x:v>arXiv q-fin.TR Trading and Market Microstructure</x:v>
      </x:c>
      <x:c r="T139" s="27" t="str">
        <x:v>https://arxiv.org/list/q-fin.TR/recent</x:v>
      </x:c>
      <x:c r="U139" s="27" t="str"/>
    </x:row>
    <x:row r="140" ht="54" customHeight="1">
      <x:c r="A140" s="27" t="str">
        <x:v>TS139</x:v>
      </x:c>
      <x:c r="B140" s="27" t="str">
        <x:v>时间序列</x:v>
      </x:c>
      <x:c r="C140" s="27" t="str">
        <x:v>跨资产领先滞后</x:v>
      </x:c>
      <x:c r="D140" s="27" t="str">
        <x:v>新兴</x:v>
      </x:c>
      <x:c r="E140" s="27" t="str">
        <x:v>订单簿microprice领先mid</x:v>
      </x:c>
      <x:c r="F140" s="27" t="str">
        <x:v>microprice leads mid</x:v>
      </x:c>
      <x:c r="G140" s="27" t="str">
        <x:v>microprice聚合深度信息领先mid跳动</x:v>
      </x:c>
      <x:c r="H140" s="27" t="str">
        <x:v>ETF/期货/股票/FX/债券/加密/期权</x:v>
      </x:c>
      <x:c r="I140" s="27" t="str">
        <x:v>5秒-5分钟</x:v>
      </x:c>
      <x:c r="J140" s="27" t="str">
        <x:v>5-30秒同步采样</x:v>
      </x:c>
      <x:c r="K140" s="27" t="str">
        <x:v>LOB</x:v>
      </x:c>
      <x:c r="L140" s="27" t="str">
        <x:v>领先资产信号显著且滞后资产尚未完全反应时开仓</x:v>
      </x:c>
      <x:c r="M140" s="27" t="str">
        <x:v>滞后资产完成调整、领先关系消失或价差异常时退出</x:v>
      </x:c>
      <x:c r="N140" s="27" t="str">
        <x:v>lag_seconds, beta, cointegration_filter, cost_buffer</x:v>
      </x:c>
      <x:c r="O140" s="27" t="str">
        <x:v>高</x:v>
      </x:c>
      <x:c r="P140" s="27" t="str">
        <x:v>高</x:v>
      </x:c>
      <x:c r="Q140" s="27" t="str">
        <x:v>同步误差、数据延迟、关系反转</x:v>
      </x:c>
      <x:c r="R140" s="27" t="str">
        <x:v>使用严格时间戳同步和延迟敏感回测</x:v>
      </x:c>
      <x:c r="S140" s="27" t="str">
        <x:v>arXiv q-fin.TR Trading and Market Microstructure</x:v>
      </x:c>
      <x:c r="T140" s="27" t="str">
        <x:v>https://arxiv.org/list/q-fin.TR/recent</x:v>
      </x:c>
      <x:c r="U140" s="27" t="str"/>
    </x:row>
    <x:row r="141" ht="54" customHeight="1">
      <x:c r="A141" s="27" t="str">
        <x:v>TS140</x:v>
      </x:c>
      <x:c r="B141" s="27" t="str">
        <x:v>时间序列</x:v>
      </x:c>
      <x:c r="C141" s="27" t="str">
        <x:v>跨资产领先滞后</x:v>
      </x:c>
      <x:c r="D141" s="27" t="str">
        <x:v>新兴</x:v>
      </x:c>
      <x:c r="E141" s="27" t="str">
        <x:v>链上交易所领先CEX</x:v>
      </x:c>
      <x:c r="F141" s="27" t="str">
        <x:v>DEX-CEX lead-lag</x:v>
      </x:c>
      <x:c r="G141" s="27" t="str">
        <x:v>链上AMM价格冲击传导到中心化交易所或反向</x:v>
      </x:c>
      <x:c r="H141" s="27" t="str">
        <x:v>ETF/期货/股票/FX/债券/加密/期权</x:v>
      </x:c>
      <x:c r="I141" s="27" t="str">
        <x:v>5秒-5分钟</x:v>
      </x:c>
      <x:c r="J141" s="27" t="str">
        <x:v>5-30秒同步采样</x:v>
      </x:c>
      <x:c r="K141" s="27" t="str">
        <x:v>DEX/CEX prices</x:v>
      </x:c>
      <x:c r="L141" s="27" t="str">
        <x:v>领先资产信号显著且滞后资产尚未完全反应时开仓</x:v>
      </x:c>
      <x:c r="M141" s="27" t="str">
        <x:v>滞后资产完成调整、领先关系消失或价差异常时退出</x:v>
      </x:c>
      <x:c r="N141" s="27" t="str">
        <x:v>lag_seconds, beta, cointegration_filter, cost_buffer</x:v>
      </x:c>
      <x:c r="O141" s="27" t="str">
        <x:v>高</x:v>
      </x:c>
      <x:c r="P141" s="27" t="str">
        <x:v>高</x:v>
      </x:c>
      <x:c r="Q141" s="27" t="str">
        <x:v>同步误差、数据延迟、关系反转</x:v>
      </x:c>
      <x:c r="R141" s="27" t="str">
        <x:v>使用严格时间戳同步和延迟敏感回测</x:v>
      </x:c>
      <x:c r="S141" s="27" t="str">
        <x:v>arXiv q-fin.TR Trading and Market Microstructure</x:v>
      </x:c>
      <x:c r="T141" s="27" t="str">
        <x:v>https://arxiv.org/list/q-fin.TR/recent</x:v>
      </x:c>
      <x:c r="U141" s="27" t="str"/>
    </x:row>
    <x:row r="142" ht="54" customHeight="1">
      <x:c r="A142" s="27" t="str">
        <x:v>TS141</x:v>
      </x:c>
      <x:c r="B142" s="27" t="str">
        <x:v>时间序列</x:v>
      </x:c>
      <x:c r="C142" s="27" t="str">
        <x:v>期权/利率/期限结构</x:v>
      </x:c>
      <x:c r="D142" s="27" t="str">
        <x:v>经典</x:v>
      </x:c>
      <x:c r="E142" s="27" t="str">
        <x:v>期权skew短窗回归</x:v>
      </x:c>
      <x:c r="F142" s="27" t="str">
        <x:v>option skew micro reversion</x:v>
      </x:c>
      <x:c r="G142" s="27" t="str">
        <x:v>skew突变在无标的确认时回归</x:v>
      </x:c>
      <x:c r="H142" s="27" t="str">
        <x:v>期权/债券期货/利率期货/FX forwards/商品期货</x:v>
      </x:c>
      <x:c r="I142" s="27" t="str">
        <x:v>30秒-5分钟</x:v>
      </x:c>
      <x:c r="J142" s="27" t="str">
        <x:v>10-60秒评估一次</x:v>
      </x:c>
      <x:c r="K142" s="27" t="str">
        <x:v>option chain</x:v>
      </x:c>
      <x:c r="L142" s="27" t="str">
        <x:v>期限/隐波/曲线残差显著偏离且流动性充足时交易</x:v>
      </x:c>
      <x:c r="M142" s="27" t="str">
        <x:v>残差回归、希腊风险超限、标的跳变或超时退出</x:v>
      </x:c>
      <x:c r="N142" s="27" t="str">
        <x:v>surface_node, hedge_ratio, z_threshold, greeks_limit</x:v>
      </x:c>
      <x:c r="O142" s="27" t="str">
        <x:v>高</x:v>
      </x:c>
      <x:c r="P142" s="27" t="str">
        <x:v>中</x:v>
      </x:c>
      <x:c r="Q142" s="27" t="str">
        <x:v>报价稀疏、希腊估算误差、对冲成本</x:v>
      </x:c>
      <x:c r="R142" s="27" t="str">
        <x:v>用可成交报价而非mid，纳入对冲滑点</x:v>
      </x:c>
      <x:c r="S142" s="27" t="str">
        <x:v>arXiv q-fin.TR Trading and Market Microstructure</x:v>
      </x:c>
      <x:c r="T142" s="27" t="str">
        <x:v>https://arxiv.org/list/q-fin.TR/recent</x:v>
      </x:c>
      <x:c r="U142" s="27" t="str"/>
    </x:row>
    <x:row r="143" ht="54" customHeight="1">
      <x:c r="A143" s="27" t="str">
        <x:v>TS142</x:v>
      </x:c>
      <x:c r="B143" s="27" t="str">
        <x:v>时间序列</x:v>
      </x:c>
      <x:c r="C143" s="27" t="str">
        <x:v>期权/利率/期限结构</x:v>
      </x:c>
      <x:c r="D143" s="27" t="str">
        <x:v>经典</x:v>
      </x:c>
      <x:c r="E143" s="27" t="str">
        <x:v>隐波期限结构冲击</x:v>
      </x:c>
      <x:c r="F143" s="27" t="str">
        <x:v>IV term-structure shock</x:v>
      </x:c>
      <x:c r="G143" s="27" t="str">
        <x:v>近月/远月IV相对变化后短时收敛</x:v>
      </x:c>
      <x:c r="H143" s="27" t="str">
        <x:v>期权/债券期货/利率期货/FX forwards/商品期货</x:v>
      </x:c>
      <x:c r="I143" s="27" t="str">
        <x:v>30秒-5分钟</x:v>
      </x:c>
      <x:c r="J143" s="27" t="str">
        <x:v>10-60秒评估一次</x:v>
      </x:c>
      <x:c r="K143" s="27" t="str">
        <x:v>IV surface</x:v>
      </x:c>
      <x:c r="L143" s="27" t="str">
        <x:v>期限/隐波/曲线残差显著偏离且流动性充足时交易</x:v>
      </x:c>
      <x:c r="M143" s="27" t="str">
        <x:v>残差回归、希腊风险超限、标的跳变或超时退出</x:v>
      </x:c>
      <x:c r="N143" s="27" t="str">
        <x:v>surface_node, hedge_ratio, z_threshold, greeks_limit</x:v>
      </x:c>
      <x:c r="O143" s="27" t="str">
        <x:v>高</x:v>
      </x:c>
      <x:c r="P143" s="27" t="str">
        <x:v>中</x:v>
      </x:c>
      <x:c r="Q143" s="27" t="str">
        <x:v>报价稀疏、希腊估算误差、对冲成本</x:v>
      </x:c>
      <x:c r="R143" s="27" t="str">
        <x:v>用可成交报价而非mid，纳入对冲滑点</x:v>
      </x:c>
      <x:c r="S143" s="27" t="str">
        <x:v>arXiv q-fin.TR Trading and Market Microstructure</x:v>
      </x:c>
      <x:c r="T143" s="27" t="str">
        <x:v>https://arxiv.org/list/q-fin.TR/recent</x:v>
      </x:c>
      <x:c r="U143" s="27" t="str"/>
    </x:row>
    <x:row r="144" ht="54" customHeight="1">
      <x:c r="A144" s="27" t="str">
        <x:v>TS143</x:v>
      </x:c>
      <x:c r="B144" s="27" t="str">
        <x:v>时间序列</x:v>
      </x:c>
      <x:c r="C144" s="27" t="str">
        <x:v>期权/利率/期限结构</x:v>
      </x:c>
      <x:c r="D144" s="27" t="str">
        <x:v>经典</x:v>
      </x:c>
      <x:c r="E144" s="27" t="str">
        <x:v>Gamma对冲流方向</x:v>
      </x:c>
      <x:c r="F144" s="27" t="str">
        <x:v>gamma-hedging flow direction</x:v>
      </x:c>
      <x:c r="G144" s="27" t="str">
        <x:v>dealer gamma状态影响标的短线趋势/反转</x:v>
      </x:c>
      <x:c r="H144" s="27" t="str">
        <x:v>期权/债券期货/利率期货/FX forwards/商品期货</x:v>
      </x:c>
      <x:c r="I144" s="27" t="str">
        <x:v>30秒-5分钟</x:v>
      </x:c>
      <x:c r="J144" s="27" t="str">
        <x:v>10-60秒评估一次</x:v>
      </x:c>
      <x:c r="K144" s="27" t="str">
        <x:v>options OI, greeks</x:v>
      </x:c>
      <x:c r="L144" s="27" t="str">
        <x:v>期限/隐波/曲线残差显著偏离且流动性充足时交易</x:v>
      </x:c>
      <x:c r="M144" s="27" t="str">
        <x:v>残差回归、希腊风险超限、标的跳变或超时退出</x:v>
      </x:c>
      <x:c r="N144" s="27" t="str">
        <x:v>surface_node, hedge_ratio, z_threshold, greeks_limit</x:v>
      </x:c>
      <x:c r="O144" s="27" t="str">
        <x:v>高</x:v>
      </x:c>
      <x:c r="P144" s="27" t="str">
        <x:v>中</x:v>
      </x:c>
      <x:c r="Q144" s="27" t="str">
        <x:v>报价稀疏、希腊估算误差、对冲成本</x:v>
      </x:c>
      <x:c r="R144" s="27" t="str">
        <x:v>用可成交报价而非mid，纳入对冲滑点</x:v>
      </x:c>
      <x:c r="S144" s="27" t="str">
        <x:v>arXiv q-fin.TR Trading and Market Microstructure</x:v>
      </x:c>
      <x:c r="T144" s="27" t="str">
        <x:v>https://arxiv.org/list/q-fin.TR/recent</x:v>
      </x:c>
      <x:c r="U144" s="27" t="str"/>
    </x:row>
    <x:row r="145" ht="54" customHeight="1">
      <x:c r="A145" s="27" t="str">
        <x:v>TS144</x:v>
      </x:c>
      <x:c r="B145" s="27" t="str">
        <x:v>时间序列</x:v>
      </x:c>
      <x:c r="C145" s="27" t="str">
        <x:v>期权/利率/期限结构</x:v>
      </x:c>
      <x:c r="D145" s="27" t="str">
        <x:v>经典</x:v>
      </x:c>
      <x:c r="E145" s="27" t="str">
        <x:v>0DTE订单流跟随</x:v>
      </x:c>
      <x:c r="F145" s="27" t="str">
        <x:v>0DTE order-flow following</x:v>
      </x:c>
      <x:c r="G145" s="27" t="str">
        <x:v>0DTE集中成交引发delta再对冲</x:v>
      </x:c>
      <x:c r="H145" s="27" t="str">
        <x:v>期权/债券期货/利率期货/FX forwards/商品期货</x:v>
      </x:c>
      <x:c r="I145" s="27" t="str">
        <x:v>30秒-5分钟</x:v>
      </x:c>
      <x:c r="J145" s="27" t="str">
        <x:v>10-60秒评估一次</x:v>
      </x:c>
      <x:c r="K145" s="27" t="str">
        <x:v>0DTE trades</x:v>
      </x:c>
      <x:c r="L145" s="27" t="str">
        <x:v>期限/隐波/曲线残差显著偏离且流动性充足时交易</x:v>
      </x:c>
      <x:c r="M145" s="27" t="str">
        <x:v>残差回归、希腊风险超限、标的跳变或超时退出</x:v>
      </x:c>
      <x:c r="N145" s="27" t="str">
        <x:v>surface_node, hedge_ratio, z_threshold, greeks_limit</x:v>
      </x:c>
      <x:c r="O145" s="27" t="str">
        <x:v>高</x:v>
      </x:c>
      <x:c r="P145" s="27" t="str">
        <x:v>中</x:v>
      </x:c>
      <x:c r="Q145" s="27" t="str">
        <x:v>报价稀疏、希腊估算误差、对冲成本</x:v>
      </x:c>
      <x:c r="R145" s="27" t="str">
        <x:v>用可成交报价而非mid，纳入对冲滑点</x:v>
      </x:c>
      <x:c r="S145" s="27" t="str">
        <x:v>arXiv q-fin.TR Trading and Market Microstructure</x:v>
      </x:c>
      <x:c r="T145" s="27" t="str">
        <x:v>https://arxiv.org/list/q-fin.TR/recent</x:v>
      </x:c>
      <x:c r="U145" s="27" t="str"/>
    </x:row>
    <x:row r="146" ht="54" customHeight="1">
      <x:c r="A146" s="27" t="str">
        <x:v>TS145</x:v>
      </x:c>
      <x:c r="B146" s="27" t="str">
        <x:v>时间序列</x:v>
      </x:c>
      <x:c r="C146" s="27" t="str">
        <x:v>期权/利率/期限结构</x:v>
      </x:c>
      <x:c r="D146" s="27" t="str">
        <x:v>经典</x:v>
      </x:c>
      <x:c r="E146" s="27" t="str">
        <x:v>期货期限价差均值回归</x:v>
      </x:c>
      <x:c r="F146" s="27" t="str">
        <x:v>futures calendar spread reversion</x:v>
      </x:c>
      <x:c r="G146" s="27" t="str">
        <x:v>同品种期限价差短时偏离回归</x:v>
      </x:c>
      <x:c r="H146" s="27" t="str">
        <x:v>期权/债券期货/利率期货/FX forwards/商品期货</x:v>
      </x:c>
      <x:c r="I146" s="27" t="str">
        <x:v>30秒-5分钟</x:v>
      </x:c>
      <x:c r="J146" s="27" t="str">
        <x:v>10-60秒评估一次</x:v>
      </x:c>
      <x:c r="K146" s="27" t="str">
        <x:v>front/next futures</x:v>
      </x:c>
      <x:c r="L146" s="27" t="str">
        <x:v>期限/隐波/曲线残差显著偏离且流动性充足时交易</x:v>
      </x:c>
      <x:c r="M146" s="27" t="str">
        <x:v>残差回归、希腊风险超限、标的跳变或超时退出</x:v>
      </x:c>
      <x:c r="N146" s="27" t="str">
        <x:v>surface_node, hedge_ratio, z_threshold, greeks_limit</x:v>
      </x:c>
      <x:c r="O146" s="27" t="str">
        <x:v>高</x:v>
      </x:c>
      <x:c r="P146" s="27" t="str">
        <x:v>中</x:v>
      </x:c>
      <x:c r="Q146" s="27" t="str">
        <x:v>报价稀疏、希腊估算误差、对冲成本</x:v>
      </x:c>
      <x:c r="R146" s="27" t="str">
        <x:v>用可成交报价而非mid，纳入对冲滑点</x:v>
      </x:c>
      <x:c r="S146" s="27" t="str">
        <x:v>arXiv q-fin.TR Trading and Market Microstructure</x:v>
      </x:c>
      <x:c r="T146" s="27" t="str">
        <x:v>https://arxiv.org/list/q-fin.TR/recent</x:v>
      </x:c>
      <x:c r="U146" s="27" t="str"/>
    </x:row>
    <x:row r="147" ht="54" customHeight="1">
      <x:c r="A147" s="27" t="str">
        <x:v>TS146</x:v>
      </x:c>
      <x:c r="B147" s="27" t="str">
        <x:v>时间序列</x:v>
      </x:c>
      <x:c r="C147" s="27" t="str">
        <x:v>期权/利率/期限结构</x:v>
      </x:c>
      <x:c r="D147" s="27" t="str">
        <x:v>经典</x:v>
      </x:c>
      <x:c r="E147" s="27" t="str">
        <x:v>商品跨期价差突破</x:v>
      </x:c>
      <x:c r="F147" s="27" t="str">
        <x:v>calendar spread breakout</x:v>
      </x:c>
      <x:c r="G147" s="27" t="str">
        <x:v>库存/流动性冲击导致价差突破延续</x:v>
      </x:c>
      <x:c r="H147" s="27" t="str">
        <x:v>期权/债券期货/利率期货/FX forwards/商品期货</x:v>
      </x:c>
      <x:c r="I147" s="27" t="str">
        <x:v>30秒-5分钟</x:v>
      </x:c>
      <x:c r="J147" s="27" t="str">
        <x:v>10-60秒评估一次</x:v>
      </x:c>
      <x:c r="K147" s="27" t="str">
        <x:v>calendar spreads</x:v>
      </x:c>
      <x:c r="L147" s="27" t="str">
        <x:v>期限/隐波/曲线残差显著偏离且流动性充足时交易</x:v>
      </x:c>
      <x:c r="M147" s="27" t="str">
        <x:v>残差回归、希腊风险超限、标的跳变或超时退出</x:v>
      </x:c>
      <x:c r="N147" s="27" t="str">
        <x:v>surface_node, hedge_ratio, z_threshold, greeks_limit</x:v>
      </x:c>
      <x:c r="O147" s="27" t="str">
        <x:v>高</x:v>
      </x:c>
      <x:c r="P147" s="27" t="str">
        <x:v>中</x:v>
      </x:c>
      <x:c r="Q147" s="27" t="str">
        <x:v>报价稀疏、希腊估算误差、对冲成本</x:v>
      </x:c>
      <x:c r="R147" s="27" t="str">
        <x:v>用可成交报价而非mid，纳入对冲滑点</x:v>
      </x:c>
      <x:c r="S147" s="27" t="str">
        <x:v>arXiv q-fin.TR Trading and Market Microstructure</x:v>
      </x:c>
      <x:c r="T147" s="27" t="str">
        <x:v>https://arxiv.org/list/q-fin.TR/recent</x:v>
      </x:c>
      <x:c r="U147" s="27" t="str"/>
    </x:row>
    <x:row r="148" ht="54" customHeight="1">
      <x:c r="A148" s="27" t="str">
        <x:v>TS147</x:v>
      </x:c>
      <x:c r="B148" s="27" t="str">
        <x:v>时间序列</x:v>
      </x:c>
      <x:c r="C148" s="27" t="str">
        <x:v>期权/利率/期限结构</x:v>
      </x:c>
      <x:c r="D148" s="27" t="str">
        <x:v>经典</x:v>
      </x:c>
      <x:c r="E148" s="27" t="str">
        <x:v>债券收益率曲线微回归</x:v>
      </x:c>
      <x:c r="F148" s="27" t="str">
        <x:v>yield-curve micro reversion</x:v>
      </x:c>
      <x:c r="G148" s="27" t="str">
        <x:v>曲线局部扭曲在流动性恢复后修复</x:v>
      </x:c>
      <x:c r="H148" s="27" t="str">
        <x:v>期权/债券期货/利率期货/FX forwards/商品期货</x:v>
      </x:c>
      <x:c r="I148" s="27" t="str">
        <x:v>30秒-5分钟</x:v>
      </x:c>
      <x:c r="J148" s="27" t="str">
        <x:v>10-60秒评估一次</x:v>
      </x:c>
      <x:c r="K148" s="27" t="str">
        <x:v>rates futures</x:v>
      </x:c>
      <x:c r="L148" s="27" t="str">
        <x:v>期限/隐波/曲线残差显著偏离且流动性充足时交易</x:v>
      </x:c>
      <x:c r="M148" s="27" t="str">
        <x:v>残差回归、希腊风险超限、标的跳变或超时退出</x:v>
      </x:c>
      <x:c r="N148" s="27" t="str">
        <x:v>surface_node, hedge_ratio, z_threshold, greeks_limit</x:v>
      </x:c>
      <x:c r="O148" s="27" t="str">
        <x:v>高</x:v>
      </x:c>
      <x:c r="P148" s="27" t="str">
        <x:v>中</x:v>
      </x:c>
      <x:c r="Q148" s="27" t="str">
        <x:v>报价稀疏、希腊估算误差、对冲成本</x:v>
      </x:c>
      <x:c r="R148" s="27" t="str">
        <x:v>用可成交报价而非mid，纳入对冲滑点</x:v>
      </x:c>
      <x:c r="S148" s="27" t="str">
        <x:v>arXiv q-fin.TR Trading and Market Microstructure</x:v>
      </x:c>
      <x:c r="T148" s="27" t="str">
        <x:v>https://arxiv.org/list/q-fin.TR/recent</x:v>
      </x:c>
      <x:c r="U148" s="27" t="str"/>
    </x:row>
    <x:row r="149" ht="54" customHeight="1">
      <x:c r="A149" s="27" t="str">
        <x:v>TS148</x:v>
      </x:c>
      <x:c r="B149" s="27" t="str">
        <x:v>时间序列</x:v>
      </x:c>
      <x:c r="C149" s="27" t="str">
        <x:v>期权/利率/期限结构</x:v>
      </x:c>
      <x:c r="D149" s="27" t="str">
        <x:v>经典</x:v>
      </x:c>
      <x:c r="E149" s="27" t="str">
        <x:v>2s10s期货曲线动量</x:v>
      </x:c>
      <x:c r="F149" s="27" t="str">
        <x:v>2s10s futures curve momentum</x:v>
      </x:c>
      <x:c r="G149" s="27" t="str">
        <x:v>曲线冲击在相邻期限继续传导</x:v>
      </x:c>
      <x:c r="H149" s="27" t="str">
        <x:v>期权/债券期货/利率期货/FX forwards/商品期货</x:v>
      </x:c>
      <x:c r="I149" s="27" t="str">
        <x:v>30秒-5分钟</x:v>
      </x:c>
      <x:c r="J149" s="27" t="str">
        <x:v>10-60秒评估一次</x:v>
      </x:c>
      <x:c r="K149" s="27" t="str">
        <x:v>bond futures</x:v>
      </x:c>
      <x:c r="L149" s="27" t="str">
        <x:v>期限/隐波/曲线残差显著偏离且流动性充足时交易</x:v>
      </x:c>
      <x:c r="M149" s="27" t="str">
        <x:v>残差回归、希腊风险超限、标的跳变或超时退出</x:v>
      </x:c>
      <x:c r="N149" s="27" t="str">
        <x:v>surface_node, hedge_ratio, z_threshold, greeks_limit</x:v>
      </x:c>
      <x:c r="O149" s="27" t="str">
        <x:v>高</x:v>
      </x:c>
      <x:c r="P149" s="27" t="str">
        <x:v>中</x:v>
      </x:c>
      <x:c r="Q149" s="27" t="str">
        <x:v>报价稀疏、希腊估算误差、对冲成本</x:v>
      </x:c>
      <x:c r="R149" s="27" t="str">
        <x:v>用可成交报价而非mid，纳入对冲滑点</x:v>
      </x:c>
      <x:c r="S149" s="27" t="str">
        <x:v>arXiv q-fin.TR Trading and Market Microstructure</x:v>
      </x:c>
      <x:c r="T149" s="27" t="str">
        <x:v>https://arxiv.org/list/q-fin.TR/recent</x:v>
      </x:c>
      <x:c r="U149" s="27" t="str"/>
    </x:row>
    <x:row r="150" ht="54" customHeight="1">
      <x:c r="A150" s="27" t="str">
        <x:v>TS149</x:v>
      </x:c>
      <x:c r="B150" s="27" t="str">
        <x:v>时间序列</x:v>
      </x:c>
      <x:c r="C150" s="27" t="str">
        <x:v>期权/利率/期限结构</x:v>
      </x:c>
      <x:c r="D150" s="27" t="str">
        <x:v>经典</x:v>
      </x:c>
      <x:c r="E150" s="27" t="str">
        <x:v>SOFR/国债期货联动</x:v>
      </x:c>
      <x:c r="F150" s="27" t="str">
        <x:v>SOFR-Treasury lead-lag</x:v>
      </x:c>
      <x:c r="G150" s="27" t="str">
        <x:v>短端利率期货变化传导至债券期货</x:v>
      </x:c>
      <x:c r="H150" s="27" t="str">
        <x:v>期权/债券期货/利率期货/FX forwards/商品期货</x:v>
      </x:c>
      <x:c r="I150" s="27" t="str">
        <x:v>30秒-5分钟</x:v>
      </x:c>
      <x:c r="J150" s="27" t="str">
        <x:v>10-60秒评估一次</x:v>
      </x:c>
      <x:c r="K150" s="27" t="str">
        <x:v>SOFR, Treasury fut</x:v>
      </x:c>
      <x:c r="L150" s="27" t="str">
        <x:v>期限/隐波/曲线残差显著偏离且流动性充足时交易</x:v>
      </x:c>
      <x:c r="M150" s="27" t="str">
        <x:v>残差回归、希腊风险超限、标的跳变或超时退出</x:v>
      </x:c>
      <x:c r="N150" s="27" t="str">
        <x:v>surface_node, hedge_ratio, z_threshold, greeks_limit</x:v>
      </x:c>
      <x:c r="O150" s="27" t="str">
        <x:v>高</x:v>
      </x:c>
      <x:c r="P150" s="27" t="str">
        <x:v>中</x:v>
      </x:c>
      <x:c r="Q150" s="27" t="str">
        <x:v>报价稀疏、希腊估算误差、对冲成本</x:v>
      </x:c>
      <x:c r="R150" s="27" t="str">
        <x:v>用可成交报价而非mid，纳入对冲滑点</x:v>
      </x:c>
      <x:c r="S150" s="27" t="str">
        <x:v>arXiv q-fin.TR Trading and Market Microstructure</x:v>
      </x:c>
      <x:c r="T150" s="27" t="str">
        <x:v>https://arxiv.org/list/q-fin.TR/recent</x:v>
      </x:c>
      <x:c r="U150" s="27" t="str"/>
    </x:row>
    <x:row r="151" ht="54" customHeight="1">
      <x:c r="A151" s="27" t="str">
        <x:v>TS150</x:v>
      </x:c>
      <x:c r="B151" s="27" t="str">
        <x:v>时间序列</x:v>
      </x:c>
      <x:c r="C151" s="27" t="str">
        <x:v>期权/利率/期限结构</x:v>
      </x:c>
      <x:c r="D151" s="27" t="str">
        <x:v>经典</x:v>
      </x:c>
      <x:c r="E151" s="27" t="str">
        <x:v>FX forward点差回归</x:v>
      </x:c>
      <x:c r="F151" s="27" t="str">
        <x:v>FX forward-points reversion</x:v>
      </x:c>
      <x:c r="G151" s="27" t="str">
        <x:v>远期点短时偏离利差估计后回归</x:v>
      </x:c>
      <x:c r="H151" s="27" t="str">
        <x:v>期权/债券期货/利率期货/FX forwards/商品期货</x:v>
      </x:c>
      <x:c r="I151" s="27" t="str">
        <x:v>30秒-5分钟</x:v>
      </x:c>
      <x:c r="J151" s="27" t="str">
        <x:v>10-60秒评估一次</x:v>
      </x:c>
      <x:c r="K151" s="27" t="str">
        <x:v>FX forwards</x:v>
      </x:c>
      <x:c r="L151" s="27" t="str">
        <x:v>期限/隐波/曲线残差显著偏离且流动性充足时交易</x:v>
      </x:c>
      <x:c r="M151" s="27" t="str">
        <x:v>残差回归、希腊风险超限、标的跳变或超时退出</x:v>
      </x:c>
      <x:c r="N151" s="27" t="str">
        <x:v>surface_node, hedge_ratio, z_threshold, greeks_limit</x:v>
      </x:c>
      <x:c r="O151" s="27" t="str">
        <x:v>高</x:v>
      </x:c>
      <x:c r="P151" s="27" t="str">
        <x:v>中</x:v>
      </x:c>
      <x:c r="Q151" s="27" t="str">
        <x:v>报价稀疏、希腊估算误差、对冲成本</x:v>
      </x:c>
      <x:c r="R151" s="27" t="str">
        <x:v>用可成交报价而非mid，纳入对冲滑点</x:v>
      </x:c>
      <x:c r="S151" s="27" t="str">
        <x:v>arXiv q-fin.TR Trading and Market Microstructure</x:v>
      </x:c>
      <x:c r="T151" s="27" t="str">
        <x:v>https://arxiv.org/list/q-fin.TR/recent</x:v>
      </x:c>
      <x:c r="U151" s="27" t="str"/>
    </x:row>
    <x:row r="152" ht="54" customHeight="1">
      <x:c r="A152" s="27" t="str">
        <x:v>TS151</x:v>
      </x:c>
      <x:c r="B152" s="27" t="str">
        <x:v>时间序列</x:v>
      </x:c>
      <x:c r="C152" s="27" t="str">
        <x:v>期权/利率/期限结构</x:v>
      </x:c>
      <x:c r="D152" s="27" t="str">
        <x:v>新兴</x:v>
      </x:c>
      <x:c r="E152" s="27" t="str">
        <x:v>跨币种基差短线</x:v>
      </x:c>
      <x:c r="F152" s="27" t="str">
        <x:v>cross-currency basis micro</x:v>
      </x:c>
      <x:c r="G152" s="27" t="str">
        <x:v>流动性冲击导致基差短时偏离</x:v>
      </x:c>
      <x:c r="H152" s="27" t="str">
        <x:v>期权/债券期货/利率期货/FX forwards/商品期货</x:v>
      </x:c>
      <x:c r="I152" s="27" t="str">
        <x:v>30秒-5分钟</x:v>
      </x:c>
      <x:c r="J152" s="27" t="str">
        <x:v>10-60秒评估一次</x:v>
      </x:c>
      <x:c r="K152" s="27" t="str">
        <x:v>FX swaps</x:v>
      </x:c>
      <x:c r="L152" s="27" t="str">
        <x:v>期限/隐波/曲线残差显著偏离且流动性充足时交易</x:v>
      </x:c>
      <x:c r="M152" s="27" t="str">
        <x:v>残差回归、希腊风险超限、标的跳变或超时退出</x:v>
      </x:c>
      <x:c r="N152" s="27" t="str">
        <x:v>surface_node, hedge_ratio, z_threshold, greeks_limit</x:v>
      </x:c>
      <x:c r="O152" s="27" t="str">
        <x:v>高</x:v>
      </x:c>
      <x:c r="P152" s="27" t="str">
        <x:v>中</x:v>
      </x:c>
      <x:c r="Q152" s="27" t="str">
        <x:v>报价稀疏、希腊估算误差、对冲成本</x:v>
      </x:c>
      <x:c r="R152" s="27" t="str">
        <x:v>用可成交报价而非mid，纳入对冲滑点</x:v>
      </x:c>
      <x:c r="S152" s="27" t="str">
        <x:v>arXiv q-fin.TR Trading and Market Microstructure</x:v>
      </x:c>
      <x:c r="T152" s="27" t="str">
        <x:v>https://arxiv.org/list/q-fin.TR/recent</x:v>
      </x:c>
      <x:c r="U152" s="27" t="str"/>
    </x:row>
    <x:row r="153" ht="54" customHeight="1">
      <x:c r="A153" s="27" t="str">
        <x:v>TS152</x:v>
      </x:c>
      <x:c r="B153" s="27" t="str">
        <x:v>时间序列</x:v>
      </x:c>
      <x:c r="C153" s="27" t="str">
        <x:v>期权/利率/期限结构</x:v>
      </x:c>
      <x:c r="D153" s="27" t="str">
        <x:v>新兴</x:v>
      </x:c>
      <x:c r="E153" s="27" t="str">
        <x:v>ETF期权IV-NAV联动</x:v>
      </x:c>
      <x:c r="F153" s="27" t="str">
        <x:v>ETF option IV-NAV linkage</x:v>
      </x:c>
      <x:c r="G153" s="27" t="str">
        <x:v>ETF偏离NAV影响期权隐波和标的回归</x:v>
      </x:c>
      <x:c r="H153" s="27" t="str">
        <x:v>期权/债券期货/利率期货/FX forwards/商品期货</x:v>
      </x:c>
      <x:c r="I153" s="27" t="str">
        <x:v>30秒-5分钟</x:v>
      </x:c>
      <x:c r="J153" s="27" t="str">
        <x:v>10-60秒评估一次</x:v>
      </x:c>
      <x:c r="K153" s="27" t="str">
        <x:v>ETF, options</x:v>
      </x:c>
      <x:c r="L153" s="27" t="str">
        <x:v>期限/隐波/曲线残差显著偏离且流动性充足时交易</x:v>
      </x:c>
      <x:c r="M153" s="27" t="str">
        <x:v>残差回归、希腊风险超限、标的跳变或超时退出</x:v>
      </x:c>
      <x:c r="N153" s="27" t="str">
        <x:v>surface_node, hedge_ratio, z_threshold, greeks_limit</x:v>
      </x:c>
      <x:c r="O153" s="27" t="str">
        <x:v>高</x:v>
      </x:c>
      <x:c r="P153" s="27" t="str">
        <x:v>中</x:v>
      </x:c>
      <x:c r="Q153" s="27" t="str">
        <x:v>报价稀疏、希腊估算误差、对冲成本</x:v>
      </x:c>
      <x:c r="R153" s="27" t="str">
        <x:v>用可成交报价而非mid，纳入对冲滑点</x:v>
      </x:c>
      <x:c r="S153" s="27" t="str">
        <x:v>arXiv q-fin.TR Trading and Market Microstructure</x:v>
      </x:c>
      <x:c r="T153" s="27" t="str">
        <x:v>https://arxiv.org/list/q-fin.TR/recent</x:v>
      </x:c>
      <x:c r="U153" s="27" t="str"/>
    </x:row>
    <x:row r="154" ht="54" customHeight="1">
      <x:c r="A154" s="27" t="str">
        <x:v>TS153</x:v>
      </x:c>
      <x:c r="B154" s="27" t="str">
        <x:v>时间序列</x:v>
      </x:c>
      <x:c r="C154" s="27" t="str">
        <x:v>期权/利率/期限结构</x:v>
      </x:c>
      <x:c r="D154" s="27" t="str">
        <x:v>新兴</x:v>
      </x:c>
      <x:c r="E154" s="27" t="str">
        <x:v>期权买卖价差均值回归</x:v>
      </x:c>
      <x:c r="F154" s="27" t="str">
        <x:v>option spread reversion</x:v>
      </x:c>
      <x:c r="G154" s="27" t="str">
        <x:v>期权报价过宽后回归，可改善入场</x:v>
      </x:c>
      <x:c r="H154" s="27" t="str">
        <x:v>期权/债券期货/利率期货/FX forwards/商品期货</x:v>
      </x:c>
      <x:c r="I154" s="27" t="str">
        <x:v>30秒-5分钟</x:v>
      </x:c>
      <x:c r="J154" s="27" t="str">
        <x:v>10-60秒评估一次</x:v>
      </x:c>
      <x:c r="K154" s="27" t="str">
        <x:v>option bid/ask</x:v>
      </x:c>
      <x:c r="L154" s="27" t="str">
        <x:v>期限/隐波/曲线残差显著偏离且流动性充足时交易</x:v>
      </x:c>
      <x:c r="M154" s="27" t="str">
        <x:v>残差回归、希腊风险超限、标的跳变或超时退出</x:v>
      </x:c>
      <x:c r="N154" s="27" t="str">
        <x:v>surface_node, hedge_ratio, z_threshold, greeks_limit</x:v>
      </x:c>
      <x:c r="O154" s="27" t="str">
        <x:v>高</x:v>
      </x:c>
      <x:c r="P154" s="27" t="str">
        <x:v>中</x:v>
      </x:c>
      <x:c r="Q154" s="27" t="str">
        <x:v>报价稀疏、希腊估算误差、对冲成本</x:v>
      </x:c>
      <x:c r="R154" s="27" t="str">
        <x:v>用可成交报价而非mid，纳入对冲滑点</x:v>
      </x:c>
      <x:c r="S154" s="27" t="str">
        <x:v>arXiv q-fin.TR Trading and Market Microstructure</x:v>
      </x:c>
      <x:c r="T154" s="27" t="str">
        <x:v>https://arxiv.org/list/q-fin.TR/recent</x:v>
      </x:c>
      <x:c r="U154" s="27" t="str"/>
    </x:row>
    <x:row r="155" ht="54" customHeight="1">
      <x:c r="A155" s="27" t="str">
        <x:v>TS154</x:v>
      </x:c>
      <x:c r="B155" s="27" t="str">
        <x:v>时间序列</x:v>
      </x:c>
      <x:c r="C155" s="27" t="str">
        <x:v>期权/利率/期限结构</x:v>
      </x:c>
      <x:c r="D155" s="27" t="str">
        <x:v>新兴</x:v>
      </x:c>
      <x:c r="E155" s="27" t="str">
        <x:v>隐含相关性冲击</x:v>
      </x:c>
      <x:c r="F155" s="27" t="str">
        <x:v>implied correlation shock</x:v>
      </x:c>
      <x:c r="G155" s="27" t="str">
        <x:v>指数期权与成分股期权IV错配</x:v>
      </x:c>
      <x:c r="H155" s="27" t="str">
        <x:v>期权/债券期货/利率期货/FX forwards/商品期货</x:v>
      </x:c>
      <x:c r="I155" s="27" t="str">
        <x:v>30秒-5分钟</x:v>
      </x:c>
      <x:c r="J155" s="27" t="str">
        <x:v>10-60秒评估一次</x:v>
      </x:c>
      <x:c r="K155" s="27" t="str">
        <x:v>index/single-name options</x:v>
      </x:c>
      <x:c r="L155" s="27" t="str">
        <x:v>期限/隐波/曲线残差显著偏离且流动性充足时交易</x:v>
      </x:c>
      <x:c r="M155" s="27" t="str">
        <x:v>残差回归、希腊风险超限、标的跳变或超时退出</x:v>
      </x:c>
      <x:c r="N155" s="27" t="str">
        <x:v>surface_node, hedge_ratio, z_threshold, greeks_limit</x:v>
      </x:c>
      <x:c r="O155" s="27" t="str">
        <x:v>高</x:v>
      </x:c>
      <x:c r="P155" s="27" t="str">
        <x:v>中</x:v>
      </x:c>
      <x:c r="Q155" s="27" t="str">
        <x:v>报价稀疏、希腊估算误差、对冲成本</x:v>
      </x:c>
      <x:c r="R155" s="27" t="str">
        <x:v>用可成交报价而非mid，纳入对冲滑点</x:v>
      </x:c>
      <x:c r="S155" s="27" t="str">
        <x:v>arXiv q-fin.TR Trading and Market Microstructure</x:v>
      </x:c>
      <x:c r="T155" s="27" t="str">
        <x:v>https://arxiv.org/list/q-fin.TR/recent</x:v>
      </x:c>
      <x:c r="U155" s="27" t="str"/>
    </x:row>
    <x:row r="156" ht="54" customHeight="1">
      <x:c r="A156" s="27" t="str">
        <x:v>TS155</x:v>
      </x:c>
      <x:c r="B156" s="27" t="str">
        <x:v>时间序列</x:v>
      </x:c>
      <x:c r="C156" s="27" t="str">
        <x:v>期权/利率/期限结构</x:v>
      </x:c>
      <x:c r="D156" s="27" t="str">
        <x:v>新兴</x:v>
      </x:c>
      <x:c r="E156" s="27" t="str">
        <x:v>固定收益RFQ后价格冲击</x:v>
      </x:c>
      <x:c r="F156" s="27" t="str">
        <x:v>post-RFQ bond price impact</x:v>
      </x:c>
      <x:c r="G156" s="27" t="str">
        <x:v>债券询价成交后短时价格调整</x:v>
      </x:c>
      <x:c r="H156" s="27" t="str">
        <x:v>期权/债券期货/利率期货/FX forwards/商品期货</x:v>
      </x:c>
      <x:c r="I156" s="27" t="str">
        <x:v>30秒-5分钟</x:v>
      </x:c>
      <x:c r="J156" s="27" t="str">
        <x:v>10-60秒评估一次</x:v>
      </x:c>
      <x:c r="K156" s="27" t="str">
        <x:v>RFQ, TRACE-like data</x:v>
      </x:c>
      <x:c r="L156" s="27" t="str">
        <x:v>期限/隐波/曲线残差显著偏离且流动性充足时交易</x:v>
      </x:c>
      <x:c r="M156" s="27" t="str">
        <x:v>残差回归、希腊风险超限、标的跳变或超时退出</x:v>
      </x:c>
      <x:c r="N156" s="27" t="str">
        <x:v>surface_node, hedge_ratio, z_threshold, greeks_limit</x:v>
      </x:c>
      <x:c r="O156" s="27" t="str">
        <x:v>高</x:v>
      </x:c>
      <x:c r="P156" s="27" t="str">
        <x:v>中</x:v>
      </x:c>
      <x:c r="Q156" s="27" t="str">
        <x:v>报价稀疏、希腊估算误差、对冲成本</x:v>
      </x:c>
      <x:c r="R156" s="27" t="str">
        <x:v>用可成交报价而非mid，纳入对冲滑点</x:v>
      </x:c>
      <x:c r="S156" s="27" t="str">
        <x:v>arXiv q-fin.TR Trading and Market Microstructure</x:v>
      </x:c>
      <x:c r="T156" s="27" t="str">
        <x:v>https://arxiv.org/list/q-fin.TR/recent</x:v>
      </x:c>
      <x:c r="U156" s="27" t="str"/>
    </x:row>
    <x:row r="157" ht="54" customHeight="1">
      <x:c r="A157" s="27" t="str">
        <x:v>TS156</x:v>
      </x:c>
      <x:c r="B157" s="27" t="str">
        <x:v>时间序列</x:v>
      </x:c>
      <x:c r="C157" s="27" t="str">
        <x:v>期权/利率/期限结构</x:v>
      </x:c>
      <x:c r="D157" s="27" t="str">
        <x:v>新兴</x:v>
      </x:c>
      <x:c r="E157" s="27" t="str">
        <x:v>利率公告后曲线顺势</x:v>
      </x:c>
      <x:c r="F157" s="27" t="str">
        <x:v>rates-announcement curve drift</x:v>
      </x:c>
      <x:c r="G157" s="27" t="str">
        <x:v>央行/数据后曲线不同期限分阶段调整</x:v>
      </x:c>
      <x:c r="H157" s="27" t="str">
        <x:v>期权/债券期货/利率期货/FX forwards/商品期货</x:v>
      </x:c>
      <x:c r="I157" s="27" t="str">
        <x:v>30秒-5分钟</x:v>
      </x:c>
      <x:c r="J157" s="27" t="str">
        <x:v>10-60秒评估一次</x:v>
      </x:c>
      <x:c r="K157" s="27" t="str">
        <x:v>calendar, rates</x:v>
      </x:c>
      <x:c r="L157" s="27" t="str">
        <x:v>期限/隐波/曲线残差显著偏离且流动性充足时交易</x:v>
      </x:c>
      <x:c r="M157" s="27" t="str">
        <x:v>残差回归、希腊风险超限、标的跳变或超时退出</x:v>
      </x:c>
      <x:c r="N157" s="27" t="str">
        <x:v>surface_node, hedge_ratio, z_threshold, greeks_limit</x:v>
      </x:c>
      <x:c r="O157" s="27" t="str">
        <x:v>高</x:v>
      </x:c>
      <x:c r="P157" s="27" t="str">
        <x:v>中</x:v>
      </x:c>
      <x:c r="Q157" s="27" t="str">
        <x:v>报价稀疏、希腊估算误差、对冲成本</x:v>
      </x:c>
      <x:c r="R157" s="27" t="str">
        <x:v>用可成交报价而非mid，纳入对冲滑点</x:v>
      </x:c>
      <x:c r="S157" s="27" t="str">
        <x:v>arXiv q-fin.TR Trading and Market Microstructure</x:v>
      </x:c>
      <x:c r="T157" s="27" t="str">
        <x:v>https://arxiv.org/list/q-fin.TR/recent</x:v>
      </x:c>
      <x:c r="U157" s="27" t="str"/>
    </x:row>
    <x:row r="158" ht="54" customHeight="1">
      <x:c r="A158" s="27" t="str">
        <x:v>TS157</x:v>
      </x:c>
      <x:c r="B158" s="27" t="str">
        <x:v>时间序列</x:v>
      </x:c>
      <x:c r="C158" s="27" t="str">
        <x:v>期权/利率/期限结构</x:v>
      </x:c>
      <x:c r="D158" s="27" t="str">
        <x:v>新兴</x:v>
      </x:c>
      <x:c r="E158" s="27" t="str">
        <x:v>VIX9D-VIX短窗价差</x:v>
      </x:c>
      <x:c r="F158" s="27" t="str">
        <x:v>VIX9D-VIX micro spread</x:v>
      </x:c>
      <x:c r="G158" s="27" t="str">
        <x:v>短端波动指数对股指短线压力更敏感</x:v>
      </x:c>
      <x:c r="H158" s="27" t="str">
        <x:v>期权/债券期货/利率期货/FX forwards/商品期货</x:v>
      </x:c>
      <x:c r="I158" s="27" t="str">
        <x:v>30秒-5分钟</x:v>
      </x:c>
      <x:c r="J158" s="27" t="str">
        <x:v>10-60秒评估一次</x:v>
      </x:c>
      <x:c r="K158" s="27" t="str">
        <x:v>vol indices</x:v>
      </x:c>
      <x:c r="L158" s="27" t="str">
        <x:v>期限/隐波/曲线残差显著偏离且流动性充足时交易</x:v>
      </x:c>
      <x:c r="M158" s="27" t="str">
        <x:v>残差回归、希腊风险超限、标的跳变或超时退出</x:v>
      </x:c>
      <x:c r="N158" s="27" t="str">
        <x:v>surface_node, hedge_ratio, z_threshold, greeks_limit</x:v>
      </x:c>
      <x:c r="O158" s="27" t="str">
        <x:v>高</x:v>
      </x:c>
      <x:c r="P158" s="27" t="str">
        <x:v>中</x:v>
      </x:c>
      <x:c r="Q158" s="27" t="str">
        <x:v>报价稀疏、希腊估算误差、对冲成本</x:v>
      </x:c>
      <x:c r="R158" s="27" t="str">
        <x:v>用可成交报价而非mid，纳入对冲滑点</x:v>
      </x:c>
      <x:c r="S158" s="27" t="str">
        <x:v>arXiv q-fin.TR Trading and Market Microstructure</x:v>
      </x:c>
      <x:c r="T158" s="27" t="str">
        <x:v>https://arxiv.org/list/q-fin.TR/recent</x:v>
      </x:c>
      <x:c r="U158" s="27" t="str"/>
    </x:row>
    <x:row r="159" ht="54" customHeight="1">
      <x:c r="A159" s="27" t="str">
        <x:v>TS158</x:v>
      </x:c>
      <x:c r="B159" s="27" t="str">
        <x:v>时间序列</x:v>
      </x:c>
      <x:c r="C159" s="27" t="str">
        <x:v>期权/利率/期限结构</x:v>
      </x:c>
      <x:c r="D159" s="27" t="str">
        <x:v>新兴</x:v>
      </x:c>
      <x:c r="E159" s="27" t="str">
        <x:v>隐波面PCA冲击</x:v>
      </x:c>
      <x:c r="F159" s="27" t="str">
        <x:v>IV surface PCA shock</x:v>
      </x:c>
      <x:c r="G159" s="27" t="str">
        <x:v>IV面主成分冲击后相关节点滞后调整</x:v>
      </x:c>
      <x:c r="H159" s="27" t="str">
        <x:v>期权/债券期货/利率期货/FX forwards/商品期货</x:v>
      </x:c>
      <x:c r="I159" s="27" t="str">
        <x:v>30秒-5分钟</x:v>
      </x:c>
      <x:c r="J159" s="27" t="str">
        <x:v>10-60秒评估一次</x:v>
      </x:c>
      <x:c r="K159" s="27" t="str">
        <x:v>IV surface</x:v>
      </x:c>
      <x:c r="L159" s="27" t="str">
        <x:v>期限/隐波/曲线残差显著偏离且流动性充足时交易</x:v>
      </x:c>
      <x:c r="M159" s="27" t="str">
        <x:v>残差回归、希腊风险超限、标的跳变或超时退出</x:v>
      </x:c>
      <x:c r="N159" s="27" t="str">
        <x:v>surface_node, hedge_ratio, z_threshold, greeks_limit</x:v>
      </x:c>
      <x:c r="O159" s="27" t="str">
        <x:v>高</x:v>
      </x:c>
      <x:c r="P159" s="27" t="str">
        <x:v>中</x:v>
      </x:c>
      <x:c r="Q159" s="27" t="str">
        <x:v>报价稀疏、希腊估算误差、对冲成本</x:v>
      </x:c>
      <x:c r="R159" s="27" t="str">
        <x:v>用可成交报价而非mid，纳入对冲滑点</x:v>
      </x:c>
      <x:c r="S159" s="27" t="str">
        <x:v>arXiv q-fin.TR Trading and Market Microstructure</x:v>
      </x:c>
      <x:c r="T159" s="27" t="str">
        <x:v>https://arxiv.org/list/q-fin.TR/recent</x:v>
      </x:c>
      <x:c r="U159" s="27" t="str"/>
    </x:row>
    <x:row r="160" ht="54" customHeight="1">
      <x:c r="A160" s="27" t="str">
        <x:v>TS159</x:v>
      </x:c>
      <x:c r="B160" s="27" t="str">
        <x:v>时间序列</x:v>
      </x:c>
      <x:c r="C160" s="27" t="str">
        <x:v>期权/利率/期限结构</x:v>
      </x:c>
      <x:c r="D160" s="27" t="str">
        <x:v>新兴</x:v>
      </x:c>
      <x:c r="E160" s="27" t="str">
        <x:v>期权成交方向压力</x:v>
      </x:c>
      <x:c r="F160" s="27" t="str">
        <x:v>option signed-flow pressure</x:v>
      </x:c>
      <x:c r="G160" s="27" t="str">
        <x:v>期权主动买卖方向代表短线隐含/标的压力</x:v>
      </x:c>
      <x:c r="H160" s="27" t="str">
        <x:v>期权/债券期货/利率期货/FX forwards/商品期货</x:v>
      </x:c>
      <x:c r="I160" s="27" t="str">
        <x:v>30秒-5分钟</x:v>
      </x:c>
      <x:c r="J160" s="27" t="str">
        <x:v>10-60秒评估一次</x:v>
      </x:c>
      <x:c r="K160" s="27" t="str">
        <x:v>options prints</x:v>
      </x:c>
      <x:c r="L160" s="27" t="str">
        <x:v>期限/隐波/曲线残差显著偏离且流动性充足时交易</x:v>
      </x:c>
      <x:c r="M160" s="27" t="str">
        <x:v>残差回归、希腊风险超限、标的跳变或超时退出</x:v>
      </x:c>
      <x:c r="N160" s="27" t="str">
        <x:v>surface_node, hedge_ratio, z_threshold, greeks_limit</x:v>
      </x:c>
      <x:c r="O160" s="27" t="str">
        <x:v>高</x:v>
      </x:c>
      <x:c r="P160" s="27" t="str">
        <x:v>中</x:v>
      </x:c>
      <x:c r="Q160" s="27" t="str">
        <x:v>报价稀疏、希腊估算误差、对冲成本</x:v>
      </x:c>
      <x:c r="R160" s="27" t="str">
        <x:v>用可成交报价而非mid，纳入对冲滑点</x:v>
      </x:c>
      <x:c r="S160" s="27" t="str">
        <x:v>arXiv q-fin.TR Trading and Market Microstructure</x:v>
      </x:c>
      <x:c r="T160" s="27" t="str">
        <x:v>https://arxiv.org/list/q-fin.TR/recent</x:v>
      </x:c>
      <x:c r="U160" s="27" t="str"/>
    </x:row>
    <x:row r="161" ht="54" customHeight="1">
      <x:c r="A161" s="27" t="str">
        <x:v>TS160</x:v>
      </x:c>
      <x:c r="B161" s="27" t="str">
        <x:v>时间序列</x:v>
      </x:c>
      <x:c r="C161" s="27" t="str">
        <x:v>期权/利率/期限结构</x:v>
      </x:c>
      <x:c r="D161" s="27" t="str">
        <x:v>新兴</x:v>
      </x:c>
      <x:c r="E161" s="27" t="str">
        <x:v>delta对冲残差交易</x:v>
      </x:c>
      <x:c r="F161" s="27" t="str">
        <x:v>delta-hedged residual scalping</x:v>
      </x:c>
      <x:c r="G161" s="27" t="str">
        <x:v>delta中性残差短窗偏离均值回归</x:v>
      </x:c>
      <x:c r="H161" s="27" t="str">
        <x:v>期权/债券期货/利率期货/FX forwards/商品期货</x:v>
      </x:c>
      <x:c r="I161" s="27" t="str">
        <x:v>30秒-5分钟</x:v>
      </x:c>
      <x:c r="J161" s="27" t="str">
        <x:v>10-60秒评估一次</x:v>
      </x:c>
      <x:c r="K161" s="27" t="str">
        <x:v>options, underlying</x:v>
      </x:c>
      <x:c r="L161" s="27" t="str">
        <x:v>期限/隐波/曲线残差显著偏离且流动性充足时交易</x:v>
      </x:c>
      <x:c r="M161" s="27" t="str">
        <x:v>残差回归、希腊风险超限、标的跳变或超时退出</x:v>
      </x:c>
      <x:c r="N161" s="27" t="str">
        <x:v>surface_node, hedge_ratio, z_threshold, greeks_limit</x:v>
      </x:c>
      <x:c r="O161" s="27" t="str">
        <x:v>高</x:v>
      </x:c>
      <x:c r="P161" s="27" t="str">
        <x:v>中</x:v>
      </x:c>
      <x:c r="Q161" s="27" t="str">
        <x:v>报价稀疏、希腊估算误差、对冲成本</x:v>
      </x:c>
      <x:c r="R161" s="27" t="str">
        <x:v>用可成交报价而非mid，纳入对冲滑点</x:v>
      </x:c>
      <x:c r="S161" s="27" t="str">
        <x:v>arXiv q-fin.TR Trading and Market Microstructure</x:v>
      </x:c>
      <x:c r="T161" s="27" t="str">
        <x:v>https://arxiv.org/list/q-fin.TR/recent</x:v>
      </x:c>
      <x:c r="U161" s="27" t="str"/>
    </x:row>
    <x:row r="162" ht="54" customHeight="1">
      <x:c r="A162" s="27" t="str">
        <x:v>TS161</x:v>
      </x:c>
      <x:c r="B162" s="27" t="str">
        <x:v>时间序列</x:v>
      </x:c>
      <x:c r="C162" s="27" t="str">
        <x:v>机器学习/深度序列模型</x:v>
      </x:c>
      <x:c r="D162" s="27" t="str">
        <x:v>经典</x:v>
      </x:c>
      <x:c r="E162" s="27" t="str">
        <x:v>LSTM收益率方向</x:v>
      </x:c>
      <x:c r="F162" s="27" t="str">
        <x:v>LSTM return direction</x:v>
      </x:c>
      <x:c r="G162" s="27" t="str">
        <x:v>递归网络捕捉非线性时间依赖</x:v>
      </x:c>
      <x:c r="H162" s="27" t="str">
        <x:v>股票/期货/加密/FX/期权</x:v>
      </x:c>
      <x:c r="I162" s="27" t="str">
        <x:v>5秒-5分钟</x:v>
      </x:c>
      <x:c r="J162" s="27" t="str">
        <x:v>5-60秒推理一次</x:v>
      </x:c>
      <x:c r="K162" s="27" t="str">
        <x:v>returns/features</x:v>
      </x:c>
      <x:c r="L162" s="27" t="str">
        <x:v>模型预测收益/方向概率扣除成本后为正时入场</x:v>
      </x:c>
      <x:c r="M162" s="27" t="str">
        <x:v>置信度下降、止损、超时、模型漂移报警退出</x:v>
      </x:c>
      <x:c r="N162" s="27" t="str">
        <x:v>sequence_len, threshold, calibration, retrain_freq</x:v>
      </x:c>
      <x:c r="O162" s="27" t="str">
        <x:v>高</x:v>
      </x:c>
      <x:c r="P162" s="27" t="str">
        <x:v>中-高</x:v>
      </x:c>
      <x:c r="Q162" s="27" t="str">
        <x:v>过拟合、标签泄露、数据延迟、模型漂移</x:v>
      </x:c>
      <x:c r="R162" s="27" t="str">
        <x:v>严格按时间切分，做purged CV和交易成本压力测试</x:v>
      </x:c>
      <x:c r="S162" s="27" t="str">
        <x:v>arXiv q-fin.TR Trading and Market Microstructure</x:v>
      </x:c>
      <x:c r="T162" s="27" t="str">
        <x:v>https://arxiv.org/list/q-fin.TR/recent</x:v>
      </x:c>
      <x:c r="U162" s="27" t="str"/>
    </x:row>
    <x:row r="163" ht="54" customHeight="1">
      <x:c r="A163" s="27" t="str">
        <x:v>TS162</x:v>
      </x:c>
      <x:c r="B163" s="27" t="str">
        <x:v>时间序列</x:v>
      </x:c>
      <x:c r="C163" s="27" t="str">
        <x:v>机器学习/深度序列模型</x:v>
      </x:c>
      <x:c r="D163" s="27" t="str">
        <x:v>经典</x:v>
      </x:c>
      <x:c r="E163" s="27" t="str">
        <x:v>TCN短线序列预测</x:v>
      </x:c>
      <x:c r="F163" s="27" t="str">
        <x:v>temporal convolution forecast</x:v>
      </x:c>
      <x:c r="G163" s="27" t="str">
        <x:v>TCN可稳定建模固定窗口序列</x:v>
      </x:c>
      <x:c r="H163" s="27" t="str">
        <x:v>股票/期货/加密/FX/期权</x:v>
      </x:c>
      <x:c r="I163" s="27" t="str">
        <x:v>5秒-5分钟</x:v>
      </x:c>
      <x:c r="J163" s="27" t="str">
        <x:v>5-60秒推理一次</x:v>
      </x:c>
      <x:c r="K163" s="27" t="str">
        <x:v>features</x:v>
      </x:c>
      <x:c r="L163" s="27" t="str">
        <x:v>模型预测收益/方向概率扣除成本后为正时入场</x:v>
      </x:c>
      <x:c r="M163" s="27" t="str">
        <x:v>置信度下降、止损、超时、模型漂移报警退出</x:v>
      </x:c>
      <x:c r="N163" s="27" t="str">
        <x:v>sequence_len, threshold, calibration, retrain_freq</x:v>
      </x:c>
      <x:c r="O163" s="27" t="str">
        <x:v>高</x:v>
      </x:c>
      <x:c r="P163" s="27" t="str">
        <x:v>中-高</x:v>
      </x:c>
      <x:c r="Q163" s="27" t="str">
        <x:v>过拟合、标签泄露、数据延迟、模型漂移</x:v>
      </x:c>
      <x:c r="R163" s="27" t="str">
        <x:v>严格按时间切分，做purged CV和交易成本压力测试</x:v>
      </x:c>
      <x:c r="S163" s="27" t="str">
        <x:v>arXiv q-fin.TR Trading and Market Microstructure</x:v>
      </x:c>
      <x:c r="T163" s="27" t="str">
        <x:v>https://arxiv.org/list/q-fin.TR/recent</x:v>
      </x:c>
      <x:c r="U163" s="27" t="str"/>
    </x:row>
    <x:row r="164" ht="54" customHeight="1">
      <x:c r="A164" s="27" t="str">
        <x:v>TS163</x:v>
      </x:c>
      <x:c r="B164" s="27" t="str">
        <x:v>时间序列</x:v>
      </x:c>
      <x:c r="C164" s="27" t="str">
        <x:v>机器学习/深度序列模型</x:v>
      </x:c>
      <x:c r="D164" s="27" t="str">
        <x:v>新兴</x:v>
      </x:c>
      <x:c r="E164" s="27" t="str">
        <x:v>Transformer订单流预测</x:v>
      </x:c>
      <x:c r="F164" s="27" t="str">
        <x:v>Transformer order-flow forecast</x:v>
      </x:c>
      <x:c r="G164" s="27" t="str">
        <x:v>attention捕捉远近事件依赖</x:v>
      </x:c>
      <x:c r="H164" s="27" t="str">
        <x:v>股票/期货/加密/FX/期权</x:v>
      </x:c>
      <x:c r="I164" s="27" t="str">
        <x:v>5秒-5分钟</x:v>
      </x:c>
      <x:c r="J164" s="27" t="str">
        <x:v>5-60秒推理一次</x:v>
      </x:c>
      <x:c r="K164" s="27" t="str">
        <x:v>order flow</x:v>
      </x:c>
      <x:c r="L164" s="27" t="str">
        <x:v>模型预测收益/方向概率扣除成本后为正时入场</x:v>
      </x:c>
      <x:c r="M164" s="27" t="str">
        <x:v>置信度下降、止损、超时、模型漂移报警退出</x:v>
      </x:c>
      <x:c r="N164" s="27" t="str">
        <x:v>sequence_len, threshold, calibration, retrain_freq</x:v>
      </x:c>
      <x:c r="O164" s="27" t="str">
        <x:v>高</x:v>
      </x:c>
      <x:c r="P164" s="27" t="str">
        <x:v>中-高</x:v>
      </x:c>
      <x:c r="Q164" s="27" t="str">
        <x:v>过拟合、标签泄露、数据延迟、模型漂移</x:v>
      </x:c>
      <x:c r="R164" s="27" t="str">
        <x:v>严格按时间切分，做purged CV和交易成本压力测试</x:v>
      </x:c>
      <x:c r="S164" s="27" t="str">
        <x:v>arXiv q-fin.TR Trading and Market Microstructure</x:v>
      </x:c>
      <x:c r="T164" s="27" t="str">
        <x:v>https://arxiv.org/list/q-fin.TR/recent</x:v>
      </x:c>
      <x:c r="U164" s="27" t="str"/>
    </x:row>
    <x:row r="165" ht="54" customHeight="1">
      <x:c r="A165" s="27" t="str">
        <x:v>TS164</x:v>
      </x:c>
      <x:c r="B165" s="27" t="str">
        <x:v>时间序列</x:v>
      </x:c>
      <x:c r="C165" s="27" t="str">
        <x:v>机器学习/深度序列模型</x:v>
      </x:c>
      <x:c r="D165" s="27" t="str">
        <x:v>新兴</x:v>
      </x:c>
      <x:c r="E165" s="27" t="str">
        <x:v>DeepLOB价格方向</x:v>
      </x:c>
      <x:c r="F165" s="27" t="str">
        <x:v>DeepLOB mid-price direction</x:v>
      </x:c>
      <x:c r="G165" s="27" t="str">
        <x:v>CNN+LSTM从订单簿空间和时间结构提取特征</x:v>
      </x:c>
      <x:c r="H165" s="27" t="str">
        <x:v>股票/期货/加密/FX/期权</x:v>
      </x:c>
      <x:c r="I165" s="27" t="str">
        <x:v>5秒-5分钟</x:v>
      </x:c>
      <x:c r="J165" s="27" t="str">
        <x:v>5-60秒推理一次</x:v>
      </x:c>
      <x:c r="K165" s="27" t="str">
        <x:v>LOB</x:v>
      </x:c>
      <x:c r="L165" s="27" t="str">
        <x:v>模型预测收益/方向概率扣除成本后为正时入场</x:v>
      </x:c>
      <x:c r="M165" s="27" t="str">
        <x:v>置信度下降、止损、超时、模型漂移报警退出</x:v>
      </x:c>
      <x:c r="N165" s="27" t="str">
        <x:v>sequence_len, threshold, calibration, retrain_freq</x:v>
      </x:c>
      <x:c r="O165" s="27" t="str">
        <x:v>高</x:v>
      </x:c>
      <x:c r="P165" s="27" t="str">
        <x:v>中-高</x:v>
      </x:c>
      <x:c r="Q165" s="27" t="str">
        <x:v>过拟合、标签泄露、数据延迟、模型漂移</x:v>
      </x:c>
      <x:c r="R165" s="27" t="str">
        <x:v>严格按时间切分，做purged CV和交易成本压力测试</x:v>
      </x:c>
      <x:c r="S165" s="27" t="str">
        <x:v>DeepLOB: Deep CNNs for Limit Order Books</x:v>
      </x:c>
      <x:c r="T165" s="27" t="str">
        <x:v>https://arxiv.org/abs/1808.03668</x:v>
      </x:c>
      <x:c r="U165" s="27" t="str"/>
    </x:row>
    <x:row r="166" ht="54" customHeight="1">
      <x:c r="A166" s="27" t="str">
        <x:v>TS165</x:v>
      </x:c>
      <x:c r="B166" s="27" t="str">
        <x:v>时间序列</x:v>
      </x:c>
      <x:c r="C166" s="27" t="str">
        <x:v>机器学习/深度序列模型</x:v>
      </x:c>
      <x:c r="D166" s="27" t="str">
        <x:v>新兴</x:v>
      </x:c>
      <x:c r="E166" s="27" t="str">
        <x:v>贝叶斯DeepLOB仓位缩放</x:v>
      </x:c>
      <x:c r="F166" s="27" t="str">
        <x:v>Bayesian DeepLOB sizing</x:v>
      </x:c>
      <x:c r="G166" s="27" t="str">
        <x:v>预测不确定性可控制是否交易和仓位</x:v>
      </x:c>
      <x:c r="H166" s="27" t="str">
        <x:v>股票/期货/加密/FX/期权</x:v>
      </x:c>
      <x:c r="I166" s="27" t="str">
        <x:v>5秒-5分钟</x:v>
      </x:c>
      <x:c r="J166" s="27" t="str">
        <x:v>5-60秒推理一次</x:v>
      </x:c>
      <x:c r="K166" s="27" t="str">
        <x:v>LOB, uncertainty</x:v>
      </x:c>
      <x:c r="L166" s="27" t="str">
        <x:v>模型预测收益/方向概率扣除成本后为正时入场</x:v>
      </x:c>
      <x:c r="M166" s="27" t="str">
        <x:v>置信度下降、止损、超时、模型漂移报警退出</x:v>
      </x:c>
      <x:c r="N166" s="27" t="str">
        <x:v>sequence_len, threshold, calibration, retrain_freq</x:v>
      </x:c>
      <x:c r="O166" s="27" t="str">
        <x:v>高</x:v>
      </x:c>
      <x:c r="P166" s="27" t="str">
        <x:v>中-高</x:v>
      </x:c>
      <x:c r="Q166" s="27" t="str">
        <x:v>过拟合、标签泄露、数据延迟、模型漂移</x:v>
      </x:c>
      <x:c r="R166" s="27" t="str">
        <x:v>严格按时间切分，做purged CV和交易成本压力测试</x:v>
      </x:c>
      <x:c r="S166" s="27" t="str">
        <x:v>DeepLOB: Deep CNNs for Limit Order Books</x:v>
      </x:c>
      <x:c r="T166" s="27" t="str">
        <x:v>https://arxiv.org/abs/1808.03668</x:v>
      </x:c>
      <x:c r="U166" s="27" t="str"/>
    </x:row>
    <x:row r="167" ht="54" customHeight="1">
      <x:c r="A167" s="27" t="str">
        <x:v>TS166</x:v>
      </x:c>
      <x:c r="B167" s="27" t="str">
        <x:v>时间序列</x:v>
      </x:c>
      <x:c r="C167" s="27" t="str">
        <x:v>机器学习/深度序列模型</x:v>
      </x:c>
      <x:c r="D167" s="27" t="str">
        <x:v>新兴</x:v>
      </x:c>
      <x:c r="E167" s="27" t="str">
        <x:v>HLOB结构化订单簿</x:v>
      </x:c>
      <x:c r="F167" s="27" t="str">
        <x:v>HLOB structural LOB model</x:v>
      </x:c>
      <x:c r="G167" s="27" t="str">
        <x:v>图/同调结构帮助提取订单簿层级关系</x:v>
      </x:c>
      <x:c r="H167" s="27" t="str">
        <x:v>股票/期货/加密/FX/期权</x:v>
      </x:c>
      <x:c r="I167" s="27" t="str">
        <x:v>5秒-5分钟</x:v>
      </x:c>
      <x:c r="J167" s="27" t="str">
        <x:v>5-60秒推理一次</x:v>
      </x:c>
      <x:c r="K167" s="27" t="str">
        <x:v>LOB</x:v>
      </x:c>
      <x:c r="L167" s="27" t="str">
        <x:v>模型预测收益/方向概率扣除成本后为正时入场</x:v>
      </x:c>
      <x:c r="M167" s="27" t="str">
        <x:v>置信度下降、止损、超时、模型漂移报警退出</x:v>
      </x:c>
      <x:c r="N167" s="27" t="str">
        <x:v>sequence_len, threshold, calibration, retrain_freq</x:v>
      </x:c>
      <x:c r="O167" s="27" t="str">
        <x:v>高</x:v>
      </x:c>
      <x:c r="P167" s="27" t="str">
        <x:v>中-高</x:v>
      </x:c>
      <x:c r="Q167" s="27" t="str">
        <x:v>过拟合、标签泄露、数据延迟、模型漂移</x:v>
      </x:c>
      <x:c r="R167" s="27" t="str">
        <x:v>严格按时间切分，做purged CV和交易成本压力测试</x:v>
      </x:c>
      <x:c r="S167" s="27" t="str">
        <x:v>HLOB: Information Persistence and Structure in LOBs</x:v>
      </x:c>
      <x:c r="T167" s="27" t="str">
        <x:v>https://arxiv.org/abs/2405.18938</x:v>
      </x:c>
      <x:c r="U167" s="27" t="str"/>
    </x:row>
    <x:row r="168" ht="54" customHeight="1">
      <x:c r="A168" s="27" t="str">
        <x:v>TS167</x:v>
      </x:c>
      <x:c r="B168" s="27" t="str">
        <x:v>时间序列</x:v>
      </x:c>
      <x:c r="C168" s="27" t="str">
        <x:v>机器学习/深度序列模型</x:v>
      </x:c>
      <x:c r="D168" s="27" t="str">
        <x:v>新兴</x:v>
      </x:c>
      <x:c r="E168" s="27" t="str">
        <x:v>图神经网络跨资产</x:v>
      </x:c>
      <x:c r="F168" s="27" t="str">
        <x:v>GNN cross-asset sequence</x:v>
      </x:c>
      <x:c r="G168" s="27" t="str">
        <x:v>资产网络结构影响短线传播</x:v>
      </x:c>
      <x:c r="H168" s="27" t="str">
        <x:v>股票/期货/加密/FX/期权</x:v>
      </x:c>
      <x:c r="I168" s="27" t="str">
        <x:v>5秒-5分钟</x:v>
      </x:c>
      <x:c r="J168" s="27" t="str">
        <x:v>5-60秒推理一次</x:v>
      </x:c>
      <x:c r="K168" s="27" t="str">
        <x:v>multi-asset graph</x:v>
      </x:c>
      <x:c r="L168" s="27" t="str">
        <x:v>模型预测收益/方向概率扣除成本后为正时入场</x:v>
      </x:c>
      <x:c r="M168" s="27" t="str">
        <x:v>置信度下降、止损、超时、模型漂移报警退出</x:v>
      </x:c>
      <x:c r="N168" s="27" t="str">
        <x:v>sequence_len, threshold, calibration, retrain_freq</x:v>
      </x:c>
      <x:c r="O168" s="27" t="str">
        <x:v>高</x:v>
      </x:c>
      <x:c r="P168" s="27" t="str">
        <x:v>中-高</x:v>
      </x:c>
      <x:c r="Q168" s="27" t="str">
        <x:v>过拟合、标签泄露、数据延迟、模型漂移</x:v>
      </x:c>
      <x:c r="R168" s="27" t="str">
        <x:v>严格按时间切分，做purged CV和交易成本压力测试</x:v>
      </x:c>
      <x:c r="S168" s="27" t="str">
        <x:v>arXiv q-fin.TR Trading and Market Microstructure</x:v>
      </x:c>
      <x:c r="T168" s="27" t="str">
        <x:v>https://arxiv.org/list/q-fin.TR/recent</x:v>
      </x:c>
      <x:c r="U168" s="27" t="str"/>
    </x:row>
    <x:row r="169" ht="54" customHeight="1">
      <x:c r="A169" s="27" t="str">
        <x:v>TS168</x:v>
      </x:c>
      <x:c r="B169" s="27" t="str">
        <x:v>时间序列</x:v>
      </x:c>
      <x:c r="C169" s="27" t="str">
        <x:v>机器学习/深度序列模型</x:v>
      </x:c>
      <x:c r="D169" s="27" t="str">
        <x:v>新兴</x:v>
      </x:c>
      <x:c r="E169" s="27" t="str">
        <x:v>自监督表示学习</x:v>
      </x:c>
      <x:c r="F169" s="27" t="str">
        <x:v>self-supervised market representation</x:v>
      </x:c>
      <x:c r="G169" s="27" t="str">
        <x:v>用掩码/对比学习提取通用短线状态</x:v>
      </x:c>
      <x:c r="H169" s="27" t="str">
        <x:v>股票/期货/加密/FX/期权</x:v>
      </x:c>
      <x:c r="I169" s="27" t="str">
        <x:v>5秒-5分钟</x:v>
      </x:c>
      <x:c r="J169" s="27" t="str">
        <x:v>5-60秒推理一次</x:v>
      </x:c>
      <x:c r="K169" s="27" t="str">
        <x:v>raw ticks</x:v>
      </x:c>
      <x:c r="L169" s="27" t="str">
        <x:v>模型预测收益/方向概率扣除成本后为正时入场</x:v>
      </x:c>
      <x:c r="M169" s="27" t="str">
        <x:v>置信度下降、止损、超时、模型漂移报警退出</x:v>
      </x:c>
      <x:c r="N169" s="27" t="str">
        <x:v>sequence_len, threshold, calibration, retrain_freq</x:v>
      </x:c>
      <x:c r="O169" s="27" t="str">
        <x:v>高</x:v>
      </x:c>
      <x:c r="P169" s="27" t="str">
        <x:v>中-高</x:v>
      </x:c>
      <x:c r="Q169" s="27" t="str">
        <x:v>过拟合、标签泄露、数据延迟、模型漂移</x:v>
      </x:c>
      <x:c r="R169" s="27" t="str">
        <x:v>严格按时间切分，做purged CV和交易成本压力测试</x:v>
      </x:c>
      <x:c r="S169" s="27" t="str">
        <x:v>arXiv q-fin.TR Trading and Market Microstructure</x:v>
      </x:c>
      <x:c r="T169" s="27" t="str">
        <x:v>https://arxiv.org/list/q-fin.TR/recent</x:v>
      </x:c>
      <x:c r="U169" s="27" t="str"/>
    </x:row>
    <x:row r="170" ht="54" customHeight="1">
      <x:c r="A170" s="27" t="str">
        <x:v>TS169</x:v>
      </x:c>
      <x:c r="B170" s="27" t="str">
        <x:v>时间序列</x:v>
      </x:c>
      <x:c r="C170" s="27" t="str">
        <x:v>机器学习/深度序列模型</x:v>
      </x:c>
      <x:c r="D170" s="27" t="str">
        <x:v>新兴</x:v>
      </x:c>
      <x:c r="E170" s="27" t="str">
        <x:v>因果卷积成交流</x:v>
      </x:c>
      <x:c r="F170" s="27" t="str">
        <x:v>causal conv trade flow</x:v>
      </x:c>
      <x:c r="G170" s="27" t="str">
        <x:v>仅用过去事件进行低延迟预测</x:v>
      </x:c>
      <x:c r="H170" s="27" t="str">
        <x:v>股票/期货/加密/FX/期权</x:v>
      </x:c>
      <x:c r="I170" s="27" t="str">
        <x:v>5秒-5分钟</x:v>
      </x:c>
      <x:c r="J170" s="27" t="str">
        <x:v>5-60秒推理一次</x:v>
      </x:c>
      <x:c r="K170" s="27" t="str">
        <x:v>trades</x:v>
      </x:c>
      <x:c r="L170" s="27" t="str">
        <x:v>模型预测收益/方向概率扣除成本后为正时入场</x:v>
      </x:c>
      <x:c r="M170" s="27" t="str">
        <x:v>置信度下降、止损、超时、模型漂移报警退出</x:v>
      </x:c>
      <x:c r="N170" s="27" t="str">
        <x:v>sequence_len, threshold, calibration, retrain_freq</x:v>
      </x:c>
      <x:c r="O170" s="27" t="str">
        <x:v>高</x:v>
      </x:c>
      <x:c r="P170" s="27" t="str">
        <x:v>中-高</x:v>
      </x:c>
      <x:c r="Q170" s="27" t="str">
        <x:v>过拟合、标签泄露、数据延迟、模型漂移</x:v>
      </x:c>
      <x:c r="R170" s="27" t="str">
        <x:v>严格按时间切分，做purged CV和交易成本压力测试</x:v>
      </x:c>
      <x:c r="S170" s="27" t="str">
        <x:v>arXiv q-fin.TR Trading and Market Microstructure</x:v>
      </x:c>
      <x:c r="T170" s="27" t="str">
        <x:v>https://arxiv.org/list/q-fin.TR/recent</x:v>
      </x:c>
      <x:c r="U170" s="27" t="str"/>
    </x:row>
    <x:row r="171" ht="54" customHeight="1">
      <x:c r="A171" s="27" t="str">
        <x:v>TS170</x:v>
      </x:c>
      <x:c r="B171" s="27" t="str">
        <x:v>时间序列</x:v>
      </x:c>
      <x:c r="C171" s="27" t="str">
        <x:v>机器学习/深度序列模型</x:v>
      </x:c>
      <x:c r="D171" s="27" t="str">
        <x:v>新兴</x:v>
      </x:c>
      <x:c r="E171" s="27" t="str">
        <x:v>多任务学习价格+波动</x:v>
      </x:c>
      <x:c r="F171" s="27" t="str">
        <x:v>multi-task price-vol forecast</x:v>
      </x:c>
      <x:c r="G171" s="27" t="str">
        <x:v>同时预测方向和波动提升稳健性</x:v>
      </x:c>
      <x:c r="H171" s="27" t="str">
        <x:v>股票/期货/加密/FX/期权</x:v>
      </x:c>
      <x:c r="I171" s="27" t="str">
        <x:v>5秒-5分钟</x:v>
      </x:c>
      <x:c r="J171" s="27" t="str">
        <x:v>5-60秒推理一次</x:v>
      </x:c>
      <x:c r="K171" s="27" t="str">
        <x:v>features</x:v>
      </x:c>
      <x:c r="L171" s="27" t="str">
        <x:v>模型预测收益/方向概率扣除成本后为正时入场</x:v>
      </x:c>
      <x:c r="M171" s="27" t="str">
        <x:v>置信度下降、止损、超时、模型漂移报警退出</x:v>
      </x:c>
      <x:c r="N171" s="27" t="str">
        <x:v>sequence_len, threshold, calibration, retrain_freq</x:v>
      </x:c>
      <x:c r="O171" s="27" t="str">
        <x:v>高</x:v>
      </x:c>
      <x:c r="P171" s="27" t="str">
        <x:v>中-高</x:v>
      </x:c>
      <x:c r="Q171" s="27" t="str">
        <x:v>过拟合、标签泄露、数据延迟、模型漂移</x:v>
      </x:c>
      <x:c r="R171" s="27" t="str">
        <x:v>严格按时间切分，做purged CV和交易成本压力测试</x:v>
      </x:c>
      <x:c r="S171" s="27" t="str">
        <x:v>arXiv q-fin.TR Trading and Market Microstructure</x:v>
      </x:c>
      <x:c r="T171" s="27" t="str">
        <x:v>https://arxiv.org/list/q-fin.TR/recent</x:v>
      </x:c>
      <x:c r="U171" s="27" t="str"/>
    </x:row>
    <x:row r="172" ht="54" customHeight="1">
      <x:c r="A172" s="27" t="str">
        <x:v>TS171</x:v>
      </x:c>
      <x:c r="B172" s="27" t="str">
        <x:v>时间序列</x:v>
      </x:c>
      <x:c r="C172" s="27" t="str">
        <x:v>机器学习/深度序列模型</x:v>
      </x:c>
      <x:c r="D172" s="27" t="str">
        <x:v>新兴</x:v>
      </x:c>
      <x:c r="E172" s="27" t="str">
        <x:v>元标签过滤</x:v>
      </x:c>
      <x:c r="F172" s="27" t="str">
        <x:v>meta-labeling filter</x:v>
      </x:c>
      <x:c r="G172" s="27" t="str">
        <x:v>原始信号只给方向，ML判断是否入场</x:v>
      </x:c>
      <x:c r="H172" s="27" t="str">
        <x:v>股票/期货/加密/FX/期权</x:v>
      </x:c>
      <x:c r="I172" s="27" t="str">
        <x:v>5秒-5分钟</x:v>
      </x:c>
      <x:c r="J172" s="27" t="str">
        <x:v>5-60秒推理一次</x:v>
      </x:c>
      <x:c r="K172" s="27" t="str">
        <x:v>signals, labels</x:v>
      </x:c>
      <x:c r="L172" s="27" t="str">
        <x:v>模型预测收益/方向概率扣除成本后为正时入场</x:v>
      </x:c>
      <x:c r="M172" s="27" t="str">
        <x:v>置信度下降、止损、超时、模型漂移报警退出</x:v>
      </x:c>
      <x:c r="N172" s="27" t="str">
        <x:v>sequence_len, threshold, calibration, retrain_freq</x:v>
      </x:c>
      <x:c r="O172" s="27" t="str">
        <x:v>高</x:v>
      </x:c>
      <x:c r="P172" s="27" t="str">
        <x:v>中-高</x:v>
      </x:c>
      <x:c r="Q172" s="27" t="str">
        <x:v>过拟合、标签泄露、数据延迟、模型漂移</x:v>
      </x:c>
      <x:c r="R172" s="27" t="str">
        <x:v>严格按时间切分，做purged CV和交易成本压力测试</x:v>
      </x:c>
      <x:c r="S172" s="27" t="str">
        <x:v>arXiv q-fin.TR Trading and Market Microstructure</x:v>
      </x:c>
      <x:c r="T172" s="27" t="str">
        <x:v>https://arxiv.org/list/q-fin.TR/recent</x:v>
      </x:c>
      <x:c r="U172" s="27" t="str"/>
    </x:row>
    <x:row r="173" ht="54" customHeight="1">
      <x:c r="A173" s="27" t="str">
        <x:v>TS172</x:v>
      </x:c>
      <x:c r="B173" s="27" t="str">
        <x:v>时间序列</x:v>
      </x:c>
      <x:c r="C173" s="27" t="str">
        <x:v>机器学习/深度序列模型</x:v>
      </x:c>
      <x:c r="D173" s="27" t="str">
        <x:v>新兴</x:v>
      </x:c>
      <x:c r="E173" s="27" t="str">
        <x:v>在线学习漂移适应</x:v>
      </x:c>
      <x:c r="F173" s="27" t="str">
        <x:v>online learning drift adaptation</x:v>
      </x:c>
      <x:c r="G173" s="27" t="str">
        <x:v>短线分布漂移需要增量更新</x:v>
      </x:c>
      <x:c r="H173" s="27" t="str">
        <x:v>股票/期货/加密/FX/期权</x:v>
      </x:c>
      <x:c r="I173" s="27" t="str">
        <x:v>5秒-5分钟</x:v>
      </x:c>
      <x:c r="J173" s="27" t="str">
        <x:v>5-60秒推理一次</x:v>
      </x:c>
      <x:c r="K173" s="27" t="str">
        <x:v>streaming features</x:v>
      </x:c>
      <x:c r="L173" s="27" t="str">
        <x:v>模型预测收益/方向概率扣除成本后为正时入场</x:v>
      </x:c>
      <x:c r="M173" s="27" t="str">
        <x:v>置信度下降、止损、超时、模型漂移报警退出</x:v>
      </x:c>
      <x:c r="N173" s="27" t="str">
        <x:v>sequence_len, threshold, calibration, retrain_freq</x:v>
      </x:c>
      <x:c r="O173" s="27" t="str">
        <x:v>高</x:v>
      </x:c>
      <x:c r="P173" s="27" t="str">
        <x:v>中-高</x:v>
      </x:c>
      <x:c r="Q173" s="27" t="str">
        <x:v>过拟合、标签泄露、数据延迟、模型漂移</x:v>
      </x:c>
      <x:c r="R173" s="27" t="str">
        <x:v>严格按时间切分，做purged CV和交易成本压力测试</x:v>
      </x:c>
      <x:c r="S173" s="27" t="str">
        <x:v>arXiv q-fin.TR Trading and Market Microstructure</x:v>
      </x:c>
      <x:c r="T173" s="27" t="str">
        <x:v>https://arxiv.org/list/q-fin.TR/recent</x:v>
      </x:c>
      <x:c r="U173" s="27" t="str"/>
    </x:row>
    <x:row r="174" ht="54" customHeight="1">
      <x:c r="A174" s="27" t="str">
        <x:v>TS173</x:v>
      </x:c>
      <x:c r="B174" s="27" t="str">
        <x:v>时间序列</x:v>
      </x:c>
      <x:c r="C174" s="27" t="str">
        <x:v>机器学习/深度序列模型</x:v>
      </x:c>
      <x:c r="D174" s="27" t="str">
        <x:v>新兴</x:v>
      </x:c>
      <x:c r="E174" s="27" t="str">
        <x:v>Autoencoder异常反转</x:v>
      </x:c>
      <x:c r="F174" s="27" t="str">
        <x:v>autoencoder anomaly reversal</x:v>
      </x:c>
      <x:c r="G174" s="27" t="str">
        <x:v>重构误差极高代表异常冲击，后续回归或风险关闭</x:v>
      </x:c>
      <x:c r="H174" s="27" t="str">
        <x:v>股票/期货/加密/FX/期权</x:v>
      </x:c>
      <x:c r="I174" s="27" t="str">
        <x:v>5秒-5分钟</x:v>
      </x:c>
      <x:c r="J174" s="27" t="str">
        <x:v>5-60秒推理一次</x:v>
      </x:c>
      <x:c r="K174" s="27" t="str">
        <x:v>features</x:v>
      </x:c>
      <x:c r="L174" s="27" t="str">
        <x:v>模型预测收益/方向概率扣除成本后为正时入场</x:v>
      </x:c>
      <x:c r="M174" s="27" t="str">
        <x:v>置信度下降、止损、超时、模型漂移报警退出</x:v>
      </x:c>
      <x:c r="N174" s="27" t="str">
        <x:v>sequence_len, threshold, calibration, retrain_freq</x:v>
      </x:c>
      <x:c r="O174" s="27" t="str">
        <x:v>高</x:v>
      </x:c>
      <x:c r="P174" s="27" t="str">
        <x:v>中-高</x:v>
      </x:c>
      <x:c r="Q174" s="27" t="str">
        <x:v>过拟合、标签泄露、数据延迟、模型漂移</x:v>
      </x:c>
      <x:c r="R174" s="27" t="str">
        <x:v>严格按时间切分，做purged CV和交易成本压力测试</x:v>
      </x:c>
      <x:c r="S174" s="27" t="str">
        <x:v>arXiv q-fin.TR Trading and Market Microstructure</x:v>
      </x:c>
      <x:c r="T174" s="27" t="str">
        <x:v>https://arxiv.org/list/q-fin.TR/recent</x:v>
      </x:c>
      <x:c r="U174" s="27" t="str"/>
    </x:row>
    <x:row r="175" ht="54" customHeight="1">
      <x:c r="A175" s="27" t="str">
        <x:v>TS174</x:v>
      </x:c>
      <x:c r="B175" s="27" t="str">
        <x:v>时间序列</x:v>
      </x:c>
      <x:c r="C175" s="27" t="str">
        <x:v>机器学习/深度序列模型</x:v>
      </x:c>
      <x:c r="D175" s="27" t="str">
        <x:v>新兴</x:v>
      </x:c>
      <x:c r="E175" s="27" t="str">
        <x:v>生成式LOB情景压力测试</x:v>
      </x:c>
      <x:c r="F175" s="27" t="str">
        <x:v>generative LOB scenario stress</x:v>
      </x:c>
      <x:c r="G175" s="27" t="str">
        <x:v>生成订单簿路径用于评估策略脆弱性</x:v>
      </x:c>
      <x:c r="H175" s="27" t="str">
        <x:v>股票/期货/加密/FX/期权</x:v>
      </x:c>
      <x:c r="I175" s="27" t="str">
        <x:v>5秒-5分钟</x:v>
      </x:c>
      <x:c r="J175" s="27" t="str">
        <x:v>5-60秒推理一次</x:v>
      </x:c>
      <x:c r="K175" s="27" t="str">
        <x:v>LOB messages</x:v>
      </x:c>
      <x:c r="L175" s="27" t="str">
        <x:v>模型预测收益/方向概率扣除成本后为正时入场</x:v>
      </x:c>
      <x:c r="M175" s="27" t="str">
        <x:v>置信度下降、止损、超时、模型漂移报警退出</x:v>
      </x:c>
      <x:c r="N175" s="27" t="str">
        <x:v>sequence_len, threshold, calibration, retrain_freq</x:v>
      </x:c>
      <x:c r="O175" s="27" t="str">
        <x:v>高</x:v>
      </x:c>
      <x:c r="P175" s="27" t="str">
        <x:v>中-高</x:v>
      </x:c>
      <x:c r="Q175" s="27" t="str">
        <x:v>过拟合、标签泄露、数据延迟、模型漂移</x:v>
      </x:c>
      <x:c r="R175" s="27" t="str">
        <x:v>严格按时间切分，做purged CV和交易成本压力测试</x:v>
      </x:c>
      <x:c r="S175" s="27" t="str">
        <x:v>LOB-Bench generative AI benchmark for LOB data</x:v>
      </x:c>
      <x:c r="T175" s="27" t="str">
        <x:v>https://arxiv.org/abs/2502.09172</x:v>
      </x:c>
      <x:c r="U175" s="27" t="str"/>
    </x:row>
    <x:row r="176" ht="54" customHeight="1">
      <x:c r="A176" s="27" t="str">
        <x:v>TS175</x:v>
      </x:c>
      <x:c r="B176" s="27" t="str">
        <x:v>时间序列</x:v>
      </x:c>
      <x:c r="C176" s="27" t="str">
        <x:v>机器学习/深度序列模型</x:v>
      </x:c>
      <x:c r="D176" s="27" t="str">
        <x:v>新兴</x:v>
      </x:c>
      <x:c r="E176" s="27" t="str">
        <x:v>强化学习入场/退出</x:v>
      </x:c>
      <x:c r="F176" s="27" t="str">
        <x:v>RL entry-exit timing</x:v>
      </x:c>
      <x:c r="G176" s="27" t="str">
        <x:v>智能体学习持仓时间和退出边界</x:v>
      </x:c>
      <x:c r="H176" s="27" t="str">
        <x:v>股票/期货/加密/FX/期权</x:v>
      </x:c>
      <x:c r="I176" s="27" t="str">
        <x:v>5秒-5分钟</x:v>
      </x:c>
      <x:c r="J176" s="27" t="str">
        <x:v>5-60秒推理一次</x:v>
      </x:c>
      <x:c r="K176" s="27" t="str">
        <x:v>state, rewards</x:v>
      </x:c>
      <x:c r="L176" s="27" t="str">
        <x:v>模型预测收益/方向概率扣除成本后为正时入场</x:v>
      </x:c>
      <x:c r="M176" s="27" t="str">
        <x:v>置信度下降、止损、超时、模型漂移报警退出</x:v>
      </x:c>
      <x:c r="N176" s="27" t="str">
        <x:v>sequence_len, threshold, calibration, retrain_freq</x:v>
      </x:c>
      <x:c r="O176" s="27" t="str">
        <x:v>高</x:v>
      </x:c>
      <x:c r="P176" s="27" t="str">
        <x:v>中-高</x:v>
      </x:c>
      <x:c r="Q176" s="27" t="str">
        <x:v>过拟合、标签泄露、数据延迟、模型漂移</x:v>
      </x:c>
      <x:c r="R176" s="27" t="str">
        <x:v>严格按时间切分，做purged CV和交易成本压力测试</x:v>
      </x:c>
      <x:c r="S176" s="27" t="str">
        <x:v>arXiv q-fin.TR Trading and Market Microstructure</x:v>
      </x:c>
      <x:c r="T176" s="27" t="str">
        <x:v>https://arxiv.org/list/q-fin.TR/recent</x:v>
      </x:c>
      <x:c r="U176" s="27" t="str"/>
    </x:row>
    <x:row r="177" ht="54" customHeight="1">
      <x:c r="A177" s="27" t="str">
        <x:v>TS176</x:v>
      </x:c>
      <x:c r="B177" s="27" t="str">
        <x:v>时间序列</x:v>
      </x:c>
      <x:c r="C177" s="27" t="str">
        <x:v>机器学习/深度序列模型</x:v>
      </x:c>
      <x:c r="D177" s="27" t="str">
        <x:v>新兴</x:v>
      </x:c>
      <x:c r="E177" s="27" t="str">
        <x:v>序列模型预测清算瀑布</x:v>
      </x:c>
      <x:c r="F177" s="27" t="str">
        <x:v>sequence liquidation cascade forecast</x:v>
      </x:c>
      <x:c r="G177" s="27" t="str">
        <x:v>OI、价格和盘口组合可预测清算级联</x:v>
      </x:c>
      <x:c r="H177" s="27" t="str">
        <x:v>股票/期货/加密/FX/期权</x:v>
      </x:c>
      <x:c r="I177" s="27" t="str">
        <x:v>5秒-5分钟</x:v>
      </x:c>
      <x:c r="J177" s="27" t="str">
        <x:v>5-60秒推理一次</x:v>
      </x:c>
      <x:c r="K177" s="27" t="str">
        <x:v>crypto OI, liquidation</x:v>
      </x:c>
      <x:c r="L177" s="27" t="str">
        <x:v>模型预测收益/方向概率扣除成本后为正时入场</x:v>
      </x:c>
      <x:c r="M177" s="27" t="str">
        <x:v>置信度下降、止损、超时、模型漂移报警退出</x:v>
      </x:c>
      <x:c r="N177" s="27" t="str">
        <x:v>sequence_len, threshold, calibration, retrain_freq</x:v>
      </x:c>
      <x:c r="O177" s="27" t="str">
        <x:v>高</x:v>
      </x:c>
      <x:c r="P177" s="27" t="str">
        <x:v>中-高</x:v>
      </x:c>
      <x:c r="Q177" s="27" t="str">
        <x:v>过拟合、标签泄露、数据延迟、模型漂移</x:v>
      </x:c>
      <x:c r="R177" s="27" t="str">
        <x:v>严格按时间切分，做purged CV和交易成本压力测试</x:v>
      </x:c>
      <x:c r="S177" s="27" t="str">
        <x:v>arXiv q-fin.TR Trading and Market Microstructure</x:v>
      </x:c>
      <x:c r="T177" s="27" t="str">
        <x:v>https://arxiv.org/list/q-fin.TR/recent</x:v>
      </x:c>
      <x:c r="U177" s="27" t="str"/>
    </x:row>
    <x:row r="178" ht="54" customHeight="1">
      <x:c r="A178" s="27" t="str">
        <x:v>TS177</x:v>
      </x:c>
      <x:c r="B178" s="27" t="str">
        <x:v>时间序列</x:v>
      </x:c>
      <x:c r="C178" s="27" t="str">
        <x:v>机器学习/深度序列模型</x:v>
      </x:c>
      <x:c r="D178" s="27" t="str">
        <x:v>新兴</x:v>
      </x:c>
      <x:c r="E178" s="27" t="str">
        <x:v>小样本迁移学习</x:v>
      </x:c>
      <x:c r="F178" s="27" t="str">
        <x:v>few-shot transfer across symbols</x:v>
      </x:c>
      <x:c r="G178" s="27" t="str">
        <x:v>跨品种通用特征迁移到新标的</x:v>
      </x:c>
      <x:c r="H178" s="27" t="str">
        <x:v>股票/期货/加密/FX/期权</x:v>
      </x:c>
      <x:c r="I178" s="27" t="str">
        <x:v>5秒-5分钟</x:v>
      </x:c>
      <x:c r="J178" s="27" t="str">
        <x:v>5-60秒推理一次</x:v>
      </x:c>
      <x:c r="K178" s="27" t="str">
        <x:v>multi-symbol data</x:v>
      </x:c>
      <x:c r="L178" s="27" t="str">
        <x:v>模型预测收益/方向概率扣除成本后为正时入场</x:v>
      </x:c>
      <x:c r="M178" s="27" t="str">
        <x:v>置信度下降、止损、超时、模型漂移报警退出</x:v>
      </x:c>
      <x:c r="N178" s="27" t="str">
        <x:v>sequence_len, threshold, calibration, retrain_freq</x:v>
      </x:c>
      <x:c r="O178" s="27" t="str">
        <x:v>高</x:v>
      </x:c>
      <x:c r="P178" s="27" t="str">
        <x:v>中-高</x:v>
      </x:c>
      <x:c r="Q178" s="27" t="str">
        <x:v>过拟合、标签泄露、数据延迟、模型漂移</x:v>
      </x:c>
      <x:c r="R178" s="27" t="str">
        <x:v>严格按时间切分，做purged CV和交易成本压力测试</x:v>
      </x:c>
      <x:c r="S178" s="27" t="str">
        <x:v>arXiv q-fin.TR Trading and Market Microstructure</x:v>
      </x:c>
      <x:c r="T178" s="27" t="str">
        <x:v>https://arxiv.org/list/q-fin.TR/recent</x:v>
      </x:c>
      <x:c r="U178" s="27" t="str"/>
    </x:row>
    <x:row r="179" ht="54" customHeight="1">
      <x:c r="A179" s="27" t="str">
        <x:v>TS178</x:v>
      </x:c>
      <x:c r="B179" s="27" t="str">
        <x:v>时间序列</x:v>
      </x:c>
      <x:c r="C179" s="27" t="str">
        <x:v>机器学习/深度序列模型</x:v>
      </x:c>
      <x:c r="D179" s="27" t="str">
        <x:v>新兴</x:v>
      </x:c>
      <x:c r="E179" s="27" t="str">
        <x:v>模型置信度交易门</x:v>
      </x:c>
      <x:c r="F179" s="27" t="str">
        <x:v>confidence-gated sequence alpha</x:v>
      </x:c>
      <x:c r="G179" s="27" t="str">
        <x:v>只交易高置信度且成本后期望为正的预测</x:v>
      </x:c>
      <x:c r="H179" s="27" t="str">
        <x:v>股票/期货/加密/FX/期权</x:v>
      </x:c>
      <x:c r="I179" s="27" t="str">
        <x:v>5秒-5分钟</x:v>
      </x:c>
      <x:c r="J179" s="27" t="str">
        <x:v>5-60秒推理一次</x:v>
      </x:c>
      <x:c r="K179" s="27" t="str">
        <x:v>probabilities</x:v>
      </x:c>
      <x:c r="L179" s="27" t="str">
        <x:v>模型预测收益/方向概率扣除成本后为正时入场</x:v>
      </x:c>
      <x:c r="M179" s="27" t="str">
        <x:v>置信度下降、止损、超时、模型漂移报警退出</x:v>
      </x:c>
      <x:c r="N179" s="27" t="str">
        <x:v>sequence_len, threshold, calibration, retrain_freq</x:v>
      </x:c>
      <x:c r="O179" s="27" t="str">
        <x:v>高</x:v>
      </x:c>
      <x:c r="P179" s="27" t="str">
        <x:v>中-高</x:v>
      </x:c>
      <x:c r="Q179" s="27" t="str">
        <x:v>过拟合、标签泄露、数据延迟、模型漂移</x:v>
      </x:c>
      <x:c r="R179" s="27" t="str">
        <x:v>严格按时间切分，做purged CV和交易成本压力测试</x:v>
      </x:c>
      <x:c r="S179" s="27" t="str">
        <x:v>arXiv q-fin.TR Trading and Market Microstructure</x:v>
      </x:c>
      <x:c r="T179" s="27" t="str">
        <x:v>https://arxiv.org/list/q-fin.TR/recent</x:v>
      </x:c>
      <x:c r="U179" s="27" t="str"/>
    </x:row>
    <x:row r="180" ht="54" customHeight="1">
      <x:c r="A180" s="27" t="str">
        <x:v>TS179</x:v>
      </x:c>
      <x:c r="B180" s="27" t="str">
        <x:v>时间序列</x:v>
      </x:c>
      <x:c r="C180" s="27" t="str">
        <x:v>机器学习/深度序列模型</x:v>
      </x:c>
      <x:c r="D180" s="27" t="str">
        <x:v>新兴</x:v>
      </x:c>
      <x:c r="E180" s="27" t="str">
        <x:v>可解释attention盘口层级</x:v>
      </x:c>
      <x:c r="F180" s="27" t="str">
        <x:v>interpretable attention LOB levels</x:v>
      </x:c>
      <x:c r="G180" s="27" t="str">
        <x:v>attention权重揭示关键盘口层级并过滤噪声</x:v>
      </x:c>
      <x:c r="H180" s="27" t="str">
        <x:v>股票/期货/加密/FX/期权</x:v>
      </x:c>
      <x:c r="I180" s="27" t="str">
        <x:v>5秒-5分钟</x:v>
      </x:c>
      <x:c r="J180" s="27" t="str">
        <x:v>5-60秒推理一次</x:v>
      </x:c>
      <x:c r="K180" s="27" t="str">
        <x:v>LOB</x:v>
      </x:c>
      <x:c r="L180" s="27" t="str">
        <x:v>模型预测收益/方向概率扣除成本后为正时入场</x:v>
      </x:c>
      <x:c r="M180" s="27" t="str">
        <x:v>置信度下降、止损、超时、模型漂移报警退出</x:v>
      </x:c>
      <x:c r="N180" s="27" t="str">
        <x:v>sequence_len, threshold, calibration, retrain_freq</x:v>
      </x:c>
      <x:c r="O180" s="27" t="str">
        <x:v>高</x:v>
      </x:c>
      <x:c r="P180" s="27" t="str">
        <x:v>中-高</x:v>
      </x:c>
      <x:c r="Q180" s="27" t="str">
        <x:v>过拟合、标签泄露、数据延迟、模型漂移</x:v>
      </x:c>
      <x:c r="R180" s="27" t="str">
        <x:v>严格按时间切分，做purged CV和交易成本压力测试</x:v>
      </x:c>
      <x:c r="S180" s="27" t="str">
        <x:v>DeepLOB: Deep CNNs for Limit Order Books</x:v>
      </x:c>
      <x:c r="T180" s="27" t="str">
        <x:v>https://arxiv.org/abs/1808.03668</x:v>
      </x:c>
      <x:c r="U180" s="27" t="str"/>
    </x:row>
    <x:row r="181" ht="54" customHeight="1">
      <x:c r="A181" s="27" t="str">
        <x:v>TS180</x:v>
      </x:c>
      <x:c r="B181" s="27" t="str">
        <x:v>时间序列</x:v>
      </x:c>
      <x:c r="C181" s="27" t="str">
        <x:v>机器学习/深度序列模型</x:v>
      </x:c>
      <x:c r="D181" s="27" t="str">
        <x:v>新兴</x:v>
      </x:c>
      <x:c r="E181" s="27" t="str">
        <x:v>多模态新闻+价格序列</x:v>
      </x:c>
      <x:c r="F181" s="27" t="str">
        <x:v>multimodal news-price sequence</x:v>
      </x:c>
      <x:c r="G181" s="27" t="str">
        <x:v>新闻文本和价格序列结合提升事件窗预测</x:v>
      </x:c>
      <x:c r="H181" s="27" t="str">
        <x:v>股票/期货/加密/FX/期权</x:v>
      </x:c>
      <x:c r="I181" s="27" t="str">
        <x:v>5秒-5分钟</x:v>
      </x:c>
      <x:c r="J181" s="27" t="str">
        <x:v>5-60秒推理一次</x:v>
      </x:c>
      <x:c r="K181" s="27" t="str">
        <x:v>news, price</x:v>
      </x:c>
      <x:c r="L181" s="27" t="str">
        <x:v>模型预测收益/方向概率扣除成本后为正时入场</x:v>
      </x:c>
      <x:c r="M181" s="27" t="str">
        <x:v>置信度下降、止损、超时、模型漂移报警退出</x:v>
      </x:c>
      <x:c r="N181" s="27" t="str">
        <x:v>sequence_len, threshold, calibration, retrain_freq</x:v>
      </x:c>
      <x:c r="O181" s="27" t="str">
        <x:v>高</x:v>
      </x:c>
      <x:c r="P181" s="27" t="str">
        <x:v>中-高</x:v>
      </x:c>
      <x:c r="Q181" s="27" t="str">
        <x:v>过拟合、标签泄露、数据延迟、模型漂移</x:v>
      </x:c>
      <x:c r="R181" s="27" t="str">
        <x:v>严格按时间切分，做purged CV和交易成本压力测试</x:v>
      </x:c>
      <x:c r="S181" s="27" t="str">
        <x:v>arXiv q-fin.TR Trading and Market Microstructure</x:v>
      </x:c>
      <x:c r="T181" s="27" t="str">
        <x:v>https://arxiv.org/list/q-fin.TR/recent</x:v>
      </x:c>
      <x:c r="U181" s="27" t="str"/>
    </x:row>
    <x:row r="182" ht="54" customHeight="1">
      <x:c r="A182" s="27" t="str">
        <x:v>GT181</x:v>
      </x:c>
      <x:c r="B182" s="27" t="str">
        <x:v>博弈论/市场微结构</x:v>
      </x:c>
      <x:c r="C182" s="27" t="str">
        <x:v>做市/库存控制博弈</x:v>
      </x:c>
      <x:c r="D182" s="27" t="str">
        <x:v>经典</x:v>
      </x:c>
      <x:c r="E182" s="27" t="str">
        <x:v>Avellaneda-Stoikov基础做市</x:v>
      </x:c>
      <x:c r="F182" s="27" t="str">
        <x:v>Avellaneda-Stoikov base market making</x:v>
      </x:c>
      <x:c r="G182" s="27" t="str">
        <x:v>在库存风险和成交强度之间求最优报价</x:v>
      </x:c>
      <x:c r="H182" s="27" t="str">
        <x:v>股票/期货/FX/加密/期权做市</x:v>
      </x:c>
      <x:c r="I182" s="27" t="str">
        <x:v>5秒-5分钟</x:v>
      </x:c>
      <x:c r="J182" s="27" t="str">
        <x:v>1-10秒报价/撤单评估</x:v>
      </x:c>
      <x:c r="K182" s="27" t="str">
        <x:v>Level 1/2报价、成交、库存、费用、延迟</x:v>
      </x:c>
      <x:c r="L182" s="27" t="str">
        <x:v>根据保留价格、库存、成交概率和毒性估计同时挂bid/ask</x:v>
      </x:c>
      <x:c r="M182" s="27" t="str">
        <x:v>库存超限、毒性升高、波动跳升、队列劣化时撤单/减仓</x:v>
      </x:c>
      <x:c r="N182" s="27" t="str">
        <x:v>gamma, k, sigma, inventory_limit, quote_skew</x:v>
      </x:c>
      <x:c r="O182" s="27" t="str">
        <x:v>高</x:v>
      </x:c>
      <x:c r="P182" s="27" t="str">
        <x:v>高</x:v>
      </x:c>
      <x:c r="Q182" s="27" t="str">
        <x:v>逆选择、排队落后、延迟、库存尾部风险</x:v>
      </x:c>
      <x:c r="R182" s="27" t="str">
        <x:v>用订单簿回放或交互仿真验证fill与排队</x:v>
      </x:c>
      <x:c r="S182" s="27" t="str">
        <x:v>Avellaneda-Stoikov limit order book market making</x:v>
      </x:c>
      <x:c r="T182" s="27" t="str">
        <x:v>https://people.orie.cornell.edu/sfs33/LimitOrderBook.pdf</x:v>
      </x:c>
      <x:c r="U182" s="27" t="str"/>
    </x:row>
    <x:row r="183" ht="54" customHeight="1">
      <x:c r="A183" s="27" t="str">
        <x:v>GT182</x:v>
      </x:c>
      <x:c r="B183" s="27" t="str">
        <x:v>博弈论/市场微结构</x:v>
      </x:c>
      <x:c r="C183" s="27" t="str">
        <x:v>做市/库存控制博弈</x:v>
      </x:c>
      <x:c r="D183" s="27" t="str">
        <x:v>经典</x:v>
      </x:c>
      <x:c r="E183" s="27" t="str">
        <x:v>库存偏斜报价</x:v>
      </x:c>
      <x:c r="F183" s="27" t="str">
        <x:v>inventory-skewed quoting</x:v>
      </x:c>
      <x:c r="G183" s="27" t="str">
        <x:v>库存越偏，报价越引导成交向减仓方向</x:v>
      </x:c>
      <x:c r="H183" s="27" t="str">
        <x:v>股票/期货/FX/加密/期权做市</x:v>
      </x:c>
      <x:c r="I183" s="27" t="str">
        <x:v>5秒-5分钟</x:v>
      </x:c>
      <x:c r="J183" s="27" t="str">
        <x:v>1-10秒报价/撤单评估</x:v>
      </x:c>
      <x:c r="K183" s="27" t="str">
        <x:v>Level 1/2报价、成交、库存、费用、延迟</x:v>
      </x:c>
      <x:c r="L183" s="27" t="str">
        <x:v>根据保留价格、库存、成交概率和毒性估计同时挂bid/ask</x:v>
      </x:c>
      <x:c r="M183" s="27" t="str">
        <x:v>库存超限、毒性升高、波动跳升、队列劣化时撤单/减仓</x:v>
      </x:c>
      <x:c r="N183" s="27" t="str">
        <x:v>gamma, k, sigma, inventory_limit, quote_skew</x:v>
      </x:c>
      <x:c r="O183" s="27" t="str">
        <x:v>高</x:v>
      </x:c>
      <x:c r="P183" s="27" t="str">
        <x:v>高</x:v>
      </x:c>
      <x:c r="Q183" s="27" t="str">
        <x:v>逆选择、排队落后、延迟、库存尾部风险</x:v>
      </x:c>
      <x:c r="R183" s="27" t="str">
        <x:v>用订单簿回放或交互仿真验证fill与排队</x:v>
      </x:c>
      <x:c r="S183" s="27" t="str">
        <x:v>Avellaneda-Stoikov limit order book market making</x:v>
      </x:c>
      <x:c r="T183" s="27" t="str">
        <x:v>https://people.orie.cornell.edu/sfs33/LimitOrderBook.pdf</x:v>
      </x:c>
      <x:c r="U183" s="27" t="str"/>
    </x:row>
    <x:row r="184" ht="54" customHeight="1">
      <x:c r="A184" s="27" t="str">
        <x:v>GT183</x:v>
      </x:c>
      <x:c r="B184" s="27" t="str">
        <x:v>博弈论/市场微结构</x:v>
      </x:c>
      <x:c r="C184" s="27" t="str">
        <x:v>做市/库存控制博弈</x:v>
      </x:c>
      <x:c r="D184" s="27" t="str">
        <x:v>经典</x:v>
      </x:c>
      <x:c r="E184" s="27" t="str">
        <x:v>波动率自适应价差</x:v>
      </x:c>
      <x:c r="F184" s="27" t="str">
        <x:v>vol-adaptive spread quoting</x:v>
      </x:c>
      <x:c r="G184" s="27" t="str">
        <x:v>波动率越高，最优价差越宽</x:v>
      </x:c>
      <x:c r="H184" s="27" t="str">
        <x:v>股票/期货/FX/加密/期权做市</x:v>
      </x:c>
      <x:c r="I184" s="27" t="str">
        <x:v>5秒-5分钟</x:v>
      </x:c>
      <x:c r="J184" s="27" t="str">
        <x:v>1-10秒报价/撤单评估</x:v>
      </x:c>
      <x:c r="K184" s="27" t="str">
        <x:v>Level 1/2报价、成交、库存、费用、延迟</x:v>
      </x:c>
      <x:c r="L184" s="27" t="str">
        <x:v>根据保留价格、库存、成交概率和毒性估计同时挂bid/ask</x:v>
      </x:c>
      <x:c r="M184" s="27" t="str">
        <x:v>库存超限、毒性升高、波动跳升、队列劣化时撤单/减仓</x:v>
      </x:c>
      <x:c r="N184" s="27" t="str">
        <x:v>gamma, k, sigma, inventory_limit, quote_skew</x:v>
      </x:c>
      <x:c r="O184" s="27" t="str">
        <x:v>高</x:v>
      </x:c>
      <x:c r="P184" s="27" t="str">
        <x:v>高</x:v>
      </x:c>
      <x:c r="Q184" s="27" t="str">
        <x:v>逆选择、排队落后、延迟、库存尾部风险</x:v>
      </x:c>
      <x:c r="R184" s="27" t="str">
        <x:v>用订单簿回放或交互仿真验证fill与排队</x:v>
      </x:c>
      <x:c r="S184" s="27" t="str">
        <x:v>Avellaneda-Stoikov limit order book market making</x:v>
      </x:c>
      <x:c r="T184" s="27" t="str">
        <x:v>https://people.orie.cornell.edu/sfs33/LimitOrderBook.pdf</x:v>
      </x:c>
      <x:c r="U184" s="27" t="str"/>
    </x:row>
    <x:row r="185" ht="54" customHeight="1">
      <x:c r="A185" s="27" t="str">
        <x:v>GT184</x:v>
      </x:c>
      <x:c r="B185" s="27" t="str">
        <x:v>博弈论/市场微结构</x:v>
      </x:c>
      <x:c r="C185" s="27" t="str">
        <x:v>做市/库存控制博弈</x:v>
      </x:c>
      <x:c r="D185" s="27" t="str">
        <x:v>经典</x:v>
      </x:c>
      <x:c r="E185" s="27" t="str">
        <x:v>成交强度Poisson校准</x:v>
      </x:c>
      <x:c r="F185" s="27" t="str">
        <x:v>Poisson intensity calibrated MM</x:v>
      </x:c>
      <x:c r="G185" s="27" t="str">
        <x:v>成交到达率与离中间价距离有关</x:v>
      </x:c>
      <x:c r="H185" s="27" t="str">
        <x:v>股票/期货/FX/加密/期权做市</x:v>
      </x:c>
      <x:c r="I185" s="27" t="str">
        <x:v>5秒-5分钟</x:v>
      </x:c>
      <x:c r="J185" s="27" t="str">
        <x:v>1-10秒报价/撤单评估</x:v>
      </x:c>
      <x:c r="K185" s="27" t="str">
        <x:v>Level 1/2报价、成交、库存、费用、延迟</x:v>
      </x:c>
      <x:c r="L185" s="27" t="str">
        <x:v>根据保留价格、库存、成交概率和毒性估计同时挂bid/ask</x:v>
      </x:c>
      <x:c r="M185" s="27" t="str">
        <x:v>库存超限、毒性升高、波动跳升、队列劣化时撤单/减仓</x:v>
      </x:c>
      <x:c r="N185" s="27" t="str">
        <x:v>gamma, k, sigma, inventory_limit, quote_skew</x:v>
      </x:c>
      <x:c r="O185" s="27" t="str">
        <x:v>高</x:v>
      </x:c>
      <x:c r="P185" s="27" t="str">
        <x:v>高</x:v>
      </x:c>
      <x:c r="Q185" s="27" t="str">
        <x:v>逆选择、排队落后、延迟、库存尾部风险</x:v>
      </x:c>
      <x:c r="R185" s="27" t="str">
        <x:v>用订单簿回放或交互仿真验证fill与排队</x:v>
      </x:c>
      <x:c r="S185" s="27" t="str">
        <x:v>Avellaneda-Stoikov limit order book market making</x:v>
      </x:c>
      <x:c r="T185" s="27" t="str">
        <x:v>https://people.orie.cornell.edu/sfs33/LimitOrderBook.pdf</x:v>
      </x:c>
      <x:c r="U185" s="27" t="str"/>
    </x:row>
    <x:row r="186" ht="54" customHeight="1">
      <x:c r="A186" s="27" t="str">
        <x:v>GT185</x:v>
      </x:c>
      <x:c r="B186" s="27" t="str">
        <x:v>博弈论/市场微结构</x:v>
      </x:c>
      <x:c r="C186" s="27" t="str">
        <x:v>做市/库存控制博弈</x:v>
      </x:c>
      <x:c r="D186" s="27" t="str">
        <x:v>经典</x:v>
      </x:c>
      <x:c r="E186" s="27" t="str">
        <x:v>队列位置感知做市</x:v>
      </x:c>
      <x:c r="F186" s="27" t="str">
        <x:v>queue-position-aware MM</x:v>
      </x:c>
      <x:c r="G186" s="27" t="str">
        <x:v>排队位置决定成交概率和逆选择风险</x:v>
      </x:c>
      <x:c r="H186" s="27" t="str">
        <x:v>股票/期货/FX/加密/期权做市</x:v>
      </x:c>
      <x:c r="I186" s="27" t="str">
        <x:v>5秒-5分钟</x:v>
      </x:c>
      <x:c r="J186" s="27" t="str">
        <x:v>1-10秒报价/撤单评估</x:v>
      </x:c>
      <x:c r="K186" s="27" t="str">
        <x:v>Level 1/2报价、成交、库存、费用、延迟</x:v>
      </x:c>
      <x:c r="L186" s="27" t="str">
        <x:v>根据保留价格、库存、成交概率和毒性估计同时挂bid/ask</x:v>
      </x:c>
      <x:c r="M186" s="27" t="str">
        <x:v>库存超限、毒性升高、波动跳升、队列劣化时撤单/减仓</x:v>
      </x:c>
      <x:c r="N186" s="27" t="str">
        <x:v>gamma, k, sigma, inventory_limit, quote_skew</x:v>
      </x:c>
      <x:c r="O186" s="27" t="str">
        <x:v>高</x:v>
      </x:c>
      <x:c r="P186" s="27" t="str">
        <x:v>高</x:v>
      </x:c>
      <x:c r="Q186" s="27" t="str">
        <x:v>逆选择、排队落后、延迟、库存尾部风险</x:v>
      </x:c>
      <x:c r="R186" s="27" t="str">
        <x:v>用订单簿回放或交互仿真验证fill与排队</x:v>
      </x:c>
      <x:c r="S186" s="27" t="str">
        <x:v>LOBSTER limit order book data</x:v>
      </x:c>
      <x:c r="T186" s="27" t="str">
        <x:v>https://data.lobsterdata.com/index.php</x:v>
      </x:c>
      <x:c r="U186" s="27" t="str"/>
    </x:row>
    <x:row r="187" ht="54" customHeight="1">
      <x:c r="A187" s="27" t="str">
        <x:v>GT186</x:v>
      </x:c>
      <x:c r="B187" s="27" t="str">
        <x:v>博弈论/市场微结构</x:v>
      </x:c>
      <x:c r="C187" s="27" t="str">
        <x:v>做市/库存控制博弈</x:v>
      </x:c>
      <x:c r="D187" s="27" t="str">
        <x:v>经典</x:v>
      </x:c>
      <x:c r="E187" s="27" t="str">
        <x:v>毒性订单流过滤做市</x:v>
      </x:c>
      <x:c r="F187" s="27" t="str">
        <x:v>toxic-flow filtered MM</x:v>
      </x:c>
      <x:c r="G187" s="27" t="str">
        <x:v>检测信息型订单流后撤单或加宽价差</x:v>
      </x:c>
      <x:c r="H187" s="27" t="str">
        <x:v>股票/期货/FX/加密/期权做市</x:v>
      </x:c>
      <x:c r="I187" s="27" t="str">
        <x:v>5秒-5分钟</x:v>
      </x:c>
      <x:c r="J187" s="27" t="str">
        <x:v>1-10秒报价/撤单评估</x:v>
      </x:c>
      <x:c r="K187" s="27" t="str">
        <x:v>Level 1/2报价、成交、库存、费用、延迟</x:v>
      </x:c>
      <x:c r="L187" s="27" t="str">
        <x:v>根据保留价格、库存、成交概率和毒性估计同时挂bid/ask</x:v>
      </x:c>
      <x:c r="M187" s="27" t="str">
        <x:v>库存超限、毒性升高、波动跳升、队列劣化时撤单/减仓</x:v>
      </x:c>
      <x:c r="N187" s="27" t="str">
        <x:v>gamma, k, sigma, inventory_limit, quote_skew</x:v>
      </x:c>
      <x:c r="O187" s="27" t="str">
        <x:v>高</x:v>
      </x:c>
      <x:c r="P187" s="27" t="str">
        <x:v>高</x:v>
      </x:c>
      <x:c r="Q187" s="27" t="str">
        <x:v>逆选择、排队落后、延迟、库存尾部风险</x:v>
      </x:c>
      <x:c r="R187" s="27" t="str">
        <x:v>用订单簿回放或交互仿真验证fill与排队</x:v>
      </x:c>
      <x:c r="S187" s="27" t="str">
        <x:v>Glosten-Milgrom adverse selection spread model</x:v>
      </x:c>
      <x:c r="T187" s="27" t="str">
        <x:v>https://www.sciencedirect.com/science/article/pii/0304405X85900443</x:v>
      </x:c>
      <x:c r="U187" s="27" t="str"/>
    </x:row>
    <x:row r="188" ht="54" customHeight="1">
      <x:c r="A188" s="27" t="str">
        <x:v>GT187</x:v>
      </x:c>
      <x:c r="B188" s="27" t="str">
        <x:v>博弈论/市场微结构</x:v>
      </x:c>
      <x:c r="C188" s="27" t="str">
        <x:v>做市/库存控制博弈</x:v>
      </x:c>
      <x:c r="D188" s="27" t="str">
        <x:v>经典</x:v>
      </x:c>
      <x:c r="E188" s="27" t="str">
        <x:v>盘口不平衡报价偏斜</x:v>
      </x:c>
      <x:c r="F188" s="27" t="str">
        <x:v>order-imbalance skew MM</x:v>
      </x:c>
      <x:c r="G188" s="27" t="str">
        <x:v>买卖盘不平衡影响短线mid移动概率</x:v>
      </x:c>
      <x:c r="H188" s="27" t="str">
        <x:v>股票/期货/FX/加密/期权做市</x:v>
      </x:c>
      <x:c r="I188" s="27" t="str">
        <x:v>5秒-5分钟</x:v>
      </x:c>
      <x:c r="J188" s="27" t="str">
        <x:v>1-10秒报价/撤单评估</x:v>
      </x:c>
      <x:c r="K188" s="27" t="str">
        <x:v>Level 1/2报价、成交、库存、费用、延迟</x:v>
      </x:c>
      <x:c r="L188" s="27" t="str">
        <x:v>根据保留价格、库存、成交概率和毒性估计同时挂bid/ask</x:v>
      </x:c>
      <x:c r="M188" s="27" t="str">
        <x:v>库存超限、毒性升高、波动跳升、队列劣化时撤单/减仓</x:v>
      </x:c>
      <x:c r="N188" s="27" t="str">
        <x:v>gamma, k, sigma, inventory_limit, quote_skew</x:v>
      </x:c>
      <x:c r="O188" s="27" t="str">
        <x:v>高</x:v>
      </x:c>
      <x:c r="P188" s="27" t="str">
        <x:v>高</x:v>
      </x:c>
      <x:c r="Q188" s="27" t="str">
        <x:v>逆选择、排队落后、延迟、库存尾部风险</x:v>
      </x:c>
      <x:c r="R188" s="27" t="str">
        <x:v>用订单簿回放或交互仿真验证fill与排队</x:v>
      </x:c>
      <x:c r="S188" s="27" t="str">
        <x:v>LOBSTER limit order book data</x:v>
      </x:c>
      <x:c r="T188" s="27" t="str">
        <x:v>https://data.lobsterdata.com/index.php</x:v>
      </x:c>
      <x:c r="U188" s="27" t="str"/>
    </x:row>
    <x:row r="189" ht="54" customHeight="1">
      <x:c r="A189" s="27" t="str">
        <x:v>GT188</x:v>
      </x:c>
      <x:c r="B189" s="27" t="str">
        <x:v>博弈论/市场微结构</x:v>
      </x:c>
      <x:c r="C189" s="27" t="str">
        <x:v>做市/库存控制博弈</x:v>
      </x:c>
      <x:c r="D189" s="27" t="str">
        <x:v>经典</x:v>
      </x:c>
      <x:c r="E189" s="27" t="str">
        <x:v>多档位阶梯做市</x:v>
      </x:c>
      <x:c r="F189" s="27" t="str">
        <x:v>multi-level ladder quoting</x:v>
      </x:c>
      <x:c r="G189" s="27" t="str">
        <x:v>多价位挂单平衡成交概率与库存风险</x:v>
      </x:c>
      <x:c r="H189" s="27" t="str">
        <x:v>股票/期货/FX/加密/期权做市</x:v>
      </x:c>
      <x:c r="I189" s="27" t="str">
        <x:v>5秒-5分钟</x:v>
      </x:c>
      <x:c r="J189" s="27" t="str">
        <x:v>1-10秒报价/撤单评估</x:v>
      </x:c>
      <x:c r="K189" s="27" t="str">
        <x:v>Level 1/2报价、成交、库存、费用、延迟</x:v>
      </x:c>
      <x:c r="L189" s="27" t="str">
        <x:v>根据保留价格、库存、成交概率和毒性估计同时挂bid/ask</x:v>
      </x:c>
      <x:c r="M189" s="27" t="str">
        <x:v>库存超限、毒性升高、波动跳升、队列劣化时撤单/减仓</x:v>
      </x:c>
      <x:c r="N189" s="27" t="str">
        <x:v>gamma, k, sigma, inventory_limit, quote_skew</x:v>
      </x:c>
      <x:c r="O189" s="27" t="str">
        <x:v>高</x:v>
      </x:c>
      <x:c r="P189" s="27" t="str">
        <x:v>高</x:v>
      </x:c>
      <x:c r="Q189" s="27" t="str">
        <x:v>逆选择、排队落后、延迟、库存尾部风险</x:v>
      </x:c>
      <x:c r="R189" s="27" t="str">
        <x:v>用订单簿回放或交互仿真验证fill与排队</x:v>
      </x:c>
      <x:c r="S189" s="27" t="str">
        <x:v>Avellaneda-Stoikov limit order book market making</x:v>
      </x:c>
      <x:c r="T189" s="27" t="str">
        <x:v>https://people.orie.cornell.edu/sfs33/LimitOrderBook.pdf</x:v>
      </x:c>
      <x:c r="U189" s="27" t="str"/>
    </x:row>
    <x:row r="190" ht="54" customHeight="1">
      <x:c r="A190" s="27" t="str">
        <x:v>GT189</x:v>
      </x:c>
      <x:c r="B190" s="27" t="str">
        <x:v>博弈论/市场微结构</x:v>
      </x:c>
      <x:c r="C190" s="27" t="str">
        <x:v>做市/库存控制博弈</x:v>
      </x:c>
      <x:c r="D190" s="27" t="str">
        <x:v>经典</x:v>
      </x:c>
      <x:c r="E190" s="27" t="str">
        <x:v>跨交易所库存做市</x:v>
      </x:c>
      <x:c r="F190" s="27" t="str">
        <x:v>cross-venue inventory MM</x:v>
      </x:c>
      <x:c r="G190" s="27" t="str">
        <x:v>不同场所库存和价差共同决定报价</x:v>
      </x:c>
      <x:c r="H190" s="27" t="str">
        <x:v>股票/期货/FX/加密/期权做市</x:v>
      </x:c>
      <x:c r="I190" s="27" t="str">
        <x:v>5秒-5分钟</x:v>
      </x:c>
      <x:c r="J190" s="27" t="str">
        <x:v>1-10秒报价/撤单评估</x:v>
      </x:c>
      <x:c r="K190" s="27" t="str">
        <x:v>Level 1/2报价、成交、库存、费用、延迟</x:v>
      </x:c>
      <x:c r="L190" s="27" t="str">
        <x:v>根据保留价格、库存、成交概率和毒性估计同时挂bid/ask</x:v>
      </x:c>
      <x:c r="M190" s="27" t="str">
        <x:v>库存超限、毒性升高、波动跳升、队列劣化时撤单/减仓</x:v>
      </x:c>
      <x:c r="N190" s="27" t="str">
        <x:v>gamma, k, sigma, inventory_limit, quote_skew</x:v>
      </x:c>
      <x:c r="O190" s="27" t="str">
        <x:v>高</x:v>
      </x:c>
      <x:c r="P190" s="27" t="str">
        <x:v>高</x:v>
      </x:c>
      <x:c r="Q190" s="27" t="str">
        <x:v>逆选择、排队落后、延迟、库存尾部风险</x:v>
      </x:c>
      <x:c r="R190" s="27" t="str">
        <x:v>用订单簿回放或交互仿真验证fill与排队</x:v>
      </x:c>
      <x:c r="S190" s="27" t="str">
        <x:v>Hummingbot open-source market making framework</x:v>
      </x:c>
      <x:c r="T190" s="27" t="str">
        <x:v>https://hummingbot.org/docs/</x:v>
      </x:c>
      <x:c r="U190" s="27" t="str"/>
    </x:row>
    <x:row r="191" ht="54" customHeight="1">
      <x:c r="A191" s="27" t="str">
        <x:v>GT190</x:v>
      </x:c>
      <x:c r="B191" s="27" t="str">
        <x:v>博弈论/市场微结构</x:v>
      </x:c>
      <x:c r="C191" s="27" t="str">
        <x:v>做市/库存控制博弈</x:v>
      </x:c>
      <x:c r="D191" s="27" t="str">
        <x:v>经典</x:v>
      </x:c>
      <x:c r="E191" s="27" t="str">
        <x:v>永续合约资金费率做市</x:v>
      </x:c>
      <x:c r="F191" s="27" t="str">
        <x:v>perp funding-aware MM</x:v>
      </x:c>
      <x:c r="G191" s="27" t="str">
        <x:v>资金费率影响持仓成本与报价偏斜</x:v>
      </x:c>
      <x:c r="H191" s="27" t="str">
        <x:v>股票/期货/FX/加密/期权做市</x:v>
      </x:c>
      <x:c r="I191" s="27" t="str">
        <x:v>5秒-5分钟</x:v>
      </x:c>
      <x:c r="J191" s="27" t="str">
        <x:v>1-10秒报价/撤单评估</x:v>
      </x:c>
      <x:c r="K191" s="27" t="str">
        <x:v>Level 1/2报价、成交、库存、费用、延迟</x:v>
      </x:c>
      <x:c r="L191" s="27" t="str">
        <x:v>根据保留价格、库存、成交概率和毒性估计同时挂bid/ask</x:v>
      </x:c>
      <x:c r="M191" s="27" t="str">
        <x:v>库存超限、毒性升高、波动跳升、队列劣化时撤单/减仓</x:v>
      </x:c>
      <x:c r="N191" s="27" t="str">
        <x:v>gamma, k, sigma, inventory_limit, quote_skew</x:v>
      </x:c>
      <x:c r="O191" s="27" t="str">
        <x:v>高</x:v>
      </x:c>
      <x:c r="P191" s="27" t="str">
        <x:v>高</x:v>
      </x:c>
      <x:c r="Q191" s="27" t="str">
        <x:v>逆选择、排队落后、延迟、库存尾部风险</x:v>
      </x:c>
      <x:c r="R191" s="27" t="str">
        <x:v>用订单簿回放或交互仿真验证fill与排队</x:v>
      </x:c>
      <x:c r="S191" s="27" t="str">
        <x:v>Hummingbot open-source market making framework</x:v>
      </x:c>
      <x:c r="T191" s="27" t="str">
        <x:v>https://hummingbot.org/docs/</x:v>
      </x:c>
      <x:c r="U191" s="27" t="str"/>
    </x:row>
    <x:row r="192" ht="54" customHeight="1">
      <x:c r="A192" s="27" t="str">
        <x:v>GT191</x:v>
      </x:c>
      <x:c r="B192" s="27" t="str">
        <x:v>博弈论/市场微结构</x:v>
      </x:c>
      <x:c r="C192" s="27" t="str">
        <x:v>做市/库存控制博弈</x:v>
      </x:c>
      <x:c r="D192" s="27" t="str">
        <x:v>经典</x:v>
      </x:c>
      <x:c r="E192" s="27" t="str">
        <x:v>AMM-CLOB混合做市</x:v>
      </x:c>
      <x:c r="F192" s="27" t="str">
        <x:v>AMM-CLOB hybrid MM</x:v>
      </x:c>
      <x:c r="G192" s="27" t="str">
        <x:v>链上AMM价格影响CLOB报价边界</x:v>
      </x:c>
      <x:c r="H192" s="27" t="str">
        <x:v>股票/期货/FX/加密/期权做市</x:v>
      </x:c>
      <x:c r="I192" s="27" t="str">
        <x:v>5秒-5分钟</x:v>
      </x:c>
      <x:c r="J192" s="27" t="str">
        <x:v>1-10秒报价/撤单评估</x:v>
      </x:c>
      <x:c r="K192" s="27" t="str">
        <x:v>Level 1/2报价、成交、库存、费用、延迟</x:v>
      </x:c>
      <x:c r="L192" s="27" t="str">
        <x:v>根据保留价格、库存、成交概率和毒性估计同时挂bid/ask</x:v>
      </x:c>
      <x:c r="M192" s="27" t="str">
        <x:v>库存超限、毒性升高、波动跳升、队列劣化时撤单/减仓</x:v>
      </x:c>
      <x:c r="N192" s="27" t="str">
        <x:v>gamma, k, sigma, inventory_limit, quote_skew</x:v>
      </x:c>
      <x:c r="O192" s="27" t="str">
        <x:v>高</x:v>
      </x:c>
      <x:c r="P192" s="27" t="str">
        <x:v>高</x:v>
      </x:c>
      <x:c r="Q192" s="27" t="str">
        <x:v>逆选择、排队落后、延迟、库存尾部风险</x:v>
      </x:c>
      <x:c r="R192" s="27" t="str">
        <x:v>用订单簿回放或交互仿真验证fill与排队</x:v>
      </x:c>
      <x:c r="S192" s="27" t="str">
        <x:v>Hummingbot open-source market making framework</x:v>
      </x:c>
      <x:c r="T192" s="27" t="str">
        <x:v>https://hummingbot.org/docs/</x:v>
      </x:c>
      <x:c r="U192" s="27" t="str"/>
    </x:row>
    <x:row r="193" ht="54" customHeight="1">
      <x:c r="A193" s="27" t="str">
        <x:v>GT192</x:v>
      </x:c>
      <x:c r="B193" s="27" t="str">
        <x:v>博弈论/市场微结构</x:v>
      </x:c>
      <x:c r="C193" s="27" t="str">
        <x:v>做市/库存控制博弈</x:v>
      </x:c>
      <x:c r="D193" s="27" t="str">
        <x:v>经典</x:v>
      </x:c>
      <x:c r="E193" s="27" t="str">
        <x:v>tick size边界做市</x:v>
      </x:c>
      <x:c r="F193" s="27" t="str">
        <x:v>tick-size boundary MM</x:v>
      </x:c>
      <x:c r="G193" s="27" t="str">
        <x:v>离散tick造成队列博弈和价差跳变</x:v>
      </x:c>
      <x:c r="H193" s="27" t="str">
        <x:v>股票/期货/FX/加密/期权做市</x:v>
      </x:c>
      <x:c r="I193" s="27" t="str">
        <x:v>5秒-5分钟</x:v>
      </x:c>
      <x:c r="J193" s="27" t="str">
        <x:v>1-10秒报价/撤单评估</x:v>
      </x:c>
      <x:c r="K193" s="27" t="str">
        <x:v>Level 1/2报价、成交、库存、费用、延迟</x:v>
      </x:c>
      <x:c r="L193" s="27" t="str">
        <x:v>根据保留价格、库存、成交概率和毒性估计同时挂bid/ask</x:v>
      </x:c>
      <x:c r="M193" s="27" t="str">
        <x:v>库存超限、毒性升高、波动跳升、队列劣化时撤单/减仓</x:v>
      </x:c>
      <x:c r="N193" s="27" t="str">
        <x:v>gamma, k, sigma, inventory_limit, quote_skew</x:v>
      </x:c>
      <x:c r="O193" s="27" t="str">
        <x:v>高</x:v>
      </x:c>
      <x:c r="P193" s="27" t="str">
        <x:v>高</x:v>
      </x:c>
      <x:c r="Q193" s="27" t="str">
        <x:v>逆选择、排队落后、延迟、库存尾部风险</x:v>
      </x:c>
      <x:c r="R193" s="27" t="str">
        <x:v>用订单簿回放或交互仿真验证fill与排队</x:v>
      </x:c>
      <x:c r="S193" s="27" t="str">
        <x:v>LOBSTER limit order book data</x:v>
      </x:c>
      <x:c r="T193" s="27" t="str">
        <x:v>https://data.lobsterdata.com/index.php</x:v>
      </x:c>
      <x:c r="U193" s="27" t="str"/>
    </x:row>
    <x:row r="194" ht="54" customHeight="1">
      <x:c r="A194" s="27" t="str">
        <x:v>GT193</x:v>
      </x:c>
      <x:c r="B194" s="27" t="str">
        <x:v>博弈论/市场微结构</x:v>
      </x:c>
      <x:c r="C194" s="27" t="str">
        <x:v>做市/库存控制博弈</x:v>
      </x:c>
      <x:c r="D194" s="27" t="str">
        <x:v>经典</x:v>
      </x:c>
      <x:c r="E194" s="27" t="str">
        <x:v>逆选择成本动态价差</x:v>
      </x:c>
      <x:c r="F194" s="27" t="str">
        <x:v>adverse-selection spread control</x:v>
      </x:c>
      <x:c r="G194" s="27" t="str">
        <x:v>价差补偿信息不对称和库存风险</x:v>
      </x:c>
      <x:c r="H194" s="27" t="str">
        <x:v>股票/期货/FX/加密/期权做市</x:v>
      </x:c>
      <x:c r="I194" s="27" t="str">
        <x:v>5秒-5分钟</x:v>
      </x:c>
      <x:c r="J194" s="27" t="str">
        <x:v>1-10秒报价/撤单评估</x:v>
      </x:c>
      <x:c r="K194" s="27" t="str">
        <x:v>Level 1/2报价、成交、库存、费用、延迟</x:v>
      </x:c>
      <x:c r="L194" s="27" t="str">
        <x:v>根据保留价格、库存、成交概率和毒性估计同时挂bid/ask</x:v>
      </x:c>
      <x:c r="M194" s="27" t="str">
        <x:v>库存超限、毒性升高、波动跳升、队列劣化时撤单/减仓</x:v>
      </x:c>
      <x:c r="N194" s="27" t="str">
        <x:v>gamma, k, sigma, inventory_limit, quote_skew</x:v>
      </x:c>
      <x:c r="O194" s="27" t="str">
        <x:v>高</x:v>
      </x:c>
      <x:c r="P194" s="27" t="str">
        <x:v>高</x:v>
      </x:c>
      <x:c r="Q194" s="27" t="str">
        <x:v>逆选择、排队落后、延迟、库存尾部风险</x:v>
      </x:c>
      <x:c r="R194" s="27" t="str">
        <x:v>用订单簿回放或交互仿真验证fill与排队</x:v>
      </x:c>
      <x:c r="S194" s="27" t="str">
        <x:v>Glosten-Milgrom adverse selection spread model</x:v>
      </x:c>
      <x:c r="T194" s="27" t="str">
        <x:v>https://www.sciencedirect.com/science/article/pii/0304405X85900443</x:v>
      </x:c>
      <x:c r="U194" s="27" t="str"/>
    </x:row>
    <x:row r="195" ht="54" customHeight="1">
      <x:c r="A195" s="27" t="str">
        <x:v>GT194</x:v>
      </x:c>
      <x:c r="B195" s="27" t="str">
        <x:v>博弈论/市场微结构</x:v>
      </x:c>
      <x:c r="C195" s="27" t="str">
        <x:v>做市/库存控制博弈</x:v>
      </x:c>
      <x:c r="D195" s="27" t="str">
        <x:v>经典</x:v>
      </x:c>
      <x:c r="E195" s="27" t="str">
        <x:v>最优撤单阈值</x:v>
      </x:c>
      <x:c r="F195" s="27" t="str">
        <x:v>optimal cancellation threshold</x:v>
      </x:c>
      <x:c r="G195" s="27" t="str">
        <x:v>当成交概率/毒性变化时，撤单优于继续排队</x:v>
      </x:c>
      <x:c r="H195" s="27" t="str">
        <x:v>股票/期货/FX/加密/期权做市</x:v>
      </x:c>
      <x:c r="I195" s="27" t="str">
        <x:v>5秒-5分钟</x:v>
      </x:c>
      <x:c r="J195" s="27" t="str">
        <x:v>1-10秒报价/撤单评估</x:v>
      </x:c>
      <x:c r="K195" s="27" t="str">
        <x:v>Level 1/2报价、成交、库存、费用、延迟</x:v>
      </x:c>
      <x:c r="L195" s="27" t="str">
        <x:v>根据保留价格、库存、成交概率和毒性估计同时挂bid/ask</x:v>
      </x:c>
      <x:c r="M195" s="27" t="str">
        <x:v>库存超限、毒性升高、波动跳升、队列劣化时撤单/减仓</x:v>
      </x:c>
      <x:c r="N195" s="27" t="str">
        <x:v>gamma, k, sigma, inventory_limit, quote_skew</x:v>
      </x:c>
      <x:c r="O195" s="27" t="str">
        <x:v>高</x:v>
      </x:c>
      <x:c r="P195" s="27" t="str">
        <x:v>高</x:v>
      </x:c>
      <x:c r="Q195" s="27" t="str">
        <x:v>逆选择、排队落后、延迟、库存尾部风险</x:v>
      </x:c>
      <x:c r="R195" s="27" t="str">
        <x:v>用订单簿回放或交互仿真验证fill与排队</x:v>
      </x:c>
      <x:c r="S195" s="27" t="str">
        <x:v>arXiv q-fin.TR Trading and Market Microstructure</x:v>
      </x:c>
      <x:c r="T195" s="27" t="str">
        <x:v>https://arxiv.org/list/q-fin.TR/recent</x:v>
      </x:c>
      <x:c r="U195" s="27" t="str"/>
    </x:row>
    <x:row r="196" ht="54" customHeight="1">
      <x:c r="A196" s="27" t="str">
        <x:v>GT195</x:v>
      </x:c>
      <x:c r="B196" s="27" t="str">
        <x:v>博弈论/市场微结构</x:v>
      </x:c>
      <x:c r="C196" s="27" t="str">
        <x:v>做市/库存控制博弈</x:v>
      </x:c>
      <x:c r="D196" s="27" t="str">
        <x:v>经典</x:v>
      </x:c>
      <x:c r="E196" s="27" t="str">
        <x:v>做市商竞争价差压缩</x:v>
      </x:c>
      <x:c r="F196" s="27" t="str">
        <x:v>dealer competition spread compression</x:v>
      </x:c>
      <x:c r="G196" s="27" t="str">
        <x:v>竞争越强，报价越贴近保留价</x:v>
      </x:c>
      <x:c r="H196" s="27" t="str">
        <x:v>股票/期货/FX/加密/期权做市</x:v>
      </x:c>
      <x:c r="I196" s="27" t="str">
        <x:v>5秒-5分钟</x:v>
      </x:c>
      <x:c r="J196" s="27" t="str">
        <x:v>1-10秒报价/撤单评估</x:v>
      </x:c>
      <x:c r="K196" s="27" t="str">
        <x:v>Level 1/2报价、成交、库存、费用、延迟</x:v>
      </x:c>
      <x:c r="L196" s="27" t="str">
        <x:v>根据保留价格、库存、成交概率和毒性估计同时挂bid/ask</x:v>
      </x:c>
      <x:c r="M196" s="27" t="str">
        <x:v>库存超限、毒性升高、波动跳升、队列劣化时撤单/减仓</x:v>
      </x:c>
      <x:c r="N196" s="27" t="str">
        <x:v>gamma, k, sigma, inventory_limit, quote_skew</x:v>
      </x:c>
      <x:c r="O196" s="27" t="str">
        <x:v>高</x:v>
      </x:c>
      <x:c r="P196" s="27" t="str">
        <x:v>高</x:v>
      </x:c>
      <x:c r="Q196" s="27" t="str">
        <x:v>逆选择、排队落后、延迟、库存尾部风险</x:v>
      </x:c>
      <x:c r="R196" s="27" t="str">
        <x:v>用订单簿回放或交互仿真验证fill与排队</x:v>
      </x:c>
      <x:c r="S196" s="27" t="str">
        <x:v>arXiv q-fin.TR Trading and Market Microstructure</x:v>
      </x:c>
      <x:c r="T196" s="27" t="str">
        <x:v>https://arxiv.org/list/q-fin.TR/recent</x:v>
      </x:c>
      <x:c r="U196" s="27" t="str"/>
    </x:row>
    <x:row r="197" ht="54" customHeight="1">
      <x:c r="A197" s="27" t="str">
        <x:v>GT196</x:v>
      </x:c>
      <x:c r="B197" s="27" t="str">
        <x:v>博弈论/市场微结构</x:v>
      </x:c>
      <x:c r="C197" s="27" t="str">
        <x:v>做市/库存控制博弈</x:v>
      </x:c>
      <x:c r="D197" s="27" t="str">
        <x:v>经典</x:v>
      </x:c>
      <x:c r="E197" s="27" t="str">
        <x:v>库存上限惩罚报价</x:v>
      </x:c>
      <x:c r="F197" s="27" t="str">
        <x:v>inventory-cap penalty quoting</x:v>
      </x:c>
      <x:c r="G197" s="27" t="str">
        <x:v>临近库存上限时非线性加宽不利侧报价</x:v>
      </x:c>
      <x:c r="H197" s="27" t="str">
        <x:v>股票/期货/FX/加密/期权做市</x:v>
      </x:c>
      <x:c r="I197" s="27" t="str">
        <x:v>5秒-5分钟</x:v>
      </x:c>
      <x:c r="J197" s="27" t="str">
        <x:v>1-10秒报价/撤单评估</x:v>
      </x:c>
      <x:c r="K197" s="27" t="str">
        <x:v>Level 1/2报价、成交、库存、费用、延迟</x:v>
      </x:c>
      <x:c r="L197" s="27" t="str">
        <x:v>根据保留价格、库存、成交概率和毒性估计同时挂bid/ask</x:v>
      </x:c>
      <x:c r="M197" s="27" t="str">
        <x:v>库存超限、毒性升高、波动跳升、队列劣化时撤单/减仓</x:v>
      </x:c>
      <x:c r="N197" s="27" t="str">
        <x:v>gamma, k, sigma, inventory_limit, quote_skew</x:v>
      </x:c>
      <x:c r="O197" s="27" t="str">
        <x:v>高</x:v>
      </x:c>
      <x:c r="P197" s="27" t="str">
        <x:v>高</x:v>
      </x:c>
      <x:c r="Q197" s="27" t="str">
        <x:v>逆选择、排队落后、延迟、库存尾部风险</x:v>
      </x:c>
      <x:c r="R197" s="27" t="str">
        <x:v>用订单簿回放或交互仿真验证fill与排队</x:v>
      </x:c>
      <x:c r="S197" s="27" t="str">
        <x:v>Avellaneda-Stoikov limit order book market making</x:v>
      </x:c>
      <x:c r="T197" s="27" t="str">
        <x:v>https://people.orie.cornell.edu/sfs33/LimitOrderBook.pdf</x:v>
      </x:c>
      <x:c r="U197" s="27" t="str"/>
    </x:row>
    <x:row r="198" ht="54" customHeight="1">
      <x:c r="A198" s="27" t="str">
        <x:v>GT197</x:v>
      </x:c>
      <x:c r="B198" s="27" t="str">
        <x:v>博弈论/市场微结构</x:v>
      </x:c>
      <x:c r="C198" s="27" t="str">
        <x:v>做市/库存控制博弈</x:v>
      </x:c>
      <x:c r="D198" s="27" t="str">
        <x:v>经典</x:v>
      </x:c>
      <x:c r="E198" s="27" t="str">
        <x:v>风险预算做市</x:v>
      </x:c>
      <x:c r="F198" s="27" t="str">
        <x:v>risk-budgeted market making</x:v>
      </x:c>
      <x:c r="G198" s="27" t="str">
        <x:v>把库存VaR或PnL drawdown放入报价函数</x:v>
      </x:c>
      <x:c r="H198" s="27" t="str">
        <x:v>股票/期货/FX/加密/期权做市</x:v>
      </x:c>
      <x:c r="I198" s="27" t="str">
        <x:v>5秒-5分钟</x:v>
      </x:c>
      <x:c r="J198" s="27" t="str">
        <x:v>1-10秒报价/撤单评估</x:v>
      </x:c>
      <x:c r="K198" s="27" t="str">
        <x:v>Level 1/2报价、成交、库存、费用、延迟</x:v>
      </x:c>
      <x:c r="L198" s="27" t="str">
        <x:v>根据保留价格、库存、成交概率和毒性估计同时挂bid/ask</x:v>
      </x:c>
      <x:c r="M198" s="27" t="str">
        <x:v>库存超限、毒性升高、波动跳升、队列劣化时撤单/减仓</x:v>
      </x:c>
      <x:c r="N198" s="27" t="str">
        <x:v>gamma, k, sigma, inventory_limit, quote_skew</x:v>
      </x:c>
      <x:c r="O198" s="27" t="str">
        <x:v>高</x:v>
      </x:c>
      <x:c r="P198" s="27" t="str">
        <x:v>高</x:v>
      </x:c>
      <x:c r="Q198" s="27" t="str">
        <x:v>逆选择、排队落后、延迟、库存尾部风险</x:v>
      </x:c>
      <x:c r="R198" s="27" t="str">
        <x:v>用订单簿回放或交互仿真验证fill与排队</x:v>
      </x:c>
      <x:c r="S198" s="27" t="str">
        <x:v>Avellaneda-Stoikov limit order book market making</x:v>
      </x:c>
      <x:c r="T198" s="27" t="str">
        <x:v>https://people.orie.cornell.edu/sfs33/LimitOrderBook.pdf</x:v>
      </x:c>
      <x:c r="U198" s="27" t="str"/>
    </x:row>
    <x:row r="199" ht="54" customHeight="1">
      <x:c r="A199" s="27" t="str">
        <x:v>GT198</x:v>
      </x:c>
      <x:c r="B199" s="27" t="str">
        <x:v>博弈论/市场微结构</x:v>
      </x:c>
      <x:c r="C199" s="27" t="str">
        <x:v>做市/库存控制博弈</x:v>
      </x:c>
      <x:c r="D199" s="27" t="str">
        <x:v>经典</x:v>
      </x:c>
      <x:c r="E199" s="27" t="str">
        <x:v>动态最小价差门槛</x:v>
      </x:c>
      <x:c r="F199" s="27" t="str">
        <x:v>dynamic minimum-spread gate</x:v>
      </x:c>
      <x:c r="G199" s="27" t="str">
        <x:v>只有预期点差覆盖费用和逆选择才挂单</x:v>
      </x:c>
      <x:c r="H199" s="27" t="str">
        <x:v>股票/期货/FX/加密/期权做市</x:v>
      </x:c>
      <x:c r="I199" s="27" t="str">
        <x:v>5秒-5分钟</x:v>
      </x:c>
      <x:c r="J199" s="27" t="str">
        <x:v>1-10秒报价/撤单评估</x:v>
      </x:c>
      <x:c r="K199" s="27" t="str">
        <x:v>Level 1/2报价、成交、库存、费用、延迟</x:v>
      </x:c>
      <x:c r="L199" s="27" t="str">
        <x:v>根据保留价格、库存、成交概率和毒性估计同时挂bid/ask</x:v>
      </x:c>
      <x:c r="M199" s="27" t="str">
        <x:v>库存超限、毒性升高、波动跳升、队列劣化时撤单/减仓</x:v>
      </x:c>
      <x:c r="N199" s="27" t="str">
        <x:v>gamma, k, sigma, inventory_limit, quote_skew</x:v>
      </x:c>
      <x:c r="O199" s="27" t="str">
        <x:v>高</x:v>
      </x:c>
      <x:c r="P199" s="27" t="str">
        <x:v>高</x:v>
      </x:c>
      <x:c r="Q199" s="27" t="str">
        <x:v>逆选择、排队落后、延迟、库存尾部风险</x:v>
      </x:c>
      <x:c r="R199" s="27" t="str">
        <x:v>用订单簿回放或交互仿真验证fill与排队</x:v>
      </x:c>
      <x:c r="S199" s="27" t="str">
        <x:v>Glosten-Milgrom adverse selection spread model</x:v>
      </x:c>
      <x:c r="T199" s="27" t="str">
        <x:v>https://www.sciencedirect.com/science/article/pii/0304405X85900443</x:v>
      </x:c>
      <x:c r="U199" s="27" t="str"/>
    </x:row>
    <x:row r="200" ht="54" customHeight="1">
      <x:c r="A200" s="27" t="str">
        <x:v>GT199</x:v>
      </x:c>
      <x:c r="B200" s="27" t="str">
        <x:v>博弈论/市场微结构</x:v>
      </x:c>
      <x:c r="C200" s="27" t="str">
        <x:v>做市/库存控制博弈</x:v>
      </x:c>
      <x:c r="D200" s="27" t="str">
        <x:v>新兴</x:v>
      </x:c>
      <x:c r="E200" s="27" t="str">
        <x:v>成交概率学习做市</x:v>
      </x:c>
      <x:c r="F200" s="27" t="str">
        <x:v>fill-probability learned MM</x:v>
      </x:c>
      <x:c r="G200" s="27" t="str">
        <x:v>用历史队列和成交特征估计fill probability</x:v>
      </x:c>
      <x:c r="H200" s="27" t="str">
        <x:v>股票/期货/FX/加密/期权做市</x:v>
      </x:c>
      <x:c r="I200" s="27" t="str">
        <x:v>5秒-5分钟</x:v>
      </x:c>
      <x:c r="J200" s="27" t="str">
        <x:v>1-10秒报价/撤单评估</x:v>
      </x:c>
      <x:c r="K200" s="27" t="str">
        <x:v>Level 1/2报价、成交、库存、费用、延迟</x:v>
      </x:c>
      <x:c r="L200" s="27" t="str">
        <x:v>根据保留价格、库存、成交概率和毒性估计同时挂bid/ask</x:v>
      </x:c>
      <x:c r="M200" s="27" t="str">
        <x:v>库存超限、毒性升高、波动跳升、队列劣化时撤单/减仓</x:v>
      </x:c>
      <x:c r="N200" s="27" t="str">
        <x:v>gamma, k, sigma, inventory_limit, quote_skew</x:v>
      </x:c>
      <x:c r="O200" s="27" t="str">
        <x:v>高</x:v>
      </x:c>
      <x:c r="P200" s="27" t="str">
        <x:v>高</x:v>
      </x:c>
      <x:c r="Q200" s="27" t="str">
        <x:v>逆选择、排队落后、延迟、库存尾部风险</x:v>
      </x:c>
      <x:c r="R200" s="27" t="str">
        <x:v>用订单簿回放或交互仿真验证fill与排队</x:v>
      </x:c>
      <x:c r="S200" s="27" t="str">
        <x:v>LOBSTER limit order book data</x:v>
      </x:c>
      <x:c r="T200" s="27" t="str">
        <x:v>https://data.lobsterdata.com/index.php</x:v>
      </x:c>
      <x:c r="U200" s="27" t="str"/>
    </x:row>
    <x:row r="201" ht="54" customHeight="1">
      <x:c r="A201" s="27" t="str">
        <x:v>GT200</x:v>
      </x:c>
      <x:c r="B201" s="27" t="str">
        <x:v>博弈论/市场微结构</x:v>
      </x:c>
      <x:c r="C201" s="27" t="str">
        <x:v>做市/库存控制博弈</x:v>
      </x:c>
      <x:c r="D201" s="27" t="str">
        <x:v>新兴</x:v>
      </x:c>
      <x:c r="E201" s="27" t="str">
        <x:v>maker/taker费用博弈</x:v>
      </x:c>
      <x:c r="F201" s="27" t="str">
        <x:v>maker-taker fee game</x:v>
      </x:c>
      <x:c r="G201" s="27" t="str">
        <x:v>返佣和吃单费改变挂单/吃单最优选择</x:v>
      </x:c>
      <x:c r="H201" s="27" t="str">
        <x:v>股票/期货/FX/加密/期权做市</x:v>
      </x:c>
      <x:c r="I201" s="27" t="str">
        <x:v>5秒-5分钟</x:v>
      </x:c>
      <x:c r="J201" s="27" t="str">
        <x:v>1-10秒报价/撤单评估</x:v>
      </x:c>
      <x:c r="K201" s="27" t="str">
        <x:v>Level 1/2报价、成交、库存、费用、延迟</x:v>
      </x:c>
      <x:c r="L201" s="27" t="str">
        <x:v>根据保留价格、库存、成交概率和毒性估计同时挂bid/ask</x:v>
      </x:c>
      <x:c r="M201" s="27" t="str">
        <x:v>库存超限、毒性升高、波动跳升、队列劣化时撤单/减仓</x:v>
      </x:c>
      <x:c r="N201" s="27" t="str">
        <x:v>gamma, k, sigma, inventory_limit, quote_skew</x:v>
      </x:c>
      <x:c r="O201" s="27" t="str">
        <x:v>高</x:v>
      </x:c>
      <x:c r="P201" s="27" t="str">
        <x:v>高</x:v>
      </x:c>
      <x:c r="Q201" s="27" t="str">
        <x:v>逆选择、排队落后、延迟、库存尾部风险</x:v>
      </x:c>
      <x:c r="R201" s="27" t="str">
        <x:v>用订单簿回放或交互仿真验证fill与排队</x:v>
      </x:c>
      <x:c r="S201" s="27" t="str">
        <x:v>arXiv q-fin.TR Trading and Market Microstructure</x:v>
      </x:c>
      <x:c r="T201" s="27" t="str">
        <x:v>https://arxiv.org/list/q-fin.TR/recent</x:v>
      </x:c>
      <x:c r="U201" s="27" t="str"/>
    </x:row>
    <x:row r="202" ht="54" customHeight="1">
      <x:c r="A202" s="27" t="str">
        <x:v>GT201</x:v>
      </x:c>
      <x:c r="B202" s="27" t="str">
        <x:v>博弈论/市场微结构</x:v>
      </x:c>
      <x:c r="C202" s="27" t="str">
        <x:v>做市/库存控制博弈</x:v>
      </x:c>
      <x:c r="D202" s="27" t="str">
        <x:v>新兴</x:v>
      </x:c>
      <x:c r="E202" s="27" t="str">
        <x:v>RL库存控制做市</x:v>
      </x:c>
      <x:c r="F202" s="27" t="str">
        <x:v>RL inventory-control MM</x:v>
      </x:c>
      <x:c r="G202" s="27" t="str">
        <x:v>强化学习直接优化做市PnL与库存惩罚</x:v>
      </x:c>
      <x:c r="H202" s="27" t="str">
        <x:v>股票/期货/FX/加密/期权做市</x:v>
      </x:c>
      <x:c r="I202" s="27" t="str">
        <x:v>5秒-5分钟</x:v>
      </x:c>
      <x:c r="J202" s="27" t="str">
        <x:v>1-10秒报价/撤单评估</x:v>
      </x:c>
      <x:c r="K202" s="27" t="str">
        <x:v>Level 1/2报价、成交、库存、费用、延迟</x:v>
      </x:c>
      <x:c r="L202" s="27" t="str">
        <x:v>根据保留价格、库存、成交概率和毒性估计同时挂bid/ask</x:v>
      </x:c>
      <x:c r="M202" s="27" t="str">
        <x:v>库存超限、毒性升高、波动跳升、队列劣化时撤单/减仓</x:v>
      </x:c>
      <x:c r="N202" s="27" t="str">
        <x:v>gamma, k, sigma, inventory_limit, quote_skew</x:v>
      </x:c>
      <x:c r="O202" s="27" t="str">
        <x:v>高</x:v>
      </x:c>
      <x:c r="P202" s="27" t="str">
        <x:v>高</x:v>
      </x:c>
      <x:c r="Q202" s="27" t="str">
        <x:v>逆选择、排队落后、延迟、库存尾部风险</x:v>
      </x:c>
      <x:c r="R202" s="27" t="str">
        <x:v>用订单簿回放或交互仿真验证fill与排队</x:v>
      </x:c>
      <x:c r="S202" s="27" t="str">
        <x:v>Deep RL / market making papers on arXiv</x:v>
      </x:c>
      <x:c r="T202" s="27" t="str">
        <x:v>https://arxiv.org/abs/2207.09951</x:v>
      </x:c>
      <x:c r="U202" s="27" t="str"/>
    </x:row>
    <x:row r="203" ht="54" customHeight="1">
      <x:c r="A203" s="27" t="str">
        <x:v>GT202</x:v>
      </x:c>
      <x:c r="B203" s="27" t="str">
        <x:v>博弈论/市场微结构</x:v>
      </x:c>
      <x:c r="C203" s="27" t="str">
        <x:v>做市/库存控制博弈</x:v>
      </x:c>
      <x:c r="D203" s="27" t="str">
        <x:v>新兴</x:v>
      </x:c>
      <x:c r="E203" s="27" t="str">
        <x:v>注意力LOB做市</x:v>
      </x:c>
      <x:c r="F203" s="27" t="str">
        <x:v>attention-LOB market making</x:v>
      </x:c>
      <x:c r="G203" s="27" t="str">
        <x:v>深度特征用于动态调整bid/ask</x:v>
      </x:c>
      <x:c r="H203" s="27" t="str">
        <x:v>股票/期货/FX/加密/期权做市</x:v>
      </x:c>
      <x:c r="I203" s="27" t="str">
        <x:v>5秒-5分钟</x:v>
      </x:c>
      <x:c r="J203" s="27" t="str">
        <x:v>1-10秒报价/撤单评估</x:v>
      </x:c>
      <x:c r="K203" s="27" t="str">
        <x:v>Level 1/2报价、成交、库存、费用、延迟</x:v>
      </x:c>
      <x:c r="L203" s="27" t="str">
        <x:v>根据保留价格、库存、成交概率和毒性估计同时挂bid/ask</x:v>
      </x:c>
      <x:c r="M203" s="27" t="str">
        <x:v>库存超限、毒性升高、波动跳升、队列劣化时撤单/减仓</x:v>
      </x:c>
      <x:c r="N203" s="27" t="str">
        <x:v>gamma, k, sigma, inventory_limit, quote_skew</x:v>
      </x:c>
      <x:c r="O203" s="27" t="str">
        <x:v>高</x:v>
      </x:c>
      <x:c r="P203" s="27" t="str">
        <x:v>高</x:v>
      </x:c>
      <x:c r="Q203" s="27" t="str">
        <x:v>逆选择、排队落后、延迟、库存尾部风险</x:v>
      </x:c>
      <x:c r="R203" s="27" t="str">
        <x:v>用订单簿回放或交互仿真验证fill与排队</x:v>
      </x:c>
      <x:c r="S203" s="27" t="str">
        <x:v>Deep RL / market making papers on arXiv</x:v>
      </x:c>
      <x:c r="T203" s="27" t="str">
        <x:v>https://arxiv.org/abs/2207.09951</x:v>
      </x:c>
      <x:c r="U203" s="27" t="str"/>
    </x:row>
    <x:row r="204" ht="54" customHeight="1">
      <x:c r="A204" s="27" t="str">
        <x:v>GT203</x:v>
      </x:c>
      <x:c r="B204" s="27" t="str">
        <x:v>博弈论/市场微结构</x:v>
      </x:c>
      <x:c r="C204" s="27" t="str">
        <x:v>做市/库存控制博弈</x:v>
      </x:c>
      <x:c r="D204" s="27" t="str">
        <x:v>新兴</x:v>
      </x:c>
      <x:c r="E204" s="27" t="str">
        <x:v>多智能体做市竞争</x:v>
      </x:c>
      <x:c r="F204" s="27" t="str">
        <x:v>multi-agent competitive MM</x:v>
      </x:c>
      <x:c r="G204" s="27" t="str">
        <x:v>多个做市商策略相互影响成交和点差</x:v>
      </x:c>
      <x:c r="H204" s="27" t="str">
        <x:v>股票/期货/FX/加密/期权做市</x:v>
      </x:c>
      <x:c r="I204" s="27" t="str">
        <x:v>5秒-5分钟</x:v>
      </x:c>
      <x:c r="J204" s="27" t="str">
        <x:v>1-10秒报价/撤单评估</x:v>
      </x:c>
      <x:c r="K204" s="27" t="str">
        <x:v>Level 1/2报价、成交、库存、费用、延迟</x:v>
      </x:c>
      <x:c r="L204" s="27" t="str">
        <x:v>根据保留价格、库存、成交概率和毒性估计同时挂bid/ask</x:v>
      </x:c>
      <x:c r="M204" s="27" t="str">
        <x:v>库存超限、毒性升高、波动跳升、队列劣化时撤单/减仓</x:v>
      </x:c>
      <x:c r="N204" s="27" t="str">
        <x:v>gamma, k, sigma, inventory_limit, quote_skew</x:v>
      </x:c>
      <x:c r="O204" s="27" t="str">
        <x:v>高</x:v>
      </x:c>
      <x:c r="P204" s="27" t="str">
        <x:v>高</x:v>
      </x:c>
      <x:c r="Q204" s="27" t="str">
        <x:v>逆选择、排队落后、延迟、库存尾部风险</x:v>
      </x:c>
      <x:c r="R204" s="27" t="str">
        <x:v>用订单簿回放或交互仿真验证fill与排队</x:v>
      </x:c>
      <x:c r="S204" s="27" t="str">
        <x:v>arXiv q-fin.TR Trading and Market Microstructure</x:v>
      </x:c>
      <x:c r="T204" s="27" t="str">
        <x:v>https://arxiv.org/list/q-fin.TR/recent</x:v>
      </x:c>
      <x:c r="U204" s="27" t="str"/>
    </x:row>
    <x:row r="205" ht="54" customHeight="1">
      <x:c r="A205" s="27" t="str">
        <x:v>GT204</x:v>
      </x:c>
      <x:c r="B205" s="27" t="str">
        <x:v>博弈论/市场微结构</x:v>
      </x:c>
      <x:c r="C205" s="27" t="str">
        <x:v>做市/库存控制博弈</x:v>
      </x:c>
      <x:c r="D205" s="27" t="str">
        <x:v>新兴</x:v>
      </x:c>
      <x:c r="E205" s="27" t="str">
        <x:v>非平稳LOB随机控制</x:v>
      </x:c>
      <x:c r="F205" s="27" t="str">
        <x:v>non-stationary LOB stochastic-control MM</x:v>
      </x:c>
      <x:c r="G205" s="27" t="str">
        <x:v>在非平稳点差/成交强度下自适应控制</x:v>
      </x:c>
      <x:c r="H205" s="27" t="str">
        <x:v>股票/期货/FX/加密/期权做市</x:v>
      </x:c>
      <x:c r="I205" s="27" t="str">
        <x:v>5秒-5分钟</x:v>
      </x:c>
      <x:c r="J205" s="27" t="str">
        <x:v>1-10秒报价/撤单评估</x:v>
      </x:c>
      <x:c r="K205" s="27" t="str">
        <x:v>Level 1/2报价、成交、库存、费用、延迟</x:v>
      </x:c>
      <x:c r="L205" s="27" t="str">
        <x:v>根据保留价格、库存、成交概率和毒性估计同时挂bid/ask</x:v>
      </x:c>
      <x:c r="M205" s="27" t="str">
        <x:v>库存超限、毒性升高、波动跳升、队列劣化时撤单/减仓</x:v>
      </x:c>
      <x:c r="N205" s="27" t="str">
        <x:v>gamma, k, sigma, inventory_limit, quote_skew</x:v>
      </x:c>
      <x:c r="O205" s="27" t="str">
        <x:v>高</x:v>
      </x:c>
      <x:c r="P205" s="27" t="str">
        <x:v>高</x:v>
      </x:c>
      <x:c r="Q205" s="27" t="str">
        <x:v>逆选择、排队落后、延迟、库存尾部风险</x:v>
      </x:c>
      <x:c r="R205" s="27" t="str">
        <x:v>用订单簿回放或交互仿真验证fill与排队</x:v>
      </x:c>
      <x:c r="S205" s="27" t="str">
        <x:v>Deep RL / market making papers on arXiv</x:v>
      </x:c>
      <x:c r="T205" s="27" t="str">
        <x:v>https://arxiv.org/abs/2207.09951</x:v>
      </x:c>
      <x:c r="U205" s="27" t="str"/>
    </x:row>
    <x:row r="206" ht="54" customHeight="1">
      <x:c r="A206" s="27" t="str">
        <x:v>GT205</x:v>
      </x:c>
      <x:c r="B206" s="27" t="str">
        <x:v>博弈论/市场微结构</x:v>
      </x:c>
      <x:c r="C206" s="27" t="str">
        <x:v>做市/库存控制博弈</x:v>
      </x:c>
      <x:c r="D206" s="27" t="str">
        <x:v>新兴</x:v>
      </x:c>
      <x:c r="E206" s="27" t="str">
        <x:v>订单簿仿真预训练做市</x:v>
      </x:c>
      <x:c r="F206" s="27" t="str">
        <x:v>simulator-pretrained MM</x:v>
      </x:c>
      <x:c r="G206" s="27" t="str">
        <x:v>在Hawkes/生成式LOB仿真器中预训练再实盘微调</x:v>
      </x:c>
      <x:c r="H206" s="27" t="str">
        <x:v>股票/期货/FX/加密/期权做市</x:v>
      </x:c>
      <x:c r="I206" s="27" t="str">
        <x:v>5秒-5分钟</x:v>
      </x:c>
      <x:c r="J206" s="27" t="str">
        <x:v>1-10秒报价/撤单评估</x:v>
      </x:c>
      <x:c r="K206" s="27" t="str">
        <x:v>Level 1/2报价、成交、库存、费用、延迟</x:v>
      </x:c>
      <x:c r="L206" s="27" t="str">
        <x:v>根据保留价格、库存、成交概率和毒性估计同时挂bid/ask</x:v>
      </x:c>
      <x:c r="M206" s="27" t="str">
        <x:v>库存超限、毒性升高、波动跳升、队列劣化时撤单/减仓</x:v>
      </x:c>
      <x:c r="N206" s="27" t="str">
        <x:v>gamma, k, sigma, inventory_limit, quote_skew</x:v>
      </x:c>
      <x:c r="O206" s="27" t="str">
        <x:v>高</x:v>
      </x:c>
      <x:c r="P206" s="27" t="str">
        <x:v>高</x:v>
      </x:c>
      <x:c r="Q206" s="27" t="str">
        <x:v>逆选择、排队落后、延迟、库存尾部风险</x:v>
      </x:c>
      <x:c r="R206" s="27" t="str">
        <x:v>用订单簿回放或交互仿真验证fill与排队</x:v>
      </x:c>
      <x:c r="S206" s="27" t="str">
        <x:v>Hawkes-driven LOB simulation</x:v>
      </x:c>
      <x:c r="T206" s="27" t="str">
        <x:v>https://arxiv.org/abs/2510.08085</x:v>
      </x:c>
      <x:c r="U206" s="27" t="str"/>
    </x:row>
    <x:row r="207" ht="54" customHeight="1">
      <x:c r="A207" s="27" t="str">
        <x:v>GT206</x:v>
      </x:c>
      <x:c r="B207" s="27" t="str">
        <x:v>博弈论/市场微结构</x:v>
      </x:c>
      <x:c r="C207" s="27" t="str">
        <x:v>最优执行/市场冲击博弈</x:v>
      </x:c>
      <x:c r="D207" s="27" t="str">
        <x:v>经典</x:v>
      </x:c>
      <x:c r="E207" s="27" t="str">
        <x:v>Almgren-Chriss短窗执行</x:v>
      </x:c>
      <x:c r="F207" s="27" t="str">
        <x:v>Almgren-Chriss intraday execution</x:v>
      </x:c>
      <x:c r="G207" s="27" t="str">
        <x:v>在市场冲击和价格风险之间优化交易轨迹</x:v>
      </x:c>
      <x:c r="H207" s="27" t="str">
        <x:v>股票/ETF/期货/FX/债券/加密/期权</x:v>
      </x:c>
      <x:c r="I207" s="27" t="str">
        <x:v>30秒-5分钟</x:v>
      </x:c>
      <x:c r="J207" s="27" t="str">
        <x:v>1-30秒切片/路由</x:v>
      </x:c>
      <x:c r="K207" s="27" t="str">
        <x:v>成交量曲线、深度、冲击模型、费用、延迟</x:v>
      </x:c>
      <x:c r="L207" s="27" t="str">
        <x:v>目标订单按流动性和风险预算分片执行</x:v>
      </x:c>
      <x:c r="M207" s="27" t="str">
        <x:v>达到目标数量、冲击超限、价格偏离或截止时间退出</x:v>
      </x:c>
      <x:c r="N207" s="27" t="str">
        <x:v>risk_aversion, impact_coef, participation, slice_size</x:v>
      </x:c>
      <x:c r="O207" s="27" t="str">
        <x:v>高</x:v>
      </x:c>
      <x:c r="P207" s="27" t="str">
        <x:v>中-高</x:v>
      </x:c>
      <x:c r="Q207" s="27" t="str">
        <x:v>被识别、冲击低估、成交不足、市场反向</x:v>
      </x:c>
      <x:c r="R207" s="27" t="str">
        <x:v>用可成交队列回放评估arrival price和implementation shortfall</x:v>
      </x:c>
      <x:c r="S207" s="27" t="str">
        <x:v>Almgren-Chriss optimal execution</x:v>
      </x:c>
      <x:c r="T207" s="27" t="str">
        <x:v>https://www.risk.net/journal-risk/2161150/optimal-execution-portfolio-transactions</x:v>
      </x:c>
      <x:c r="U207" s="27" t="str"/>
    </x:row>
    <x:row r="208" ht="54" customHeight="1">
      <x:c r="A208" s="27" t="str">
        <x:v>GT207</x:v>
      </x:c>
      <x:c r="B208" s="27" t="str">
        <x:v>博弈论/市场微结构</x:v>
      </x:c>
      <x:c r="C208" s="27" t="str">
        <x:v>最优执行/市场冲击博弈</x:v>
      </x:c>
      <x:c r="D208" s="27" t="str">
        <x:v>经典</x:v>
      </x:c>
      <x:c r="E208" s="27" t="str">
        <x:v>TWAP防冲击切片</x:v>
      </x:c>
      <x:c r="F208" s="27" t="str">
        <x:v>TWAP sliced execution</x:v>
      </x:c>
      <x:c r="G208" s="27" t="str">
        <x:v>均匀切分减少一次性冲击与暴露</x:v>
      </x:c>
      <x:c r="H208" s="27" t="str">
        <x:v>股票/ETF/期货/FX/债券/加密/期权</x:v>
      </x:c>
      <x:c r="I208" s="27" t="str">
        <x:v>30秒-5分钟</x:v>
      </x:c>
      <x:c r="J208" s="27" t="str">
        <x:v>1-30秒切片/路由</x:v>
      </x:c>
      <x:c r="K208" s="27" t="str">
        <x:v>成交量曲线、深度、冲击模型、费用、延迟</x:v>
      </x:c>
      <x:c r="L208" s="27" t="str">
        <x:v>目标订单按流动性和风险预算分片执行</x:v>
      </x:c>
      <x:c r="M208" s="27" t="str">
        <x:v>达到目标数量、冲击超限、价格偏离或截止时间退出</x:v>
      </x:c>
      <x:c r="N208" s="27" t="str">
        <x:v>risk_aversion, impact_coef, participation, slice_size</x:v>
      </x:c>
      <x:c r="O208" s="27" t="str">
        <x:v>高</x:v>
      </x:c>
      <x:c r="P208" s="27" t="str">
        <x:v>中-高</x:v>
      </x:c>
      <x:c r="Q208" s="27" t="str">
        <x:v>被识别、冲击低估、成交不足、市场反向</x:v>
      </x:c>
      <x:c r="R208" s="27" t="str">
        <x:v>用可成交队列回放评估arrival price和implementation shortfall</x:v>
      </x:c>
      <x:c r="S208" s="27" t="str">
        <x:v>Almgren-Chriss optimal execution</x:v>
      </x:c>
      <x:c r="T208" s="27" t="str">
        <x:v>https://www.risk.net/journal-risk/2161150/optimal-execution-portfolio-transactions</x:v>
      </x:c>
      <x:c r="U208" s="27" t="str"/>
    </x:row>
    <x:row r="209" ht="54" customHeight="1">
      <x:c r="A209" s="27" t="str">
        <x:v>GT208</x:v>
      </x:c>
      <x:c r="B209" s="27" t="str">
        <x:v>博弈论/市场微结构</x:v>
      </x:c>
      <x:c r="C209" s="27" t="str">
        <x:v>最优执行/市场冲击博弈</x:v>
      </x:c>
      <x:c r="D209" s="27" t="str">
        <x:v>经典</x:v>
      </x:c>
      <x:c r="E209" s="27" t="str">
        <x:v>VWAP参与率执行</x:v>
      </x:c>
      <x:c r="F209" s="27" t="str">
        <x:v>VWAP participation execution</x:v>
      </x:c>
      <x:c r="G209" s="27" t="str">
        <x:v>跟随市场成交量曲线降低可见性</x:v>
      </x:c>
      <x:c r="H209" s="27" t="str">
        <x:v>股票/ETF/期货/FX/债券/加密/期权</x:v>
      </x:c>
      <x:c r="I209" s="27" t="str">
        <x:v>30秒-5分钟</x:v>
      </x:c>
      <x:c r="J209" s="27" t="str">
        <x:v>1-30秒切片/路由</x:v>
      </x:c>
      <x:c r="K209" s="27" t="str">
        <x:v>成交量曲线、深度、冲击模型、费用、延迟</x:v>
      </x:c>
      <x:c r="L209" s="27" t="str">
        <x:v>目标订单按流动性和风险预算分片执行</x:v>
      </x:c>
      <x:c r="M209" s="27" t="str">
        <x:v>达到目标数量、冲击超限、价格偏离或截止时间退出</x:v>
      </x:c>
      <x:c r="N209" s="27" t="str">
        <x:v>risk_aversion, impact_coef, participation, slice_size</x:v>
      </x:c>
      <x:c r="O209" s="27" t="str">
        <x:v>高</x:v>
      </x:c>
      <x:c r="P209" s="27" t="str">
        <x:v>中-高</x:v>
      </x:c>
      <x:c r="Q209" s="27" t="str">
        <x:v>被识别、冲击低估、成交不足、市场反向</x:v>
      </x:c>
      <x:c r="R209" s="27" t="str">
        <x:v>用可成交队列回放评估arrival price和implementation shortfall</x:v>
      </x:c>
      <x:c r="S209" s="27" t="str">
        <x:v>Almgren-Chriss optimal execution</x:v>
      </x:c>
      <x:c r="T209" s="27" t="str">
        <x:v>https://www.risk.net/journal-risk/2161150/optimal-execution-portfolio-transactions</x:v>
      </x:c>
      <x:c r="U209" s="27" t="str"/>
    </x:row>
    <x:row r="210" ht="54" customHeight="1">
      <x:c r="A210" s="27" t="str">
        <x:v>GT209</x:v>
      </x:c>
      <x:c r="B210" s="27" t="str">
        <x:v>博弈论/市场微结构</x:v>
      </x:c>
      <x:c r="C210" s="27" t="str">
        <x:v>最优执行/市场冲击博弈</x:v>
      </x:c>
      <x:c r="D210" s="27" t="str">
        <x:v>经典</x:v>
      </x:c>
      <x:c r="E210" s="27" t="str">
        <x:v>POV动态参与率</x:v>
      </x:c>
      <x:c r="F210" s="27" t="str">
        <x:v>POV dynamic participation</x:v>
      </x:c>
      <x:c r="G210" s="27" t="str">
        <x:v>成交量越大可交易越多，避免过度暴露</x:v>
      </x:c>
      <x:c r="H210" s="27" t="str">
        <x:v>股票/ETF/期货/FX/债券/加密/期权</x:v>
      </x:c>
      <x:c r="I210" s="27" t="str">
        <x:v>30秒-5分钟</x:v>
      </x:c>
      <x:c r="J210" s="27" t="str">
        <x:v>1-30秒切片/路由</x:v>
      </x:c>
      <x:c r="K210" s="27" t="str">
        <x:v>成交量曲线、深度、冲击模型、费用、延迟</x:v>
      </x:c>
      <x:c r="L210" s="27" t="str">
        <x:v>目标订单按流动性和风险预算分片执行</x:v>
      </x:c>
      <x:c r="M210" s="27" t="str">
        <x:v>达到目标数量、冲击超限、价格偏离或截止时间退出</x:v>
      </x:c>
      <x:c r="N210" s="27" t="str">
        <x:v>risk_aversion, impact_coef, participation, slice_size</x:v>
      </x:c>
      <x:c r="O210" s="27" t="str">
        <x:v>高</x:v>
      </x:c>
      <x:c r="P210" s="27" t="str">
        <x:v>中-高</x:v>
      </x:c>
      <x:c r="Q210" s="27" t="str">
        <x:v>被识别、冲击低估、成交不足、市场反向</x:v>
      </x:c>
      <x:c r="R210" s="27" t="str">
        <x:v>用可成交队列回放评估arrival price和implementation shortfall</x:v>
      </x:c>
      <x:c r="S210" s="27" t="str">
        <x:v>Almgren-Chriss optimal execution</x:v>
      </x:c>
      <x:c r="T210" s="27" t="str">
        <x:v>https://www.risk.net/journal-risk/2161150/optimal-execution-portfolio-transactions</x:v>
      </x:c>
      <x:c r="U210" s="27" t="str"/>
    </x:row>
    <x:row r="211" ht="54" customHeight="1">
      <x:c r="A211" s="27" t="str">
        <x:v>GT210</x:v>
      </x:c>
      <x:c r="B211" s="27" t="str">
        <x:v>博弈论/市场微结构</x:v>
      </x:c>
      <x:c r="C211" s="27" t="str">
        <x:v>最优执行/市场冲击博弈</x:v>
      </x:c>
      <x:c r="D211" s="27" t="str">
        <x:v>经典</x:v>
      </x:c>
      <x:c r="E211" s="27" t="str">
        <x:v>冲击衰减模型执行</x:v>
      </x:c>
      <x:c r="F211" s="27" t="str">
        <x:v>transient-impact execution</x:v>
      </x:c>
      <x:c r="G211" s="27" t="str">
        <x:v>临时冲击随时间衰减，影响最优切片间隔</x:v>
      </x:c>
      <x:c r="H211" s="27" t="str">
        <x:v>股票/ETF/期货/FX/债券/加密/期权</x:v>
      </x:c>
      <x:c r="I211" s="27" t="str">
        <x:v>30秒-5分钟</x:v>
      </x:c>
      <x:c r="J211" s="27" t="str">
        <x:v>1-30秒切片/路由</x:v>
      </x:c>
      <x:c r="K211" s="27" t="str">
        <x:v>成交量曲线、深度、冲击模型、费用、延迟</x:v>
      </x:c>
      <x:c r="L211" s="27" t="str">
        <x:v>目标订单按流动性和风险预算分片执行</x:v>
      </x:c>
      <x:c r="M211" s="27" t="str">
        <x:v>达到目标数量、冲击超限、价格偏离或截止时间退出</x:v>
      </x:c>
      <x:c r="N211" s="27" t="str">
        <x:v>risk_aversion, impact_coef, participation, slice_size</x:v>
      </x:c>
      <x:c r="O211" s="27" t="str">
        <x:v>高</x:v>
      </x:c>
      <x:c r="P211" s="27" t="str">
        <x:v>中-高</x:v>
      </x:c>
      <x:c r="Q211" s="27" t="str">
        <x:v>被识别、冲击低估、成交不足、市场反向</x:v>
      </x:c>
      <x:c r="R211" s="27" t="str">
        <x:v>用可成交队列回放评估arrival price和implementation shortfall</x:v>
      </x:c>
      <x:c r="S211" s="27" t="str">
        <x:v>Almgren-Chriss optimal execution</x:v>
      </x:c>
      <x:c r="T211" s="27" t="str">
        <x:v>https://www.risk.net/journal-risk/2161150/optimal-execution-portfolio-transactions</x:v>
      </x:c>
      <x:c r="U211" s="27" t="str"/>
    </x:row>
    <x:row r="212" ht="54" customHeight="1">
      <x:c r="A212" s="27" t="str">
        <x:v>GT211</x:v>
      </x:c>
      <x:c r="B212" s="27" t="str">
        <x:v>博弈论/市场微结构</x:v>
      </x:c>
      <x:c r="C212" s="27" t="str">
        <x:v>最优执行/市场冲击博弈</x:v>
      </x:c>
      <x:c r="D212" s="27" t="str">
        <x:v>经典</x:v>
      </x:c>
      <x:c r="E212" s="27" t="str">
        <x:v>隐蔽订单执行</x:v>
      </x:c>
      <x:c r="F212" s="27" t="str">
        <x:v>iceberg-style execution</x:v>
      </x:c>
      <x:c r="G212" s="27" t="str">
        <x:v>隐藏/小额显示降低被识别风险</x:v>
      </x:c>
      <x:c r="H212" s="27" t="str">
        <x:v>股票/ETF/期货/FX/债券/加密/期权</x:v>
      </x:c>
      <x:c r="I212" s="27" t="str">
        <x:v>30秒-5分钟</x:v>
      </x:c>
      <x:c r="J212" s="27" t="str">
        <x:v>1-30秒切片/路由</x:v>
      </x:c>
      <x:c r="K212" s="27" t="str">
        <x:v>成交量曲线、深度、冲击模型、费用、延迟</x:v>
      </x:c>
      <x:c r="L212" s="27" t="str">
        <x:v>目标订单按流动性和风险预算分片执行</x:v>
      </x:c>
      <x:c r="M212" s="27" t="str">
        <x:v>达到目标数量、冲击超限、价格偏离或截止时间退出</x:v>
      </x:c>
      <x:c r="N212" s="27" t="str">
        <x:v>risk_aversion, impact_coef, participation, slice_size</x:v>
      </x:c>
      <x:c r="O212" s="27" t="str">
        <x:v>高</x:v>
      </x:c>
      <x:c r="P212" s="27" t="str">
        <x:v>中-高</x:v>
      </x:c>
      <x:c r="Q212" s="27" t="str">
        <x:v>被识别、冲击低估、成交不足、市场反向</x:v>
      </x:c>
      <x:c r="R212" s="27" t="str">
        <x:v>用可成交队列回放评估arrival price和implementation shortfall</x:v>
      </x:c>
      <x:c r="S212" s="27" t="str">
        <x:v>arXiv q-fin.TR Trading and Market Microstructure</x:v>
      </x:c>
      <x:c r="T212" s="27" t="str">
        <x:v>https://arxiv.org/list/q-fin.TR/recent</x:v>
      </x:c>
      <x:c r="U212" s="27" t="str"/>
    </x:row>
    <x:row r="213" ht="54" customHeight="1">
      <x:c r="A213" s="27" t="str">
        <x:v>GT212</x:v>
      </x:c>
      <x:c r="B213" s="27" t="str">
        <x:v>博弈论/市场微结构</x:v>
      </x:c>
      <x:c r="C213" s="27" t="str">
        <x:v>最优执行/市场冲击博弈</x:v>
      </x:c>
      <x:c r="D213" s="27" t="str">
        <x:v>经典</x:v>
      </x:c>
      <x:c r="E213" s="27" t="str">
        <x:v>机会型流动性捕获</x:v>
      </x:c>
      <x:c r="F213" s="27" t="str">
        <x:v>opportunistic liquidity capture</x:v>
      </x:c>
      <x:c r="G213" s="27" t="str">
        <x:v>等待对手方流动性出现再交易</x:v>
      </x:c>
      <x:c r="H213" s="27" t="str">
        <x:v>股票/ETF/期货/FX/债券/加密/期权</x:v>
      </x:c>
      <x:c r="I213" s="27" t="str">
        <x:v>30秒-5分钟</x:v>
      </x:c>
      <x:c r="J213" s="27" t="str">
        <x:v>1-30秒切片/路由</x:v>
      </x:c>
      <x:c r="K213" s="27" t="str">
        <x:v>成交量曲线、深度、冲击模型、费用、延迟</x:v>
      </x:c>
      <x:c r="L213" s="27" t="str">
        <x:v>目标订单按流动性和风险预算分片执行</x:v>
      </x:c>
      <x:c r="M213" s="27" t="str">
        <x:v>达到目标数量、冲击超限、价格偏离或截止时间退出</x:v>
      </x:c>
      <x:c r="N213" s="27" t="str">
        <x:v>risk_aversion, impact_coef, participation, slice_size</x:v>
      </x:c>
      <x:c r="O213" s="27" t="str">
        <x:v>高</x:v>
      </x:c>
      <x:c r="P213" s="27" t="str">
        <x:v>中-高</x:v>
      </x:c>
      <x:c r="Q213" s="27" t="str">
        <x:v>被识别、冲击低估、成交不足、市场反向</x:v>
      </x:c>
      <x:c r="R213" s="27" t="str">
        <x:v>用可成交队列回放评估arrival price和implementation shortfall</x:v>
      </x:c>
      <x:c r="S213" s="27" t="str">
        <x:v>arXiv q-fin.TR Trading and Market Microstructure</x:v>
      </x:c>
      <x:c r="T213" s="27" t="str">
        <x:v>https://arxiv.org/list/q-fin.TR/recent</x:v>
      </x:c>
      <x:c r="U213" s="27" t="str"/>
    </x:row>
    <x:row r="214" ht="54" customHeight="1">
      <x:c r="A214" s="27" t="str">
        <x:v>GT213</x:v>
      </x:c>
      <x:c r="B214" s="27" t="str">
        <x:v>博弈论/市场微结构</x:v>
      </x:c>
      <x:c r="C214" s="27" t="str">
        <x:v>最优执行/市场冲击博弈</x:v>
      </x:c>
      <x:c r="D214" s="27" t="str">
        <x:v>经典</x:v>
      </x:c>
      <x:c r="E214" s="27" t="str">
        <x:v>队列优先执行</x:v>
      </x:c>
      <x:c r="F214" s="27" t="str">
        <x:v>queue-priority execution</x:v>
      </x:c>
      <x:c r="G214" s="27" t="str">
        <x:v>在关键价位提前排队获取低成本成交</x:v>
      </x:c>
      <x:c r="H214" s="27" t="str">
        <x:v>股票/ETF/期货/FX/债券/加密/期权</x:v>
      </x:c>
      <x:c r="I214" s="27" t="str">
        <x:v>30秒-5分钟</x:v>
      </x:c>
      <x:c r="J214" s="27" t="str">
        <x:v>1-30秒切片/路由</x:v>
      </x:c>
      <x:c r="K214" s="27" t="str">
        <x:v>成交量曲线、深度、冲击模型、费用、延迟</x:v>
      </x:c>
      <x:c r="L214" s="27" t="str">
        <x:v>目标订单按流动性和风险预算分片执行</x:v>
      </x:c>
      <x:c r="M214" s="27" t="str">
        <x:v>达到目标数量、冲击超限、价格偏离或截止时间退出</x:v>
      </x:c>
      <x:c r="N214" s="27" t="str">
        <x:v>risk_aversion, impact_coef, participation, slice_size</x:v>
      </x:c>
      <x:c r="O214" s="27" t="str">
        <x:v>高</x:v>
      </x:c>
      <x:c r="P214" s="27" t="str">
        <x:v>中-高</x:v>
      </x:c>
      <x:c r="Q214" s="27" t="str">
        <x:v>被识别、冲击低估、成交不足、市场反向</x:v>
      </x:c>
      <x:c r="R214" s="27" t="str">
        <x:v>用可成交队列回放评估arrival price和implementation shortfall</x:v>
      </x:c>
      <x:c r="S214" s="27" t="str">
        <x:v>LOBSTER limit order book data</x:v>
      </x:c>
      <x:c r="T214" s="27" t="str">
        <x:v>https://data.lobsterdata.com/index.php</x:v>
      </x:c>
      <x:c r="U214" s="27" t="str"/>
    </x:row>
    <x:row r="215" ht="54" customHeight="1">
      <x:c r="A215" s="27" t="str">
        <x:v>GT214</x:v>
      </x:c>
      <x:c r="B215" s="27" t="str">
        <x:v>博弈论/市场微结构</x:v>
      </x:c>
      <x:c r="C215" s="27" t="str">
        <x:v>最优执行/市场冲击博弈</x:v>
      </x:c>
      <x:c r="D215" s="27" t="str">
        <x:v>经典</x:v>
      </x:c>
      <x:c r="E215" s="27" t="str">
        <x:v>冲击-风险自适应切换</x:v>
      </x:c>
      <x:c r="F215" s="27" t="str">
        <x:v>impact-risk adaptive schedule</x:v>
      </x:c>
      <x:c r="G215" s="27" t="str">
        <x:v>波动和深度变化时调整交易速度</x:v>
      </x:c>
      <x:c r="H215" s="27" t="str">
        <x:v>股票/ETF/期货/FX/债券/加密/期权</x:v>
      </x:c>
      <x:c r="I215" s="27" t="str">
        <x:v>30秒-5分钟</x:v>
      </x:c>
      <x:c r="J215" s="27" t="str">
        <x:v>1-30秒切片/路由</x:v>
      </x:c>
      <x:c r="K215" s="27" t="str">
        <x:v>成交量曲线、深度、冲击模型、费用、延迟</x:v>
      </x:c>
      <x:c r="L215" s="27" t="str">
        <x:v>目标订单按流动性和风险预算分片执行</x:v>
      </x:c>
      <x:c r="M215" s="27" t="str">
        <x:v>达到目标数量、冲击超限、价格偏离或截止时间退出</x:v>
      </x:c>
      <x:c r="N215" s="27" t="str">
        <x:v>risk_aversion, impact_coef, participation, slice_size</x:v>
      </x:c>
      <x:c r="O215" s="27" t="str">
        <x:v>高</x:v>
      </x:c>
      <x:c r="P215" s="27" t="str">
        <x:v>中-高</x:v>
      </x:c>
      <x:c r="Q215" s="27" t="str">
        <x:v>被识别、冲击低估、成交不足、市场反向</x:v>
      </x:c>
      <x:c r="R215" s="27" t="str">
        <x:v>用可成交队列回放评估arrival price和implementation shortfall</x:v>
      </x:c>
      <x:c r="S215" s="27" t="str">
        <x:v>Almgren-Chriss optimal execution</x:v>
      </x:c>
      <x:c r="T215" s="27" t="str">
        <x:v>https://www.risk.net/journal-risk/2161150/optimal-execution-portfolio-transactions</x:v>
      </x:c>
      <x:c r="U215" s="27" t="str"/>
    </x:row>
    <x:row r="216" ht="54" customHeight="1">
      <x:c r="A216" s="27" t="str">
        <x:v>GT215</x:v>
      </x:c>
      <x:c r="B216" s="27" t="str">
        <x:v>博弈论/市场微结构</x:v>
      </x:c>
      <x:c r="C216" s="27" t="str">
        <x:v>最优执行/市场冲击博弈</x:v>
      </x:c>
      <x:c r="D216" s="27" t="str">
        <x:v>经典</x:v>
      </x:c>
      <x:c r="E216" s="27" t="str">
        <x:v>收盘竞价执行博弈</x:v>
      </x:c>
      <x:c r="F216" s="27" t="str">
        <x:v>closing-auction execution game</x:v>
      </x:c>
      <x:c r="G216" s="27" t="str">
        <x:v>收盘流动性集中但价格冲击与披露风险更高</x:v>
      </x:c>
      <x:c r="H216" s="27" t="str">
        <x:v>股票/ETF/期货/FX/债券/加密/期权</x:v>
      </x:c>
      <x:c r="I216" s="27" t="str">
        <x:v>30秒-5分钟</x:v>
      </x:c>
      <x:c r="J216" s="27" t="str">
        <x:v>1-30秒切片/路由</x:v>
      </x:c>
      <x:c r="K216" s="27" t="str">
        <x:v>成交量曲线、深度、冲击模型、费用、延迟</x:v>
      </x:c>
      <x:c r="L216" s="27" t="str">
        <x:v>目标订单按流动性和风险预算分片执行</x:v>
      </x:c>
      <x:c r="M216" s="27" t="str">
        <x:v>达到目标数量、冲击超限、价格偏离或截止时间退出</x:v>
      </x:c>
      <x:c r="N216" s="27" t="str">
        <x:v>risk_aversion, impact_coef, participation, slice_size</x:v>
      </x:c>
      <x:c r="O216" s="27" t="str">
        <x:v>高</x:v>
      </x:c>
      <x:c r="P216" s="27" t="str">
        <x:v>中-高</x:v>
      </x:c>
      <x:c r="Q216" s="27" t="str">
        <x:v>被识别、冲击低估、成交不足、市场反向</x:v>
      </x:c>
      <x:c r="R216" s="27" t="str">
        <x:v>用可成交队列回放评估arrival price和implementation shortfall</x:v>
      </x:c>
      <x:c r="S216" s="27" t="str">
        <x:v>arXiv q-fin.TR Trading and Market Microstructure</x:v>
      </x:c>
      <x:c r="T216" s="27" t="str">
        <x:v>https://arxiv.org/list/q-fin.TR/recent</x:v>
      </x:c>
      <x:c r="U216" s="27" t="str"/>
    </x:row>
    <x:row r="217" ht="54" customHeight="1">
      <x:c r="A217" s="27" t="str">
        <x:v>GT216</x:v>
      </x:c>
      <x:c r="B217" s="27" t="str">
        <x:v>博弈论/市场微结构</x:v>
      </x:c>
      <x:c r="C217" s="27" t="str">
        <x:v>最优执行/市场冲击博弈</x:v>
      </x:c>
      <x:c r="D217" s="27" t="str">
        <x:v>经典</x:v>
      </x:c>
      <x:c r="E217" s="27" t="str">
        <x:v>期权delta对冲执行</x:v>
      </x:c>
      <x:c r="F217" s="27" t="str">
        <x:v>option delta-hedge execution</x:v>
      </x:c>
      <x:c r="G217" s="27" t="str">
        <x:v>对冲需求与市场冲击之间权衡</x:v>
      </x:c>
      <x:c r="H217" s="27" t="str">
        <x:v>股票/ETF/期货/FX/债券/加密/期权</x:v>
      </x:c>
      <x:c r="I217" s="27" t="str">
        <x:v>30秒-5分钟</x:v>
      </x:c>
      <x:c r="J217" s="27" t="str">
        <x:v>1-30秒切片/路由</x:v>
      </x:c>
      <x:c r="K217" s="27" t="str">
        <x:v>成交量曲线、深度、冲击模型、费用、延迟</x:v>
      </x:c>
      <x:c r="L217" s="27" t="str">
        <x:v>目标订单按流动性和风险预算分片执行</x:v>
      </x:c>
      <x:c r="M217" s="27" t="str">
        <x:v>达到目标数量、冲击超限、价格偏离或截止时间退出</x:v>
      </x:c>
      <x:c r="N217" s="27" t="str">
        <x:v>risk_aversion, impact_coef, participation, slice_size</x:v>
      </x:c>
      <x:c r="O217" s="27" t="str">
        <x:v>高</x:v>
      </x:c>
      <x:c r="P217" s="27" t="str">
        <x:v>中-高</x:v>
      </x:c>
      <x:c r="Q217" s="27" t="str">
        <x:v>被识别、冲击低估、成交不足、市场反向</x:v>
      </x:c>
      <x:c r="R217" s="27" t="str">
        <x:v>用可成交队列回放评估arrival price和implementation shortfall</x:v>
      </x:c>
      <x:c r="S217" s="27" t="str">
        <x:v>Almgren-Chriss optimal execution</x:v>
      </x:c>
      <x:c r="T217" s="27" t="str">
        <x:v>https://www.risk.net/journal-risk/2161150/optimal-execution-portfolio-transactions</x:v>
      </x:c>
      <x:c r="U217" s="27" t="str"/>
    </x:row>
    <x:row r="218" ht="54" customHeight="1">
      <x:c r="A218" s="27" t="str">
        <x:v>GT217</x:v>
      </x:c>
      <x:c r="B218" s="27" t="str">
        <x:v>博弈论/市场微结构</x:v>
      </x:c>
      <x:c r="C218" s="27" t="str">
        <x:v>最优执行/市场冲击博弈</x:v>
      </x:c>
      <x:c r="D218" s="27" t="str">
        <x:v>经典</x:v>
      </x:c>
      <x:c r="E218" s="27" t="str">
        <x:v>跨场所SOR执行</x:v>
      </x:c>
      <x:c r="F218" s="27" t="str">
        <x:v>smart-order-routing execution</x:v>
      </x:c>
      <x:c r="G218" s="27" t="str">
        <x:v>选择费用/深度/延迟最佳场所</x:v>
      </x:c>
      <x:c r="H218" s="27" t="str">
        <x:v>股票/ETF/期货/FX/债券/加密/期权</x:v>
      </x:c>
      <x:c r="I218" s="27" t="str">
        <x:v>30秒-5分钟</x:v>
      </x:c>
      <x:c r="J218" s="27" t="str">
        <x:v>1-30秒切片/路由</x:v>
      </x:c>
      <x:c r="K218" s="27" t="str">
        <x:v>成交量曲线、深度、冲击模型、费用、延迟</x:v>
      </x:c>
      <x:c r="L218" s="27" t="str">
        <x:v>目标订单按流动性和风险预算分片执行</x:v>
      </x:c>
      <x:c r="M218" s="27" t="str">
        <x:v>达到目标数量、冲击超限、价格偏离或截止时间退出</x:v>
      </x:c>
      <x:c r="N218" s="27" t="str">
        <x:v>risk_aversion, impact_coef, participation, slice_size</x:v>
      </x:c>
      <x:c r="O218" s="27" t="str">
        <x:v>高</x:v>
      </x:c>
      <x:c r="P218" s="27" t="str">
        <x:v>中-高</x:v>
      </x:c>
      <x:c r="Q218" s="27" t="str">
        <x:v>被识别、冲击低估、成交不足、市场反向</x:v>
      </x:c>
      <x:c r="R218" s="27" t="str">
        <x:v>用可成交队列回放评估arrival price和implementation shortfall</x:v>
      </x:c>
      <x:c r="S218" s="27" t="str">
        <x:v>arXiv q-fin.TR Trading and Market Microstructure</x:v>
      </x:c>
      <x:c r="T218" s="27" t="str">
        <x:v>https://arxiv.org/list/q-fin.TR/recent</x:v>
      </x:c>
      <x:c r="U218" s="27" t="str"/>
    </x:row>
    <x:row r="219" ht="54" customHeight="1">
      <x:c r="A219" s="27" t="str">
        <x:v>GT218</x:v>
      </x:c>
      <x:c r="B219" s="27" t="str">
        <x:v>博弈论/市场微结构</x:v>
      </x:c>
      <x:c r="C219" s="27" t="str">
        <x:v>最优执行/市场冲击博弈</x:v>
      </x:c>
      <x:c r="D219" s="27" t="str">
        <x:v>经典</x:v>
      </x:c>
      <x:c r="E219" s="27" t="str">
        <x:v>反捕食执行</x:v>
      </x:c>
      <x:c r="F219" s="27" t="str">
        <x:v>anti-predatory execution</x:v>
      </x:c>
      <x:c r="G219" s="27" t="str">
        <x:v>随机化切片避免被其他交易者预测</x:v>
      </x:c>
      <x:c r="H219" s="27" t="str">
        <x:v>股票/ETF/期货/FX/债券/加密/期权</x:v>
      </x:c>
      <x:c r="I219" s="27" t="str">
        <x:v>30秒-5分钟</x:v>
      </x:c>
      <x:c r="J219" s="27" t="str">
        <x:v>1-30秒切片/路由</x:v>
      </x:c>
      <x:c r="K219" s="27" t="str">
        <x:v>成交量曲线、深度、冲击模型、费用、延迟</x:v>
      </x:c>
      <x:c r="L219" s="27" t="str">
        <x:v>目标订单按流动性和风险预算分片执行</x:v>
      </x:c>
      <x:c r="M219" s="27" t="str">
        <x:v>达到目标数量、冲击超限、价格偏离或截止时间退出</x:v>
      </x:c>
      <x:c r="N219" s="27" t="str">
        <x:v>risk_aversion, impact_coef, participation, slice_size</x:v>
      </x:c>
      <x:c r="O219" s="27" t="str">
        <x:v>高</x:v>
      </x:c>
      <x:c r="P219" s="27" t="str">
        <x:v>中-高</x:v>
      </x:c>
      <x:c r="Q219" s="27" t="str">
        <x:v>被识别、冲击低估、成交不足、市场反向</x:v>
      </x:c>
      <x:c r="R219" s="27" t="str">
        <x:v>用可成交队列回放评估arrival price和implementation shortfall</x:v>
      </x:c>
      <x:c r="S219" s="27" t="str">
        <x:v>arXiv q-fin.TR Trading and Market Microstructure</x:v>
      </x:c>
      <x:c r="T219" s="27" t="str">
        <x:v>https://arxiv.org/list/q-fin.TR/recent</x:v>
      </x:c>
      <x:c r="U219" s="27" t="str"/>
    </x:row>
    <x:row r="220" ht="54" customHeight="1">
      <x:c r="A220" s="27" t="str">
        <x:v>GT219</x:v>
      </x:c>
      <x:c r="B220" s="27" t="str">
        <x:v>博弈论/市场微结构</x:v>
      </x:c>
      <x:c r="C220" s="27" t="str">
        <x:v>最优执行/市场冲击博弈</x:v>
      </x:c>
      <x:c r="D220" s="27" t="str">
        <x:v>经典</x:v>
      </x:c>
      <x:c r="E220" s="27" t="str">
        <x:v>多资产篮子执行</x:v>
      </x:c>
      <x:c r="F220" s="27" t="str">
        <x:v>basket execution impact netting</x:v>
      </x:c>
      <x:c r="G220" s="27" t="str">
        <x:v>相关资产同时执行可净化风险但冲击耦合</x:v>
      </x:c>
      <x:c r="H220" s="27" t="str">
        <x:v>股票/ETF/期货/FX/债券/加密/期权</x:v>
      </x:c>
      <x:c r="I220" s="27" t="str">
        <x:v>30秒-5分钟</x:v>
      </x:c>
      <x:c r="J220" s="27" t="str">
        <x:v>1-30秒切片/路由</x:v>
      </x:c>
      <x:c r="K220" s="27" t="str">
        <x:v>成交量曲线、深度、冲击模型、费用、延迟</x:v>
      </x:c>
      <x:c r="L220" s="27" t="str">
        <x:v>目标订单按流动性和风险预算分片执行</x:v>
      </x:c>
      <x:c r="M220" s="27" t="str">
        <x:v>达到目标数量、冲击超限、价格偏离或截止时间退出</x:v>
      </x:c>
      <x:c r="N220" s="27" t="str">
        <x:v>risk_aversion, impact_coef, participation, slice_size</x:v>
      </x:c>
      <x:c r="O220" s="27" t="str">
        <x:v>高</x:v>
      </x:c>
      <x:c r="P220" s="27" t="str">
        <x:v>中-高</x:v>
      </x:c>
      <x:c r="Q220" s="27" t="str">
        <x:v>被识别、冲击低估、成交不足、市场反向</x:v>
      </x:c>
      <x:c r="R220" s="27" t="str">
        <x:v>用可成交队列回放评估arrival price和implementation shortfall</x:v>
      </x:c>
      <x:c r="S220" s="27" t="str">
        <x:v>Almgren-Chriss optimal execution</x:v>
      </x:c>
      <x:c r="T220" s="27" t="str">
        <x:v>https://www.risk.net/journal-risk/2161150/optimal-execution-portfolio-transactions</x:v>
      </x:c>
      <x:c r="U220" s="27" t="str"/>
    </x:row>
    <x:row r="221" ht="54" customHeight="1">
      <x:c r="A221" s="27" t="str">
        <x:v>GT220</x:v>
      </x:c>
      <x:c r="B221" s="27" t="str">
        <x:v>博弈论/市场微结构</x:v>
      </x:c>
      <x:c r="C221" s="27" t="str">
        <x:v>最优执行/市场冲击博弈</x:v>
      </x:c>
      <x:c r="D221" s="27" t="str">
        <x:v>新兴</x:v>
      </x:c>
      <x:c r="E221" s="27" t="str">
        <x:v>流动性黑暗池选择</x:v>
      </x:c>
      <x:c r="F221" s="27" t="str">
        <x:v>dark-pool selection game</x:v>
      </x:c>
      <x:c r="G221" s="27" t="str">
        <x:v>暗池成交概率与信息泄露之间权衡</x:v>
      </x:c>
      <x:c r="H221" s="27" t="str">
        <x:v>股票/ETF/期货/FX/债券/加密/期权</x:v>
      </x:c>
      <x:c r="I221" s="27" t="str">
        <x:v>30秒-5分钟</x:v>
      </x:c>
      <x:c r="J221" s="27" t="str">
        <x:v>1-30秒切片/路由</x:v>
      </x:c>
      <x:c r="K221" s="27" t="str">
        <x:v>成交量曲线、深度、冲击模型、费用、延迟</x:v>
      </x:c>
      <x:c r="L221" s="27" t="str">
        <x:v>目标订单按流动性和风险预算分片执行</x:v>
      </x:c>
      <x:c r="M221" s="27" t="str">
        <x:v>达到目标数量、冲击超限、价格偏离或截止时间退出</x:v>
      </x:c>
      <x:c r="N221" s="27" t="str">
        <x:v>risk_aversion, impact_coef, participation, slice_size</x:v>
      </x:c>
      <x:c r="O221" s="27" t="str">
        <x:v>高</x:v>
      </x:c>
      <x:c r="P221" s="27" t="str">
        <x:v>中-高</x:v>
      </x:c>
      <x:c r="Q221" s="27" t="str">
        <x:v>被识别、冲击低估、成交不足、市场反向</x:v>
      </x:c>
      <x:c r="R221" s="27" t="str">
        <x:v>用可成交队列回放评估arrival price和implementation shortfall</x:v>
      </x:c>
      <x:c r="S221" s="27" t="str">
        <x:v>arXiv q-fin.TR Trading and Market Microstructure</x:v>
      </x:c>
      <x:c r="T221" s="27" t="str">
        <x:v>https://arxiv.org/list/q-fin.TR/recent</x:v>
      </x:c>
      <x:c r="U221" s="27" t="str"/>
    </x:row>
    <x:row r="222" ht="54" customHeight="1">
      <x:c r="A222" s="27" t="str">
        <x:v>GT221</x:v>
      </x:c>
      <x:c r="B222" s="27" t="str">
        <x:v>博弈论/市场微结构</x:v>
      </x:c>
      <x:c r="C222" s="27" t="str">
        <x:v>最优执行/市场冲击博弈</x:v>
      </x:c>
      <x:c r="D222" s="27" t="str">
        <x:v>新兴</x:v>
      </x:c>
      <x:c r="E222" s="27" t="str">
        <x:v>强化学习执行切片</x:v>
      </x:c>
      <x:c r="F222" s="27" t="str">
        <x:v>RL execution slicing</x:v>
      </x:c>
      <x:c r="G222" s="27" t="str">
        <x:v>学习在不同盘口状态下选择下单速度</x:v>
      </x:c>
      <x:c r="H222" s="27" t="str">
        <x:v>股票/ETF/期货/FX/债券/加密/期权</x:v>
      </x:c>
      <x:c r="I222" s="27" t="str">
        <x:v>30秒-5分钟</x:v>
      </x:c>
      <x:c r="J222" s="27" t="str">
        <x:v>1-30秒切片/路由</x:v>
      </x:c>
      <x:c r="K222" s="27" t="str">
        <x:v>成交量曲线、深度、冲击模型、费用、延迟</x:v>
      </x:c>
      <x:c r="L222" s="27" t="str">
        <x:v>目标订单按流动性和风险预算分片执行</x:v>
      </x:c>
      <x:c r="M222" s="27" t="str">
        <x:v>达到目标数量、冲击超限、价格偏离或截止时间退出</x:v>
      </x:c>
      <x:c r="N222" s="27" t="str">
        <x:v>risk_aversion, impact_coef, participation, slice_size</x:v>
      </x:c>
      <x:c r="O222" s="27" t="str">
        <x:v>高</x:v>
      </x:c>
      <x:c r="P222" s="27" t="str">
        <x:v>中-高</x:v>
      </x:c>
      <x:c r="Q222" s="27" t="str">
        <x:v>被识别、冲击低估、成交不足、市场反向</x:v>
      </x:c>
      <x:c r="R222" s="27" t="str">
        <x:v>用可成交队列回放评估arrival price和implementation shortfall</x:v>
      </x:c>
      <x:c r="S222" s="27" t="str">
        <x:v>arXiv q-fin.TR Trading and Market Microstructure</x:v>
      </x:c>
      <x:c r="T222" s="27" t="str">
        <x:v>https://arxiv.org/list/q-fin.TR/recent</x:v>
      </x:c>
      <x:c r="U222" s="27" t="str"/>
    </x:row>
    <x:row r="223" ht="54" customHeight="1">
      <x:c r="A223" s="27" t="str">
        <x:v>GT222</x:v>
      </x:c>
      <x:c r="B223" s="27" t="str">
        <x:v>博弈论/市场微结构</x:v>
      </x:c>
      <x:c r="C223" s="27" t="str">
        <x:v>最优执行/市场冲击博弈</x:v>
      </x:c>
      <x:c r="D223" s="27" t="str">
        <x:v>新兴</x:v>
      </x:c>
      <x:c r="E223" s="27" t="str">
        <x:v>多智能体执行仿真</x:v>
      </x:c>
      <x:c r="F223" s="27" t="str">
        <x:v>multi-agent execution simulation</x:v>
      </x:c>
      <x:c r="G223" s="27" t="str">
        <x:v>其他执行者反应影响最优轨迹</x:v>
      </x:c>
      <x:c r="H223" s="27" t="str">
        <x:v>股票/ETF/期货/FX/债券/加密/期权</x:v>
      </x:c>
      <x:c r="I223" s="27" t="str">
        <x:v>30秒-5分钟</x:v>
      </x:c>
      <x:c r="J223" s="27" t="str">
        <x:v>1-30秒切片/路由</x:v>
      </x:c>
      <x:c r="K223" s="27" t="str">
        <x:v>成交量曲线、深度、冲击模型、费用、延迟</x:v>
      </x:c>
      <x:c r="L223" s="27" t="str">
        <x:v>目标订单按流动性和风险预算分片执行</x:v>
      </x:c>
      <x:c r="M223" s="27" t="str">
        <x:v>达到目标数量、冲击超限、价格偏离或截止时间退出</x:v>
      </x:c>
      <x:c r="N223" s="27" t="str">
        <x:v>risk_aversion, impact_coef, participation, slice_size</x:v>
      </x:c>
      <x:c r="O223" s="27" t="str">
        <x:v>高</x:v>
      </x:c>
      <x:c r="P223" s="27" t="str">
        <x:v>中-高</x:v>
      </x:c>
      <x:c r="Q223" s="27" t="str">
        <x:v>被识别、冲击低估、成交不足、市场反向</x:v>
      </x:c>
      <x:c r="R223" s="27" t="str">
        <x:v>用可成交队列回放评估arrival price和implementation shortfall</x:v>
      </x:c>
      <x:c r="S223" s="27" t="str">
        <x:v>Hawkes-driven LOB simulation</x:v>
      </x:c>
      <x:c r="T223" s="27" t="str">
        <x:v>https://arxiv.org/abs/2510.08085</x:v>
      </x:c>
      <x:c r="U223" s="27" t="str"/>
    </x:row>
    <x:row r="224" ht="54" customHeight="1">
      <x:c r="A224" s="27" t="str">
        <x:v>GT223</x:v>
      </x:c>
      <x:c r="B224" s="27" t="str">
        <x:v>博弈论/市场微结构</x:v>
      </x:c>
      <x:c r="C224" s="27" t="str">
        <x:v>最优执行/市场冲击博弈</x:v>
      </x:c>
      <x:c r="D224" s="27" t="str">
        <x:v>新兴</x:v>
      </x:c>
      <x:c r="E224" s="27" t="str">
        <x:v>生成式LOB压力测试执行</x:v>
      </x:c>
      <x:c r="F224" s="27" t="str">
        <x:v>generative LOB execution stress</x:v>
      </x:c>
      <x:c r="G224" s="27" t="str">
        <x:v>用生成式订单流评估执行算法的尾部成本</x:v>
      </x:c>
      <x:c r="H224" s="27" t="str">
        <x:v>股票/ETF/期货/FX/债券/加密/期权</x:v>
      </x:c>
      <x:c r="I224" s="27" t="str">
        <x:v>30秒-5分钟</x:v>
      </x:c>
      <x:c r="J224" s="27" t="str">
        <x:v>1-30秒切片/路由</x:v>
      </x:c>
      <x:c r="K224" s="27" t="str">
        <x:v>成交量曲线、深度、冲击模型、费用、延迟</x:v>
      </x:c>
      <x:c r="L224" s="27" t="str">
        <x:v>目标订单按流动性和风险预算分片执行</x:v>
      </x:c>
      <x:c r="M224" s="27" t="str">
        <x:v>达到目标数量、冲击超限、价格偏离或截止时间退出</x:v>
      </x:c>
      <x:c r="N224" s="27" t="str">
        <x:v>risk_aversion, impact_coef, participation, slice_size</x:v>
      </x:c>
      <x:c r="O224" s="27" t="str">
        <x:v>高</x:v>
      </x:c>
      <x:c r="P224" s="27" t="str">
        <x:v>中-高</x:v>
      </x:c>
      <x:c r="Q224" s="27" t="str">
        <x:v>被识别、冲击低估、成交不足、市场反向</x:v>
      </x:c>
      <x:c r="R224" s="27" t="str">
        <x:v>用可成交队列回放评估arrival price和implementation shortfall</x:v>
      </x:c>
      <x:c r="S224" s="27" t="str">
        <x:v>LOB-Bench generative AI benchmark for LOB data</x:v>
      </x:c>
      <x:c r="T224" s="27" t="str">
        <x:v>https://arxiv.org/abs/2502.09172</x:v>
      </x:c>
      <x:c r="U224" s="27" t="str"/>
    </x:row>
    <x:row r="225" ht="54" customHeight="1">
      <x:c r="A225" s="27" t="str">
        <x:v>GT224</x:v>
      </x:c>
      <x:c r="B225" s="27" t="str">
        <x:v>博弈论/市场微结构</x:v>
      </x:c>
      <x:c r="C225" s="27" t="str">
        <x:v>最优执行/市场冲击博弈</x:v>
      </x:c>
      <x:c r="D225" s="27" t="str">
        <x:v>新兴</x:v>
      </x:c>
      <x:c r="E225" s="27" t="str">
        <x:v>MEV/链上大单防护执行</x:v>
      </x:c>
      <x:c r="F225" s="27" t="str">
        <x:v>defensive on-chain execution</x:v>
      </x:c>
      <x:c r="G225" s="27" t="str">
        <x:v>随机化/私有路由降低被夹击和抢跑风险</x:v>
      </x:c>
      <x:c r="H225" s="27" t="str">
        <x:v>股票/ETF/期货/FX/债券/加密/期权</x:v>
      </x:c>
      <x:c r="I225" s="27" t="str">
        <x:v>30秒-5分钟</x:v>
      </x:c>
      <x:c r="J225" s="27" t="str">
        <x:v>1-30秒切片/路由</x:v>
      </x:c>
      <x:c r="K225" s="27" t="str">
        <x:v>成交量曲线、深度、冲击模型、费用、延迟</x:v>
      </x:c>
      <x:c r="L225" s="27" t="str">
        <x:v>目标订单按流动性和风险预算分片执行</x:v>
      </x:c>
      <x:c r="M225" s="27" t="str">
        <x:v>达到目标数量、冲击超限、价格偏离或截止时间退出</x:v>
      </x:c>
      <x:c r="N225" s="27" t="str">
        <x:v>risk_aversion, impact_coef, participation, slice_size</x:v>
      </x:c>
      <x:c r="O225" s="27" t="str">
        <x:v>高</x:v>
      </x:c>
      <x:c r="P225" s="27" t="str">
        <x:v>中-高</x:v>
      </x:c>
      <x:c r="Q225" s="27" t="str">
        <x:v>被识别、冲击低估、成交不足、市场反向</x:v>
      </x:c>
      <x:c r="R225" s="27" t="str">
        <x:v>用可成交队列回放评估arrival price和implementation shortfall</x:v>
      </x:c>
      <x:c r="S225" s="27" t="str">
        <x:v>arXiv q-fin.TR Trading and Market Microstructure</x:v>
      </x:c>
      <x:c r="T225" s="27" t="str">
        <x:v>https://arxiv.org/list/q-fin.TR/recent</x:v>
      </x:c>
      <x:c r="U225" s="27" t="str"/>
    </x:row>
    <x:row r="226" ht="54" customHeight="1">
      <x:c r="A226" s="27" t="str">
        <x:v>GT225</x:v>
      </x:c>
      <x:c r="B226" s="27" t="str">
        <x:v>博弈论/市场微结构</x:v>
      </x:c>
      <x:c r="C226" s="27" t="str">
        <x:v>最优执行/市场冲击博弈</x:v>
      </x:c>
      <x:c r="D226" s="27" t="str">
        <x:v>新兴</x:v>
      </x:c>
      <x:c r="E226" s="27" t="str">
        <x:v>交易所拥堵自适应执行</x:v>
      </x:c>
      <x:c r="F226" s="27" t="str">
        <x:v>exchange-congestion adaptive execution</x:v>
      </x:c>
      <x:c r="G226" s="27" t="str">
        <x:v>延迟和撮合拥堵改变挂单/吃单最优选择</x:v>
      </x:c>
      <x:c r="H226" s="27" t="str">
        <x:v>股票/ETF/期货/FX/债券/加密/期权</x:v>
      </x:c>
      <x:c r="I226" s="27" t="str">
        <x:v>30秒-5分钟</x:v>
      </x:c>
      <x:c r="J226" s="27" t="str">
        <x:v>1-30秒切片/路由</x:v>
      </x:c>
      <x:c r="K226" s="27" t="str">
        <x:v>成交量曲线、深度、冲击模型、费用、延迟</x:v>
      </x:c>
      <x:c r="L226" s="27" t="str">
        <x:v>目标订单按流动性和风险预算分片执行</x:v>
      </x:c>
      <x:c r="M226" s="27" t="str">
        <x:v>达到目标数量、冲击超限、价格偏离或截止时间退出</x:v>
      </x:c>
      <x:c r="N226" s="27" t="str">
        <x:v>risk_aversion, impact_coef, participation, slice_size</x:v>
      </x:c>
      <x:c r="O226" s="27" t="str">
        <x:v>高</x:v>
      </x:c>
      <x:c r="P226" s="27" t="str">
        <x:v>中-高</x:v>
      </x:c>
      <x:c r="Q226" s="27" t="str">
        <x:v>被识别、冲击低估、成交不足、市场反向</x:v>
      </x:c>
      <x:c r="R226" s="27" t="str">
        <x:v>用可成交队列回放评估arrival price和implementation shortfall</x:v>
      </x:c>
      <x:c r="S226" s="27" t="str">
        <x:v>arXiv q-fin.TR Trading and Market Microstructure</x:v>
      </x:c>
      <x:c r="T226" s="27" t="str">
        <x:v>https://arxiv.org/list/q-fin.TR/recent</x:v>
      </x:c>
      <x:c r="U226" s="27" t="str"/>
    </x:row>
    <x:row r="227" ht="54" customHeight="1">
      <x:c r="A227" s="27" t="str">
        <x:v>GT226</x:v>
      </x:c>
      <x:c r="B227" s="27" t="str">
        <x:v>博弈论/市场微结构</x:v>
      </x:c>
      <x:c r="C227" s="27" t="str">
        <x:v>逆选择/信息博弈</x:v>
      </x:c>
      <x:c r="D227" s="27" t="str">
        <x:v>经典</x:v>
      </x:c>
      <x:c r="E227" s="27" t="str">
        <x:v>Kyle lambda冲击跟随</x:v>
      </x:c>
      <x:c r="F227" s="27" t="str">
        <x:v>Kyle lambda impact following</x:v>
      </x:c>
      <x:c r="G227" s="27" t="str">
        <x:v>大单价格冲击反映信息，冲击后仍有调整</x:v>
      </x:c>
      <x:c r="H227" s="27" t="str">
        <x:v>股票/期货/FX/债券RFQ/加密</x:v>
      </x:c>
      <x:c r="I227" s="27" t="str">
        <x:v>5秒-5分钟</x:v>
      </x:c>
      <x:c r="J227" s="27" t="str">
        <x:v>1-10秒更新毒性分数</x:v>
      </x:c>
      <x:c r="K227" s="27" t="str">
        <x:v>成交方向、价格响应、LOB、新闻/链上数据</x:v>
      </x:c>
      <x:c r="L227" s="27" t="str">
        <x:v>毒性低时挂单/回归，毒性高时撤单或顺信息流</x:v>
      </x:c>
      <x:c r="M227" s="27" t="str">
        <x:v>毒性回落、价差恢复、成交后价格响应异常时退出</x:v>
      </x:c>
      <x:c r="N227" s="27" t="str">
        <x:v>lambda, toxicity_score, imbalance, response_horizon</x:v>
      </x:c>
      <x:c r="O227" s="27" t="str">
        <x:v>高</x:v>
      </x:c>
      <x:c r="P227" s="27" t="str">
        <x:v>高</x:v>
      </x:c>
      <x:c r="Q227" s="27" t="str">
        <x:v>把噪声误判为信息、样本选择偏差、监管风险</x:v>
      </x:c>
      <x:c r="R227" s="27" t="str">
        <x:v>按成交后价格响应和对手类型做标签评估</x:v>
      </x:c>
      <x:c r="S227" s="27" t="str">
        <x:v>Kyle 1985 Continuous Auctions and Insider Trading</x:v>
      </x:c>
      <x:c r="T227" s="27" t="str">
        <x:v>https://www.jstor.org/stable/1913210</x:v>
      </x:c>
      <x:c r="U227" s="27" t="str"/>
    </x:row>
    <x:row r="228" ht="54" customHeight="1">
      <x:c r="A228" s="27" t="str">
        <x:v>GT227</x:v>
      </x:c>
      <x:c r="B228" s="27" t="str">
        <x:v>博弈论/市场微结构</x:v>
      </x:c>
      <x:c r="C228" s="27" t="str">
        <x:v>逆选择/信息博弈</x:v>
      </x:c>
      <x:c r="D228" s="27" t="str">
        <x:v>经典</x:v>
      </x:c>
      <x:c r="E228" s="27" t="str">
        <x:v>Kyle lambda冲击反转</x:v>
      </x:c>
      <x:c r="F228" s="27" t="str">
        <x:v>Kyle lambda over-impact reversal</x:v>
      </x:c>
      <x:c r="G228" s="27" t="str">
        <x:v>若冲击高于估计lambda可部分回归</x:v>
      </x:c>
      <x:c r="H228" s="27" t="str">
        <x:v>股票/期货/FX/债券RFQ/加密</x:v>
      </x:c>
      <x:c r="I228" s="27" t="str">
        <x:v>5秒-5分钟</x:v>
      </x:c>
      <x:c r="J228" s="27" t="str">
        <x:v>1-10秒更新毒性分数</x:v>
      </x:c>
      <x:c r="K228" s="27" t="str">
        <x:v>成交方向、价格响应、LOB、新闻/链上数据</x:v>
      </x:c>
      <x:c r="L228" s="27" t="str">
        <x:v>毒性低时挂单/回归，毒性高时撤单或顺信息流</x:v>
      </x:c>
      <x:c r="M228" s="27" t="str">
        <x:v>毒性回落、价差恢复、成交后价格响应异常时退出</x:v>
      </x:c>
      <x:c r="N228" s="27" t="str">
        <x:v>lambda, toxicity_score, imbalance, response_horizon</x:v>
      </x:c>
      <x:c r="O228" s="27" t="str">
        <x:v>高</x:v>
      </x:c>
      <x:c r="P228" s="27" t="str">
        <x:v>高</x:v>
      </x:c>
      <x:c r="Q228" s="27" t="str">
        <x:v>把噪声误判为信息、样本选择偏差、监管风险</x:v>
      </x:c>
      <x:c r="R228" s="27" t="str">
        <x:v>按成交后价格响应和对手类型做标签评估</x:v>
      </x:c>
      <x:c r="S228" s="27" t="str">
        <x:v>Kyle 1985 Continuous Auctions and Insider Trading</x:v>
      </x:c>
      <x:c r="T228" s="27" t="str">
        <x:v>https://www.jstor.org/stable/1913210</x:v>
      </x:c>
      <x:c r="U228" s="27" t="str"/>
    </x:row>
    <x:row r="229" ht="54" customHeight="1">
      <x:c r="A229" s="27" t="str">
        <x:v>GT228</x:v>
      </x:c>
      <x:c r="B229" s="27" t="str">
        <x:v>博弈论/市场微结构</x:v>
      </x:c>
      <x:c r="C229" s="27" t="str">
        <x:v>逆选择/信息博弈</x:v>
      </x:c>
      <x:c r="D229" s="27" t="str">
        <x:v>经典</x:v>
      </x:c>
      <x:c r="E229" s="27" t="str">
        <x:v>Glosten-Milgrom毒性价差</x:v>
      </x:c>
      <x:c r="F229" s="27" t="str">
        <x:v>Glosten-Milgrom toxic spread</x:v>
      </x:c>
      <x:c r="G229" s="27" t="str">
        <x:v>信息型交易增加价差和逆选择风险</x:v>
      </x:c>
      <x:c r="H229" s="27" t="str">
        <x:v>股票/期货/FX/债券RFQ/加密</x:v>
      </x:c>
      <x:c r="I229" s="27" t="str">
        <x:v>5秒-5分钟</x:v>
      </x:c>
      <x:c r="J229" s="27" t="str">
        <x:v>1-10秒更新毒性分数</x:v>
      </x:c>
      <x:c r="K229" s="27" t="str">
        <x:v>成交方向、价格响应、LOB、新闻/链上数据</x:v>
      </x:c>
      <x:c r="L229" s="27" t="str">
        <x:v>毒性低时挂单/回归，毒性高时撤单或顺信息流</x:v>
      </x:c>
      <x:c r="M229" s="27" t="str">
        <x:v>毒性回落、价差恢复、成交后价格响应异常时退出</x:v>
      </x:c>
      <x:c r="N229" s="27" t="str">
        <x:v>lambda, toxicity_score, imbalance, response_horizon</x:v>
      </x:c>
      <x:c r="O229" s="27" t="str">
        <x:v>高</x:v>
      </x:c>
      <x:c r="P229" s="27" t="str">
        <x:v>高</x:v>
      </x:c>
      <x:c r="Q229" s="27" t="str">
        <x:v>把噪声误判为信息、样本选择偏差、监管风险</x:v>
      </x:c>
      <x:c r="R229" s="27" t="str">
        <x:v>按成交后价格响应和对手类型做标签评估</x:v>
      </x:c>
      <x:c r="S229" s="27" t="str">
        <x:v>Glosten-Milgrom adverse selection spread model</x:v>
      </x:c>
      <x:c r="T229" s="27" t="str">
        <x:v>https://www.sciencedirect.com/science/article/pii/0304405X85900443</x:v>
      </x:c>
      <x:c r="U229" s="27" t="str"/>
    </x:row>
    <x:row r="230" ht="54" customHeight="1">
      <x:c r="A230" s="27" t="str">
        <x:v>GT229</x:v>
      </x:c>
      <x:c r="B230" s="27" t="str">
        <x:v>博弈论/市场微结构</x:v>
      </x:c>
      <x:c r="C230" s="27" t="str">
        <x:v>逆选择/信息博弈</x:v>
      </x:c>
      <x:c r="D230" s="27" t="str">
        <x:v>经典</x:v>
      </x:c>
      <x:c r="E230" s="27" t="str">
        <x:v>VPIN订单流毒性过滤</x:v>
      </x:c>
      <x:c r="F230" s="27" t="str">
        <x:v>VPIN toxicity filter</x:v>
      </x:c>
      <x:c r="G230" s="27" t="str">
        <x:v>成交量桶不平衡可提示毒性订单流</x:v>
      </x:c>
      <x:c r="H230" s="27" t="str">
        <x:v>股票/期货/FX/债券RFQ/加密</x:v>
      </x:c>
      <x:c r="I230" s="27" t="str">
        <x:v>5秒-5分钟</x:v>
      </x:c>
      <x:c r="J230" s="27" t="str">
        <x:v>1-10秒更新毒性分数</x:v>
      </x:c>
      <x:c r="K230" s="27" t="str">
        <x:v>成交方向、价格响应、LOB、新闻/链上数据</x:v>
      </x:c>
      <x:c r="L230" s="27" t="str">
        <x:v>毒性低时挂单/回归，毒性高时撤单或顺信息流</x:v>
      </x:c>
      <x:c r="M230" s="27" t="str">
        <x:v>毒性回落、价差恢复、成交后价格响应异常时退出</x:v>
      </x:c>
      <x:c r="N230" s="27" t="str">
        <x:v>lambda, toxicity_score, imbalance, response_horizon</x:v>
      </x:c>
      <x:c r="O230" s="27" t="str">
        <x:v>高</x:v>
      </x:c>
      <x:c r="P230" s="27" t="str">
        <x:v>高</x:v>
      </x:c>
      <x:c r="Q230" s="27" t="str">
        <x:v>把噪声误判为信息、样本选择偏差、监管风险</x:v>
      </x:c>
      <x:c r="R230" s="27" t="str">
        <x:v>按成交后价格响应和对手类型做标签评估</x:v>
      </x:c>
      <x:c r="S230" s="27" t="str">
        <x:v>Glosten-Milgrom adverse selection spread model</x:v>
      </x:c>
      <x:c r="T230" s="27" t="str">
        <x:v>https://www.sciencedirect.com/science/article/pii/0304405X85900443</x:v>
      </x:c>
      <x:c r="U230" s="27" t="str"/>
    </x:row>
    <x:row r="231" ht="54" customHeight="1">
      <x:c r="A231" s="27" t="str">
        <x:v>GT230</x:v>
      </x:c>
      <x:c r="B231" s="27" t="str">
        <x:v>博弈论/市场微结构</x:v>
      </x:c>
      <x:c r="C231" s="27" t="str">
        <x:v>逆选择/信息博弈</x:v>
      </x:c>
      <x:c r="D231" s="27" t="str">
        <x:v>经典</x:v>
      </x:c>
      <x:c r="E231" s="27" t="str">
        <x:v>PIN概率门控</x:v>
      </x:c>
      <x:c r="F231" s="27" t="str">
        <x:v>PIN-informed gate</x:v>
      </x:c>
      <x:c r="G231" s="27" t="str">
        <x:v>信息交易概率上升时降低被动挂单</x:v>
      </x:c>
      <x:c r="H231" s="27" t="str">
        <x:v>股票/期货/FX/债券RFQ/加密</x:v>
      </x:c>
      <x:c r="I231" s="27" t="str">
        <x:v>5秒-5分钟</x:v>
      </x:c>
      <x:c r="J231" s="27" t="str">
        <x:v>1-10秒更新毒性分数</x:v>
      </x:c>
      <x:c r="K231" s="27" t="str">
        <x:v>成交方向、价格响应、LOB、新闻/链上数据</x:v>
      </x:c>
      <x:c r="L231" s="27" t="str">
        <x:v>毒性低时挂单/回归，毒性高时撤单或顺信息流</x:v>
      </x:c>
      <x:c r="M231" s="27" t="str">
        <x:v>毒性回落、价差恢复、成交后价格响应异常时退出</x:v>
      </x:c>
      <x:c r="N231" s="27" t="str">
        <x:v>lambda, toxicity_score, imbalance, response_horizon</x:v>
      </x:c>
      <x:c r="O231" s="27" t="str">
        <x:v>高</x:v>
      </x:c>
      <x:c r="P231" s="27" t="str">
        <x:v>高</x:v>
      </x:c>
      <x:c r="Q231" s="27" t="str">
        <x:v>把噪声误判为信息、样本选择偏差、监管风险</x:v>
      </x:c>
      <x:c r="R231" s="27" t="str">
        <x:v>按成交后价格响应和对手类型做标签评估</x:v>
      </x:c>
      <x:c r="S231" s="27" t="str">
        <x:v>Glosten-Milgrom adverse selection spread model</x:v>
      </x:c>
      <x:c r="T231" s="27" t="str">
        <x:v>https://www.sciencedirect.com/science/article/pii/0304405X85900443</x:v>
      </x:c>
      <x:c r="U231" s="27" t="str"/>
    </x:row>
    <x:row r="232" ht="54" customHeight="1">
      <x:c r="A232" s="27" t="str">
        <x:v>GT231</x:v>
      </x:c>
      <x:c r="B232" s="27" t="str">
        <x:v>博弈论/市场微结构</x:v>
      </x:c>
      <x:c r="C232" s="27" t="str">
        <x:v>逆选择/信息博弈</x:v>
      </x:c>
      <x:c r="D232" s="27" t="str">
        <x:v>经典</x:v>
      </x:c>
      <x:c r="E232" s="27" t="str">
        <x:v>知情交易者冲击识别</x:v>
      </x:c>
      <x:c r="F232" s="27" t="str">
        <x:v>informed-trader impact detection</x:v>
      </x:c>
      <x:c r="G232" s="27" t="str">
        <x:v>连续主动单且价格永久移动提示信息优势</x:v>
      </x:c>
      <x:c r="H232" s="27" t="str">
        <x:v>股票/期货/FX/债券RFQ/加密</x:v>
      </x:c>
      <x:c r="I232" s="27" t="str">
        <x:v>5秒-5分钟</x:v>
      </x:c>
      <x:c r="J232" s="27" t="str">
        <x:v>1-10秒更新毒性分数</x:v>
      </x:c>
      <x:c r="K232" s="27" t="str">
        <x:v>成交方向、价格响应、LOB、新闻/链上数据</x:v>
      </x:c>
      <x:c r="L232" s="27" t="str">
        <x:v>毒性低时挂单/回归，毒性高时撤单或顺信息流</x:v>
      </x:c>
      <x:c r="M232" s="27" t="str">
        <x:v>毒性回落、价差恢复、成交后价格响应异常时退出</x:v>
      </x:c>
      <x:c r="N232" s="27" t="str">
        <x:v>lambda, toxicity_score, imbalance, response_horizon</x:v>
      </x:c>
      <x:c r="O232" s="27" t="str">
        <x:v>高</x:v>
      </x:c>
      <x:c r="P232" s="27" t="str">
        <x:v>高</x:v>
      </x:c>
      <x:c r="Q232" s="27" t="str">
        <x:v>把噪声误判为信息、样本选择偏差、监管风险</x:v>
      </x:c>
      <x:c r="R232" s="27" t="str">
        <x:v>按成交后价格响应和对手类型做标签评估</x:v>
      </x:c>
      <x:c r="S232" s="27" t="str">
        <x:v>Kyle 1985 Continuous Auctions and Insider Trading</x:v>
      </x:c>
      <x:c r="T232" s="27" t="str">
        <x:v>https://www.jstor.org/stable/1913210</x:v>
      </x:c>
      <x:c r="U232" s="27" t="str"/>
    </x:row>
    <x:row r="233" ht="54" customHeight="1">
      <x:c r="A233" s="27" t="str">
        <x:v>GT232</x:v>
      </x:c>
      <x:c r="B233" s="27" t="str">
        <x:v>博弈论/市场微结构</x:v>
      </x:c>
      <x:c r="C233" s="27" t="str">
        <x:v>逆选择/信息博弈</x:v>
      </x:c>
      <x:c r="D233" s="27" t="str">
        <x:v>经典</x:v>
      </x:c>
      <x:c r="E233" s="27" t="str">
        <x:v>噪声交易恢复做市</x:v>
      </x:c>
      <x:c r="F233" s="27" t="str">
        <x:v>noise-flow recovery MM</x:v>
      </x:c>
      <x:c r="G233" s="27" t="str">
        <x:v>确认是噪声冲击后恢复报价捕获价差</x:v>
      </x:c>
      <x:c r="H233" s="27" t="str">
        <x:v>股票/期货/FX/债券RFQ/加密</x:v>
      </x:c>
      <x:c r="I233" s="27" t="str">
        <x:v>5秒-5分钟</x:v>
      </x:c>
      <x:c r="J233" s="27" t="str">
        <x:v>1-10秒更新毒性分数</x:v>
      </x:c>
      <x:c r="K233" s="27" t="str">
        <x:v>成交方向、价格响应、LOB、新闻/链上数据</x:v>
      </x:c>
      <x:c r="L233" s="27" t="str">
        <x:v>毒性低时挂单/回归，毒性高时撤单或顺信息流</x:v>
      </x:c>
      <x:c r="M233" s="27" t="str">
        <x:v>毒性回落、价差恢复、成交后价格响应异常时退出</x:v>
      </x:c>
      <x:c r="N233" s="27" t="str">
        <x:v>lambda, toxicity_score, imbalance, response_horizon</x:v>
      </x:c>
      <x:c r="O233" s="27" t="str">
        <x:v>高</x:v>
      </x:c>
      <x:c r="P233" s="27" t="str">
        <x:v>高</x:v>
      </x:c>
      <x:c r="Q233" s="27" t="str">
        <x:v>把噪声误判为信息、样本选择偏差、监管风险</x:v>
      </x:c>
      <x:c r="R233" s="27" t="str">
        <x:v>按成交后价格响应和对手类型做标签评估</x:v>
      </x:c>
      <x:c r="S233" s="27" t="str">
        <x:v>Kyle 1985 Continuous Auctions and Insider Trading</x:v>
      </x:c>
      <x:c r="T233" s="27" t="str">
        <x:v>https://www.jstor.org/stable/1913210</x:v>
      </x:c>
      <x:c r="U233" s="27" t="str"/>
    </x:row>
    <x:row r="234" ht="54" customHeight="1">
      <x:c r="A234" s="27" t="str">
        <x:v>GT233</x:v>
      </x:c>
      <x:c r="B234" s="27" t="str">
        <x:v>博弈论/市场微结构</x:v>
      </x:c>
      <x:c r="C234" s="27" t="str">
        <x:v>逆选择/信息博弈</x:v>
      </x:c>
      <x:c r="D234" s="27" t="str">
        <x:v>经典</x:v>
      </x:c>
      <x:c r="E234" s="27" t="str">
        <x:v>撤单毒性识别</x:v>
      </x:c>
      <x:c r="F234" s="27" t="str">
        <x:v>cancellation toxicity detection</x:v>
      </x:c>
      <x:c r="G234" s="27" t="str">
        <x:v>大量撤单可能暗示知情者逃离一侧盘口</x:v>
      </x:c>
      <x:c r="H234" s="27" t="str">
        <x:v>股票/期货/FX/债券RFQ/加密</x:v>
      </x:c>
      <x:c r="I234" s="27" t="str">
        <x:v>5秒-5分钟</x:v>
      </x:c>
      <x:c r="J234" s="27" t="str">
        <x:v>1-10秒更新毒性分数</x:v>
      </x:c>
      <x:c r="K234" s="27" t="str">
        <x:v>成交方向、价格响应、LOB、新闻/链上数据</x:v>
      </x:c>
      <x:c r="L234" s="27" t="str">
        <x:v>毒性低时挂单/回归，毒性高时撤单或顺信息流</x:v>
      </x:c>
      <x:c r="M234" s="27" t="str">
        <x:v>毒性回落、价差恢复、成交后价格响应异常时退出</x:v>
      </x:c>
      <x:c r="N234" s="27" t="str">
        <x:v>lambda, toxicity_score, imbalance, response_horizon</x:v>
      </x:c>
      <x:c r="O234" s="27" t="str">
        <x:v>高</x:v>
      </x:c>
      <x:c r="P234" s="27" t="str">
        <x:v>高</x:v>
      </x:c>
      <x:c r="Q234" s="27" t="str">
        <x:v>把噪声误判为信息、样本选择偏差、监管风险</x:v>
      </x:c>
      <x:c r="R234" s="27" t="str">
        <x:v>按成交后价格响应和对手类型做标签评估</x:v>
      </x:c>
      <x:c r="S234" s="27" t="str">
        <x:v>LOBSTER limit order book data</x:v>
      </x:c>
      <x:c r="T234" s="27" t="str">
        <x:v>https://data.lobsterdata.com/index.php</x:v>
      </x:c>
      <x:c r="U234" s="27" t="str"/>
    </x:row>
    <x:row r="235" ht="54" customHeight="1">
      <x:c r="A235" s="27" t="str">
        <x:v>GT234</x:v>
      </x:c>
      <x:c r="B235" s="27" t="str">
        <x:v>博弈论/市场微结构</x:v>
      </x:c>
      <x:c r="C235" s="27" t="str">
        <x:v>逆选择/信息博弈</x:v>
      </x:c>
      <x:c r="D235" s="27" t="str">
        <x:v>经典</x:v>
      </x:c>
      <x:c r="E235" s="27" t="str">
        <x:v>大单分拆识别</x:v>
      </x:c>
      <x:c r="F235" s="27" t="str">
        <x:v>metaorder detection</x:v>
      </x:c>
      <x:c r="G235" s="27" t="str">
        <x:v>持续同向小单可能来自大单执行</x:v>
      </x:c>
      <x:c r="H235" s="27" t="str">
        <x:v>股票/期货/FX/债券RFQ/加密</x:v>
      </x:c>
      <x:c r="I235" s="27" t="str">
        <x:v>5秒-5分钟</x:v>
      </x:c>
      <x:c r="J235" s="27" t="str">
        <x:v>1-10秒更新毒性分数</x:v>
      </x:c>
      <x:c r="K235" s="27" t="str">
        <x:v>成交方向、价格响应、LOB、新闻/链上数据</x:v>
      </x:c>
      <x:c r="L235" s="27" t="str">
        <x:v>毒性低时挂单/回归，毒性高时撤单或顺信息流</x:v>
      </x:c>
      <x:c r="M235" s="27" t="str">
        <x:v>毒性回落、价差恢复、成交后价格响应异常时退出</x:v>
      </x:c>
      <x:c r="N235" s="27" t="str">
        <x:v>lambda, toxicity_score, imbalance, response_horizon</x:v>
      </x:c>
      <x:c r="O235" s="27" t="str">
        <x:v>高</x:v>
      </x:c>
      <x:c r="P235" s="27" t="str">
        <x:v>高</x:v>
      </x:c>
      <x:c r="Q235" s="27" t="str">
        <x:v>把噪声误判为信息、样本选择偏差、监管风险</x:v>
      </x:c>
      <x:c r="R235" s="27" t="str">
        <x:v>按成交后价格响应和对手类型做标签评估</x:v>
      </x:c>
      <x:c r="S235" s="27" t="str">
        <x:v>arXiv q-fin.TR Trading and Market Microstructure</x:v>
      </x:c>
      <x:c r="T235" s="27" t="str">
        <x:v>https://arxiv.org/list/q-fin.TR/recent</x:v>
      </x:c>
      <x:c r="U235" s="27" t="str"/>
    </x:row>
    <x:row r="236" ht="54" customHeight="1">
      <x:c r="A236" s="27" t="str">
        <x:v>GT235</x:v>
      </x:c>
      <x:c r="B236" s="27" t="str">
        <x:v>博弈论/市场微结构</x:v>
      </x:c>
      <x:c r="C236" s="27" t="str">
        <x:v>逆选择/信息博弈</x:v>
      </x:c>
      <x:c r="D236" s="27" t="str">
        <x:v>经典</x:v>
      </x:c>
      <x:c r="E236" s="27" t="str">
        <x:v>隐藏流动性推断</x:v>
      </x:c>
      <x:c r="F236" s="27" t="str">
        <x:v>hidden liquidity inference</x:v>
      </x:c>
      <x:c r="G236" s="27" t="str">
        <x:v>成交超出显示深度提示隐藏流动性</x:v>
      </x:c>
      <x:c r="H236" s="27" t="str">
        <x:v>股票/期货/FX/债券RFQ/加密</x:v>
      </x:c>
      <x:c r="I236" s="27" t="str">
        <x:v>5秒-5分钟</x:v>
      </x:c>
      <x:c r="J236" s="27" t="str">
        <x:v>1-10秒更新毒性分数</x:v>
      </x:c>
      <x:c r="K236" s="27" t="str">
        <x:v>成交方向、价格响应、LOB、新闻/链上数据</x:v>
      </x:c>
      <x:c r="L236" s="27" t="str">
        <x:v>毒性低时挂单/回归，毒性高时撤单或顺信息流</x:v>
      </x:c>
      <x:c r="M236" s="27" t="str">
        <x:v>毒性回落、价差恢复、成交后价格响应异常时退出</x:v>
      </x:c>
      <x:c r="N236" s="27" t="str">
        <x:v>lambda, toxicity_score, imbalance, response_horizon</x:v>
      </x:c>
      <x:c r="O236" s="27" t="str">
        <x:v>高</x:v>
      </x:c>
      <x:c r="P236" s="27" t="str">
        <x:v>高</x:v>
      </x:c>
      <x:c r="Q236" s="27" t="str">
        <x:v>把噪声误判为信息、样本选择偏差、监管风险</x:v>
      </x:c>
      <x:c r="R236" s="27" t="str">
        <x:v>按成交后价格响应和对手类型做标签评估</x:v>
      </x:c>
      <x:c r="S236" s="27" t="str">
        <x:v>LOBSTER limit order book data</x:v>
      </x:c>
      <x:c r="T236" s="27" t="str">
        <x:v>https://data.lobsterdata.com/index.php</x:v>
      </x:c>
      <x:c r="U236" s="27" t="str"/>
    </x:row>
    <x:row r="237" ht="54" customHeight="1">
      <x:c r="A237" s="27" t="str">
        <x:v>GT236</x:v>
      </x:c>
      <x:c r="B237" s="27" t="str">
        <x:v>博弈论/市场微结构</x:v>
      </x:c>
      <x:c r="C237" s="27" t="str">
        <x:v>逆选择/信息博弈</x:v>
      </x:c>
      <x:c r="D237" s="27" t="str">
        <x:v>经典</x:v>
      </x:c>
      <x:c r="E237" s="27" t="str">
        <x:v>成交后永久冲击估计</x:v>
      </x:c>
      <x:c r="F237" s="27" t="str">
        <x:v>post-trade permanent impact</x:v>
      </x:c>
      <x:c r="G237" s="27" t="str">
        <x:v>成交后价格响应区分信息冲击与临时冲击</x:v>
      </x:c>
      <x:c r="H237" s="27" t="str">
        <x:v>股票/期货/FX/债券RFQ/加密</x:v>
      </x:c>
      <x:c r="I237" s="27" t="str">
        <x:v>5秒-5分钟</x:v>
      </x:c>
      <x:c r="J237" s="27" t="str">
        <x:v>1-10秒更新毒性分数</x:v>
      </x:c>
      <x:c r="K237" s="27" t="str">
        <x:v>成交方向、价格响应、LOB、新闻/链上数据</x:v>
      </x:c>
      <x:c r="L237" s="27" t="str">
        <x:v>毒性低时挂单/回归，毒性高时撤单或顺信息流</x:v>
      </x:c>
      <x:c r="M237" s="27" t="str">
        <x:v>毒性回落、价差恢复、成交后价格响应异常时退出</x:v>
      </x:c>
      <x:c r="N237" s="27" t="str">
        <x:v>lambda, toxicity_score, imbalance, response_horizon</x:v>
      </x:c>
      <x:c r="O237" s="27" t="str">
        <x:v>高</x:v>
      </x:c>
      <x:c r="P237" s="27" t="str">
        <x:v>高</x:v>
      </x:c>
      <x:c r="Q237" s="27" t="str">
        <x:v>把噪声误判为信息、样本选择偏差、监管风险</x:v>
      </x:c>
      <x:c r="R237" s="27" t="str">
        <x:v>按成交后价格响应和对手类型做标签评估</x:v>
      </x:c>
      <x:c r="S237" s="27" t="str">
        <x:v>Kyle 1985 Continuous Auctions and Insider Trading</x:v>
      </x:c>
      <x:c r="T237" s="27" t="str">
        <x:v>https://www.jstor.org/stable/1913210</x:v>
      </x:c>
      <x:c r="U237" s="27" t="str"/>
    </x:row>
    <x:row r="238" ht="54" customHeight="1">
      <x:c r="A238" s="27" t="str">
        <x:v>GT237</x:v>
      </x:c>
      <x:c r="B238" s="27" t="str">
        <x:v>博弈论/市场微结构</x:v>
      </x:c>
      <x:c r="C238" s="27" t="str">
        <x:v>逆选择/信息博弈</x:v>
      </x:c>
      <x:c r="D238" s="27" t="str">
        <x:v>经典</x:v>
      </x:c>
      <x:c r="E238" s="27" t="str">
        <x:v>短线毒性关闭开关</x:v>
      </x:c>
      <x:c r="F238" s="27" t="str">
        <x:v>toxicity kill-switch</x:v>
      </x:c>
      <x:c r="G238" s="27" t="str">
        <x:v>毒性分数超过阈值时暂停挂单</x:v>
      </x:c>
      <x:c r="H238" s="27" t="str">
        <x:v>股票/期货/FX/债券RFQ/加密</x:v>
      </x:c>
      <x:c r="I238" s="27" t="str">
        <x:v>5秒-5分钟</x:v>
      </x:c>
      <x:c r="J238" s="27" t="str">
        <x:v>1-10秒更新毒性分数</x:v>
      </x:c>
      <x:c r="K238" s="27" t="str">
        <x:v>成交方向、价格响应、LOB、新闻/链上数据</x:v>
      </x:c>
      <x:c r="L238" s="27" t="str">
        <x:v>毒性低时挂单/回归，毒性高时撤单或顺信息流</x:v>
      </x:c>
      <x:c r="M238" s="27" t="str">
        <x:v>毒性回落、价差恢复、成交后价格响应异常时退出</x:v>
      </x:c>
      <x:c r="N238" s="27" t="str">
        <x:v>lambda, toxicity_score, imbalance, response_horizon</x:v>
      </x:c>
      <x:c r="O238" s="27" t="str">
        <x:v>高</x:v>
      </x:c>
      <x:c r="P238" s="27" t="str">
        <x:v>高</x:v>
      </x:c>
      <x:c r="Q238" s="27" t="str">
        <x:v>把噪声误判为信息、样本选择偏差、监管风险</x:v>
      </x:c>
      <x:c r="R238" s="27" t="str">
        <x:v>按成交后价格响应和对手类型做标签评估</x:v>
      </x:c>
      <x:c r="S238" s="27" t="str">
        <x:v>Glosten-Milgrom adverse selection spread model</x:v>
      </x:c>
      <x:c r="T238" s="27" t="str">
        <x:v>https://www.sciencedirect.com/science/article/pii/0304405X85900443</x:v>
      </x:c>
      <x:c r="U238" s="27" t="str"/>
    </x:row>
    <x:row r="239" ht="54" customHeight="1">
      <x:c r="A239" s="27" t="str">
        <x:v>GT238</x:v>
      </x:c>
      <x:c r="B239" s="27" t="str">
        <x:v>博弈论/市场微结构</x:v>
      </x:c>
      <x:c r="C239" s="27" t="str">
        <x:v>逆选择/信息博弈</x:v>
      </x:c>
      <x:c r="D239" s="27" t="str">
        <x:v>经典</x:v>
      </x:c>
      <x:c r="E239" s="27" t="str">
        <x:v>基于新闻的毒性分层</x:v>
      </x:c>
      <x:c r="F239" s="27" t="str">
        <x:v>news-informed toxicity layer</x:v>
      </x:c>
      <x:c r="G239" s="27" t="str">
        <x:v>新闻状态下主动流更可能有信息</x:v>
      </x:c>
      <x:c r="H239" s="27" t="str">
        <x:v>股票/期货/FX/债券RFQ/加密</x:v>
      </x:c>
      <x:c r="I239" s="27" t="str">
        <x:v>5秒-5分钟</x:v>
      </x:c>
      <x:c r="J239" s="27" t="str">
        <x:v>1-10秒更新毒性分数</x:v>
      </x:c>
      <x:c r="K239" s="27" t="str">
        <x:v>成交方向、价格响应、LOB、新闻/链上数据</x:v>
      </x:c>
      <x:c r="L239" s="27" t="str">
        <x:v>毒性低时挂单/回归，毒性高时撤单或顺信息流</x:v>
      </x:c>
      <x:c r="M239" s="27" t="str">
        <x:v>毒性回落、价差恢复、成交后价格响应异常时退出</x:v>
      </x:c>
      <x:c r="N239" s="27" t="str">
        <x:v>lambda, toxicity_score, imbalance, response_horizon</x:v>
      </x:c>
      <x:c r="O239" s="27" t="str">
        <x:v>高</x:v>
      </x:c>
      <x:c r="P239" s="27" t="str">
        <x:v>高</x:v>
      </x:c>
      <x:c r="Q239" s="27" t="str">
        <x:v>把噪声误判为信息、样本选择偏差、监管风险</x:v>
      </x:c>
      <x:c r="R239" s="27" t="str">
        <x:v>按成交后价格响应和对手类型做标签评估</x:v>
      </x:c>
      <x:c r="S239" s="27" t="str">
        <x:v>arXiv q-fin.TR Trading and Market Microstructure</x:v>
      </x:c>
      <x:c r="T239" s="27" t="str">
        <x:v>https://arxiv.org/list/q-fin.TR/recent</x:v>
      </x:c>
      <x:c r="U239" s="27" t="str"/>
    </x:row>
    <x:row r="240" ht="54" customHeight="1">
      <x:c r="A240" s="27" t="str">
        <x:v>GT239</x:v>
      </x:c>
      <x:c r="B240" s="27" t="str">
        <x:v>博弈论/市场微结构</x:v>
      </x:c>
      <x:c r="C240" s="27" t="str">
        <x:v>逆选择/信息博弈</x:v>
      </x:c>
      <x:c r="D240" s="27" t="str">
        <x:v>经典</x:v>
      </x:c>
      <x:c r="E240" s="27" t="str">
        <x:v>做市商学习对手类型</x:v>
      </x:c>
      <x:c r="F240" s="27" t="str">
        <x:v>counterparty-type learning</x:v>
      </x:c>
      <x:c r="G240" s="27" t="str">
        <x:v>根据成交后的价格移动识别对手方类型</x:v>
      </x:c>
      <x:c r="H240" s="27" t="str">
        <x:v>股票/期货/FX/债券RFQ/加密</x:v>
      </x:c>
      <x:c r="I240" s="27" t="str">
        <x:v>5秒-5分钟</x:v>
      </x:c>
      <x:c r="J240" s="27" t="str">
        <x:v>1-10秒更新毒性分数</x:v>
      </x:c>
      <x:c r="K240" s="27" t="str">
        <x:v>成交方向、价格响应、LOB、新闻/链上数据</x:v>
      </x:c>
      <x:c r="L240" s="27" t="str">
        <x:v>毒性低时挂单/回归，毒性高时撤单或顺信息流</x:v>
      </x:c>
      <x:c r="M240" s="27" t="str">
        <x:v>毒性回落、价差恢复、成交后价格响应异常时退出</x:v>
      </x:c>
      <x:c r="N240" s="27" t="str">
        <x:v>lambda, toxicity_score, imbalance, response_horizon</x:v>
      </x:c>
      <x:c r="O240" s="27" t="str">
        <x:v>高</x:v>
      </x:c>
      <x:c r="P240" s="27" t="str">
        <x:v>高</x:v>
      </x:c>
      <x:c r="Q240" s="27" t="str">
        <x:v>把噪声误判为信息、样本选择偏差、监管风险</x:v>
      </x:c>
      <x:c r="R240" s="27" t="str">
        <x:v>按成交后价格响应和对手类型做标签评估</x:v>
      </x:c>
      <x:c r="S240" s="27" t="str">
        <x:v>Glosten-Milgrom adverse selection spread model</x:v>
      </x:c>
      <x:c r="T240" s="27" t="str">
        <x:v>https://www.sciencedirect.com/science/article/pii/0304405X85900443</x:v>
      </x:c>
      <x:c r="U240" s="27" t="str"/>
    </x:row>
    <x:row r="241" ht="54" customHeight="1">
      <x:c r="A241" s="27" t="str">
        <x:v>GT240</x:v>
      </x:c>
      <x:c r="B241" s="27" t="str">
        <x:v>博弈论/市场微结构</x:v>
      </x:c>
      <x:c r="C241" s="27" t="str">
        <x:v>逆选择/信息博弈</x:v>
      </x:c>
      <x:c r="D241" s="27" t="str">
        <x:v>新兴</x:v>
      </x:c>
      <x:c r="E241" s="27" t="str">
        <x:v>链上钱包流毒性</x:v>
      </x:c>
      <x:c r="F241" s="27" t="str">
        <x:v>on-chain wallet-flow toxicity</x:v>
      </x:c>
      <x:c r="G241" s="27" t="str">
        <x:v>大户链上流入交易所可能预示卖压</x:v>
      </x:c>
      <x:c r="H241" s="27" t="str">
        <x:v>股票/期货/FX/债券RFQ/加密</x:v>
      </x:c>
      <x:c r="I241" s="27" t="str">
        <x:v>5秒-5分钟</x:v>
      </x:c>
      <x:c r="J241" s="27" t="str">
        <x:v>1-10秒更新毒性分数</x:v>
      </x:c>
      <x:c r="K241" s="27" t="str">
        <x:v>成交方向、价格响应、LOB、新闻/链上数据</x:v>
      </x:c>
      <x:c r="L241" s="27" t="str">
        <x:v>毒性低时挂单/回归，毒性高时撤单或顺信息流</x:v>
      </x:c>
      <x:c r="M241" s="27" t="str">
        <x:v>毒性回落、价差恢复、成交后价格响应异常时退出</x:v>
      </x:c>
      <x:c r="N241" s="27" t="str">
        <x:v>lambda, toxicity_score, imbalance, response_horizon</x:v>
      </x:c>
      <x:c r="O241" s="27" t="str">
        <x:v>高</x:v>
      </x:c>
      <x:c r="P241" s="27" t="str">
        <x:v>高</x:v>
      </x:c>
      <x:c r="Q241" s="27" t="str">
        <x:v>把噪声误判为信息、样本选择偏差、监管风险</x:v>
      </x:c>
      <x:c r="R241" s="27" t="str">
        <x:v>按成交后价格响应和对手类型做标签评估</x:v>
      </x:c>
      <x:c r="S241" s="27" t="str">
        <x:v>arXiv q-fin.TR Trading and Market Microstructure</x:v>
      </x:c>
      <x:c r="T241" s="27" t="str">
        <x:v>https://arxiv.org/list/q-fin.TR/recent</x:v>
      </x:c>
      <x:c r="U241" s="27" t="str"/>
    </x:row>
    <x:row r="242" ht="54" customHeight="1">
      <x:c r="A242" s="27" t="str">
        <x:v>GT241</x:v>
      </x:c>
      <x:c r="B242" s="27" t="str">
        <x:v>博弈论/市场微结构</x:v>
      </x:c>
      <x:c r="C242" s="27" t="str">
        <x:v>逆选择/信息博弈</x:v>
      </x:c>
      <x:c r="D242" s="27" t="str">
        <x:v>新兴</x:v>
      </x:c>
      <x:c r="E242" s="27" t="str">
        <x:v>多场所信息泄露监测</x:v>
      </x:c>
      <x:c r="F242" s="27" t="str">
        <x:v>cross-venue leakage monitor</x:v>
      </x:c>
      <x:c r="G242" s="27" t="str">
        <x:v>一个场所的异常主动流可能领先其他场所</x:v>
      </x:c>
      <x:c r="H242" s="27" t="str">
        <x:v>股票/期货/FX/债券RFQ/加密</x:v>
      </x:c>
      <x:c r="I242" s="27" t="str">
        <x:v>5秒-5分钟</x:v>
      </x:c>
      <x:c r="J242" s="27" t="str">
        <x:v>1-10秒更新毒性分数</x:v>
      </x:c>
      <x:c r="K242" s="27" t="str">
        <x:v>成交方向、价格响应、LOB、新闻/链上数据</x:v>
      </x:c>
      <x:c r="L242" s="27" t="str">
        <x:v>毒性低时挂单/回归，毒性高时撤单或顺信息流</x:v>
      </x:c>
      <x:c r="M242" s="27" t="str">
        <x:v>毒性回落、价差恢复、成交后价格响应异常时退出</x:v>
      </x:c>
      <x:c r="N242" s="27" t="str">
        <x:v>lambda, toxicity_score, imbalance, response_horizon</x:v>
      </x:c>
      <x:c r="O242" s="27" t="str">
        <x:v>高</x:v>
      </x:c>
      <x:c r="P242" s="27" t="str">
        <x:v>高</x:v>
      </x:c>
      <x:c r="Q242" s="27" t="str">
        <x:v>把噪声误判为信息、样本选择偏差、监管风险</x:v>
      </x:c>
      <x:c r="R242" s="27" t="str">
        <x:v>按成交后价格响应和对手类型做标签评估</x:v>
      </x:c>
      <x:c r="S242" s="27" t="str">
        <x:v>arXiv q-fin.TR Trading and Market Microstructure</x:v>
      </x:c>
      <x:c r="T242" s="27" t="str">
        <x:v>https://arxiv.org/list/q-fin.TR/recent</x:v>
      </x:c>
      <x:c r="U242" s="27" t="str"/>
    </x:row>
    <x:row r="243" ht="54" customHeight="1">
      <x:c r="A243" s="27" t="str">
        <x:v>GT242</x:v>
      </x:c>
      <x:c r="B243" s="27" t="str">
        <x:v>博弈论/市场微结构</x:v>
      </x:c>
      <x:c r="C243" s="27" t="str">
        <x:v>逆选择/信息博弈</x:v>
      </x:c>
      <x:c r="D243" s="27" t="str">
        <x:v>新兴</x:v>
      </x:c>
      <x:c r="E243" s="27" t="str">
        <x:v>深度模型毒性评分</x:v>
      </x:c>
      <x:c r="F243" s="27" t="str">
        <x:v>deep toxicity scoring</x:v>
      </x:c>
      <x:c r="G243" s="27" t="str">
        <x:v>深度模型从LOB和成交提取逆选择风险</x:v>
      </x:c>
      <x:c r="H243" s="27" t="str">
        <x:v>股票/期货/FX/债券RFQ/加密</x:v>
      </x:c>
      <x:c r="I243" s="27" t="str">
        <x:v>5秒-5分钟</x:v>
      </x:c>
      <x:c r="J243" s="27" t="str">
        <x:v>1-10秒更新毒性分数</x:v>
      </x:c>
      <x:c r="K243" s="27" t="str">
        <x:v>成交方向、价格响应、LOB、新闻/链上数据</x:v>
      </x:c>
      <x:c r="L243" s="27" t="str">
        <x:v>毒性低时挂单/回归，毒性高时撤单或顺信息流</x:v>
      </x:c>
      <x:c r="M243" s="27" t="str">
        <x:v>毒性回落、价差恢复、成交后价格响应异常时退出</x:v>
      </x:c>
      <x:c r="N243" s="27" t="str">
        <x:v>lambda, toxicity_score, imbalance, response_horizon</x:v>
      </x:c>
      <x:c r="O243" s="27" t="str">
        <x:v>高</x:v>
      </x:c>
      <x:c r="P243" s="27" t="str">
        <x:v>高</x:v>
      </x:c>
      <x:c r="Q243" s="27" t="str">
        <x:v>把噪声误判为信息、样本选择偏差、监管风险</x:v>
      </x:c>
      <x:c r="R243" s="27" t="str">
        <x:v>按成交后价格响应和对手类型做标签评估</x:v>
      </x:c>
      <x:c r="S243" s="27" t="str">
        <x:v>DeepLOB: Deep CNNs for Limit Order Books</x:v>
      </x:c>
      <x:c r="T243" s="27" t="str">
        <x:v>https://arxiv.org/abs/1808.03668</x:v>
      </x:c>
      <x:c r="U243" s="27" t="str"/>
    </x:row>
    <x:row r="244" ht="54" customHeight="1">
      <x:c r="A244" s="27" t="str">
        <x:v>GT243</x:v>
      </x:c>
      <x:c r="B244" s="27" t="str">
        <x:v>博弈论/市场微结构</x:v>
      </x:c>
      <x:c r="C244" s="27" t="str">
        <x:v>逆选择/信息博弈</x:v>
      </x:c>
      <x:c r="D244" s="27" t="str">
        <x:v>新兴</x:v>
      </x:c>
      <x:c r="E244" s="27" t="str">
        <x:v>生成式异常对手流</x:v>
      </x:c>
      <x:c r="F244" s="27" t="str">
        <x:v>generative toxic-flow scenarios</x:v>
      </x:c>
      <x:c r="G244" s="27" t="str">
        <x:v>生成罕见对手流用于策略压力测试</x:v>
      </x:c>
      <x:c r="H244" s="27" t="str">
        <x:v>股票/期货/FX/债券RFQ/加密</x:v>
      </x:c>
      <x:c r="I244" s="27" t="str">
        <x:v>5秒-5分钟</x:v>
      </x:c>
      <x:c r="J244" s="27" t="str">
        <x:v>1-10秒更新毒性分数</x:v>
      </x:c>
      <x:c r="K244" s="27" t="str">
        <x:v>成交方向、价格响应、LOB、新闻/链上数据</x:v>
      </x:c>
      <x:c r="L244" s="27" t="str">
        <x:v>毒性低时挂单/回归，毒性高时撤单或顺信息流</x:v>
      </x:c>
      <x:c r="M244" s="27" t="str">
        <x:v>毒性回落、价差恢复、成交后价格响应异常时退出</x:v>
      </x:c>
      <x:c r="N244" s="27" t="str">
        <x:v>lambda, toxicity_score, imbalance, response_horizon</x:v>
      </x:c>
      <x:c r="O244" s="27" t="str">
        <x:v>高</x:v>
      </x:c>
      <x:c r="P244" s="27" t="str">
        <x:v>高</x:v>
      </x:c>
      <x:c r="Q244" s="27" t="str">
        <x:v>把噪声误判为信息、样本选择偏差、监管风险</x:v>
      </x:c>
      <x:c r="R244" s="27" t="str">
        <x:v>按成交后价格响应和对手类型做标签评估</x:v>
      </x:c>
      <x:c r="S244" s="27" t="str">
        <x:v>LOB-Bench generative AI benchmark for LOB data</x:v>
      </x:c>
      <x:c r="T244" s="27" t="str">
        <x:v>https://arxiv.org/abs/2502.09172</x:v>
      </x:c>
      <x:c r="U244" s="27" t="str"/>
    </x:row>
    <x:row r="245" ht="54" customHeight="1">
      <x:c r="A245" s="27" t="str">
        <x:v>GT244</x:v>
      </x:c>
      <x:c r="B245" s="27" t="str">
        <x:v>博弈论/市场微结构</x:v>
      </x:c>
      <x:c r="C245" s="27" t="str">
        <x:v>竞价/RFQ/报价竞争</x:v>
      </x:c>
      <x:c r="D245" s="27" t="str">
        <x:v>经典</x:v>
      </x:c>
      <x:c r="E245" s="27" t="str">
        <x:v>开盘竞价不平衡跟随</x:v>
      </x:c>
      <x:c r="F245" s="27" t="str">
        <x:v>opening-auction imbalance follow</x:v>
      </x:c>
      <x:c r="G245" s="27" t="str">
        <x:v>竞价不平衡反映集合竞价供需</x:v>
      </x:c>
      <x:c r="H245" s="27" t="str">
        <x:v>股票竞价/债券/FX/期权/RFQ市场</x:v>
      </x:c>
      <x:c r="I245" s="27" t="str">
        <x:v>30秒-5分钟</x:v>
      </x:c>
      <x:c r="J245" s="27" t="str">
        <x:v>事件窗口内1-30秒</x:v>
      </x:c>
      <x:c r="K245" s="27" t="str">
        <x:v>竞价不平衡、RFQ、报价、成交、对手类型</x:v>
      </x:c>
      <x:c r="L245" s="27" t="str">
        <x:v>根据不平衡、胜率和逆选择估计选择报价或方向</x:v>
      </x:c>
      <x:c r="M245" s="27" t="str">
        <x:v>竞价结束、RFQ过期、价格偏离或胜率/毒性变差退出</x:v>
      </x:c>
      <x:c r="N245" s="27" t="str">
        <x:v>imbalance, win_prob, quote_edge, response_time</x:v>
      </x:c>
      <x:c r="O245" s="27" t="str">
        <x:v>高</x:v>
      </x:c>
      <x:c r="P245" s="27" t="str">
        <x:v>中-高</x:v>
      </x:c>
      <x:c r="Q245" s="27" t="str">
        <x:v>披露规则变化、样本少、对手学习</x:v>
      </x:c>
      <x:c r="R245" s="27" t="str">
        <x:v>按竞价/RFQ场景分层并评估机会成本</x:v>
      </x:c>
      <x:c r="S245" s="27" t="str">
        <x:v>arXiv q-fin.TR Trading and Market Microstructure</x:v>
      </x:c>
      <x:c r="T245" s="27" t="str">
        <x:v>https://arxiv.org/list/q-fin.TR/recent</x:v>
      </x:c>
      <x:c r="U245" s="27" t="str"/>
    </x:row>
    <x:row r="246" ht="54" customHeight="1">
      <x:c r="A246" s="27" t="str">
        <x:v>GT245</x:v>
      </x:c>
      <x:c r="B246" s="27" t="str">
        <x:v>博弈论/市场微结构</x:v>
      </x:c>
      <x:c r="C246" s="27" t="str">
        <x:v>竞价/RFQ/报价竞争</x:v>
      </x:c>
      <x:c r="D246" s="27" t="str">
        <x:v>经典</x:v>
      </x:c>
      <x:c r="E246" s="27" t="str">
        <x:v>收盘竞价不平衡跟随</x:v>
      </x:c>
      <x:c r="F246" s="27" t="str">
        <x:v>closing-auction imbalance follow</x:v>
      </x:c>
      <x:c r="G246" s="27" t="str">
        <x:v>收盘前披露不平衡影响最后几分钟价格</x:v>
      </x:c>
      <x:c r="H246" s="27" t="str">
        <x:v>股票竞价/债券/FX/期权/RFQ市场</x:v>
      </x:c>
      <x:c r="I246" s="27" t="str">
        <x:v>30秒-5分钟</x:v>
      </x:c>
      <x:c r="J246" s="27" t="str">
        <x:v>事件窗口内1-30秒</x:v>
      </x:c>
      <x:c r="K246" s="27" t="str">
        <x:v>竞价不平衡、RFQ、报价、成交、对手类型</x:v>
      </x:c>
      <x:c r="L246" s="27" t="str">
        <x:v>根据不平衡、胜率和逆选择估计选择报价或方向</x:v>
      </x:c>
      <x:c r="M246" s="27" t="str">
        <x:v>竞价结束、RFQ过期、价格偏离或胜率/毒性变差退出</x:v>
      </x:c>
      <x:c r="N246" s="27" t="str">
        <x:v>imbalance, win_prob, quote_edge, response_time</x:v>
      </x:c>
      <x:c r="O246" s="27" t="str">
        <x:v>高</x:v>
      </x:c>
      <x:c r="P246" s="27" t="str">
        <x:v>中-高</x:v>
      </x:c>
      <x:c r="Q246" s="27" t="str">
        <x:v>披露规则变化、样本少、对手学习</x:v>
      </x:c>
      <x:c r="R246" s="27" t="str">
        <x:v>按竞价/RFQ场景分层并评估机会成本</x:v>
      </x:c>
      <x:c r="S246" s="27" t="str">
        <x:v>arXiv q-fin.TR Trading and Market Microstructure</x:v>
      </x:c>
      <x:c r="T246" s="27" t="str">
        <x:v>https://arxiv.org/list/q-fin.TR/recent</x:v>
      </x:c>
      <x:c r="U246" s="27" t="str"/>
    </x:row>
    <x:row r="247" ht="54" customHeight="1">
      <x:c r="A247" s="27" t="str">
        <x:v>GT246</x:v>
      </x:c>
      <x:c r="B247" s="27" t="str">
        <x:v>博弈论/市场微结构</x:v>
      </x:c>
      <x:c r="C247" s="27" t="str">
        <x:v>竞价/RFQ/报价竞争</x:v>
      </x:c>
      <x:c r="D247" s="27" t="str">
        <x:v>经典</x:v>
      </x:c>
      <x:c r="E247" s="27" t="str">
        <x:v>竞价不平衡反转</x:v>
      </x:c>
      <x:c r="F247" s="27" t="str">
        <x:v>auction imbalance reversal</x:v>
      </x:c>
      <x:c r="G247" s="27" t="str">
        <x:v>过度拥挤的不平衡可能被反向流动性吸收</x:v>
      </x:c>
      <x:c r="H247" s="27" t="str">
        <x:v>股票竞价/债券/FX/期权/RFQ市场</x:v>
      </x:c>
      <x:c r="I247" s="27" t="str">
        <x:v>30秒-5分钟</x:v>
      </x:c>
      <x:c r="J247" s="27" t="str">
        <x:v>事件窗口内1-30秒</x:v>
      </x:c>
      <x:c r="K247" s="27" t="str">
        <x:v>竞价不平衡、RFQ、报价、成交、对手类型</x:v>
      </x:c>
      <x:c r="L247" s="27" t="str">
        <x:v>根据不平衡、胜率和逆选择估计选择报价或方向</x:v>
      </x:c>
      <x:c r="M247" s="27" t="str">
        <x:v>竞价结束、RFQ过期、价格偏离或胜率/毒性变差退出</x:v>
      </x:c>
      <x:c r="N247" s="27" t="str">
        <x:v>imbalance, win_prob, quote_edge, response_time</x:v>
      </x:c>
      <x:c r="O247" s="27" t="str">
        <x:v>高</x:v>
      </x:c>
      <x:c r="P247" s="27" t="str">
        <x:v>中-高</x:v>
      </x:c>
      <x:c r="Q247" s="27" t="str">
        <x:v>披露规则变化、样本少、对手学习</x:v>
      </x:c>
      <x:c r="R247" s="27" t="str">
        <x:v>按竞价/RFQ场景分层并评估机会成本</x:v>
      </x:c>
      <x:c r="S247" s="27" t="str">
        <x:v>arXiv q-fin.TR Trading and Market Microstructure</x:v>
      </x:c>
      <x:c r="T247" s="27" t="str">
        <x:v>https://arxiv.org/list/q-fin.TR/recent</x:v>
      </x:c>
      <x:c r="U247" s="27" t="str"/>
    </x:row>
    <x:row r="248" ht="54" customHeight="1">
      <x:c r="A248" s="27" t="str">
        <x:v>GT247</x:v>
      </x:c>
      <x:c r="B248" s="27" t="str">
        <x:v>博弈论/市场微结构</x:v>
      </x:c>
      <x:c r="C248" s="27" t="str">
        <x:v>竞价/RFQ/报价竞争</x:v>
      </x:c>
      <x:c r="D248" s="27" t="str">
        <x:v>经典</x:v>
      </x:c>
      <x:c r="E248" s="27" t="str">
        <x:v>MOC/LOC订单流博弈</x:v>
      </x:c>
      <x:c r="F248" s="27" t="str">
        <x:v>MOC/LOC order game</x:v>
      </x:c>
      <x:c r="G248" s="27" t="str">
        <x:v>市价/限价收盘订单选择影响成交概率和价格风险</x:v>
      </x:c>
      <x:c r="H248" s="27" t="str">
        <x:v>股票竞价/债券/FX/期权/RFQ市场</x:v>
      </x:c>
      <x:c r="I248" s="27" t="str">
        <x:v>30秒-5分钟</x:v>
      </x:c>
      <x:c r="J248" s="27" t="str">
        <x:v>事件窗口内1-30秒</x:v>
      </x:c>
      <x:c r="K248" s="27" t="str">
        <x:v>竞价不平衡、RFQ、报价、成交、对手类型</x:v>
      </x:c>
      <x:c r="L248" s="27" t="str">
        <x:v>根据不平衡、胜率和逆选择估计选择报价或方向</x:v>
      </x:c>
      <x:c r="M248" s="27" t="str">
        <x:v>竞价结束、RFQ过期、价格偏离或胜率/毒性变差退出</x:v>
      </x:c>
      <x:c r="N248" s="27" t="str">
        <x:v>imbalance, win_prob, quote_edge, response_time</x:v>
      </x:c>
      <x:c r="O248" s="27" t="str">
        <x:v>高</x:v>
      </x:c>
      <x:c r="P248" s="27" t="str">
        <x:v>中-高</x:v>
      </x:c>
      <x:c r="Q248" s="27" t="str">
        <x:v>披露规则变化、样本少、对手学习</x:v>
      </x:c>
      <x:c r="R248" s="27" t="str">
        <x:v>按竞价/RFQ场景分层并评估机会成本</x:v>
      </x:c>
      <x:c r="S248" s="27" t="str">
        <x:v>arXiv q-fin.TR Trading and Market Microstructure</x:v>
      </x:c>
      <x:c r="T248" s="27" t="str">
        <x:v>https://arxiv.org/list/q-fin.TR/recent</x:v>
      </x:c>
      <x:c r="U248" s="27" t="str"/>
    </x:row>
    <x:row r="249" ht="54" customHeight="1">
      <x:c r="A249" s="27" t="str">
        <x:v>GT248</x:v>
      </x:c>
      <x:c r="B249" s="27" t="str">
        <x:v>博弈论/市场微结构</x:v>
      </x:c>
      <x:c r="C249" s="27" t="str">
        <x:v>竞价/RFQ/报价竞争</x:v>
      </x:c>
      <x:c r="D249" s="27" t="str">
        <x:v>经典</x:v>
      </x:c>
      <x:c r="E249" s="27" t="str">
        <x:v>新股/停牌复牌集合竞价</x:v>
      </x:c>
      <x:c r="F249" s="27" t="str">
        <x:v>reopen auction micro strategy</x:v>
      </x:c>
      <x:c r="G249" s="27" t="str">
        <x:v>重新开盘时价格发现与不平衡信息集中</x:v>
      </x:c>
      <x:c r="H249" s="27" t="str">
        <x:v>股票竞价/债券/FX/期权/RFQ市场</x:v>
      </x:c>
      <x:c r="I249" s="27" t="str">
        <x:v>30秒-5分钟</x:v>
      </x:c>
      <x:c r="J249" s="27" t="str">
        <x:v>事件窗口内1-30秒</x:v>
      </x:c>
      <x:c r="K249" s="27" t="str">
        <x:v>竞价不平衡、RFQ、报价、成交、对手类型</x:v>
      </x:c>
      <x:c r="L249" s="27" t="str">
        <x:v>根据不平衡、胜率和逆选择估计选择报价或方向</x:v>
      </x:c>
      <x:c r="M249" s="27" t="str">
        <x:v>竞价结束、RFQ过期、价格偏离或胜率/毒性变差退出</x:v>
      </x:c>
      <x:c r="N249" s="27" t="str">
        <x:v>imbalance, win_prob, quote_edge, response_time</x:v>
      </x:c>
      <x:c r="O249" s="27" t="str">
        <x:v>高</x:v>
      </x:c>
      <x:c r="P249" s="27" t="str">
        <x:v>中-高</x:v>
      </x:c>
      <x:c r="Q249" s="27" t="str">
        <x:v>披露规则变化、样本少、对手学习</x:v>
      </x:c>
      <x:c r="R249" s="27" t="str">
        <x:v>按竞价/RFQ场景分层并评估机会成本</x:v>
      </x:c>
      <x:c r="S249" s="27" t="str">
        <x:v>arXiv q-fin.TR Trading and Market Microstructure</x:v>
      </x:c>
      <x:c r="T249" s="27" t="str">
        <x:v>https://arxiv.org/list/q-fin.TR/recent</x:v>
      </x:c>
      <x:c r="U249" s="27" t="str"/>
    </x:row>
    <x:row r="250" ht="54" customHeight="1">
      <x:c r="A250" s="27" t="str">
        <x:v>GT249</x:v>
      </x:c>
      <x:c r="B250" s="27" t="str">
        <x:v>博弈论/市场微结构</x:v>
      </x:c>
      <x:c r="C250" s="27" t="str">
        <x:v>竞价/RFQ/报价竞争</x:v>
      </x:c>
      <x:c r="D250" s="27" t="str">
        <x:v>经典</x:v>
      </x:c>
      <x:c r="E250" s="27" t="str">
        <x:v>债券RFQ报价胜率模型</x:v>
      </x:c>
      <x:c r="F250" s="27" t="str">
        <x:v>bond RFQ win-probability quoting</x:v>
      </x:c>
      <x:c r="G250" s="27" t="str">
        <x:v>报价太宽失去成交，太窄受逆选择</x:v>
      </x:c>
      <x:c r="H250" s="27" t="str">
        <x:v>股票竞价/债券/FX/期权/RFQ市场</x:v>
      </x:c>
      <x:c r="I250" s="27" t="str">
        <x:v>30秒-5分钟</x:v>
      </x:c>
      <x:c r="J250" s="27" t="str">
        <x:v>事件窗口内1-30秒</x:v>
      </x:c>
      <x:c r="K250" s="27" t="str">
        <x:v>竞价不平衡、RFQ、报价、成交、对手类型</x:v>
      </x:c>
      <x:c r="L250" s="27" t="str">
        <x:v>根据不平衡、胜率和逆选择估计选择报价或方向</x:v>
      </x:c>
      <x:c r="M250" s="27" t="str">
        <x:v>竞价结束、RFQ过期、价格偏离或胜率/毒性变差退出</x:v>
      </x:c>
      <x:c r="N250" s="27" t="str">
        <x:v>imbalance, win_prob, quote_edge, response_time</x:v>
      </x:c>
      <x:c r="O250" s="27" t="str">
        <x:v>高</x:v>
      </x:c>
      <x:c r="P250" s="27" t="str">
        <x:v>中-高</x:v>
      </x:c>
      <x:c r="Q250" s="27" t="str">
        <x:v>披露规则变化、样本少、对手学习</x:v>
      </x:c>
      <x:c r="R250" s="27" t="str">
        <x:v>按竞价/RFQ场景分层并评估机会成本</x:v>
      </x:c>
      <x:c r="S250" s="27" t="str">
        <x:v>arXiv q-fin.TR Trading and Market Microstructure</x:v>
      </x:c>
      <x:c r="T250" s="27" t="str">
        <x:v>https://arxiv.org/list/q-fin.TR/recent</x:v>
      </x:c>
      <x:c r="U250" s="27" t="str"/>
    </x:row>
    <x:row r="251" ht="54" customHeight="1">
      <x:c r="A251" s="27" t="str">
        <x:v>GT250</x:v>
      </x:c>
      <x:c r="B251" s="27" t="str">
        <x:v>博弈论/市场微结构</x:v>
      </x:c>
      <x:c r="C251" s="27" t="str">
        <x:v>竞价/RFQ/报价竞争</x:v>
      </x:c>
      <x:c r="D251" s="27" t="str">
        <x:v>经典</x:v>
      </x:c>
      <x:c r="E251" s="27" t="str">
        <x:v>FX request-for-stream报价</x:v>
      </x:c>
      <x:c r="F251" s="27" t="str">
        <x:v>FX RFS quote competition</x:v>
      </x:c>
      <x:c r="G251" s="27" t="str">
        <x:v>客户流和竞争报价决定最优点差</x:v>
      </x:c>
      <x:c r="H251" s="27" t="str">
        <x:v>股票竞价/债券/FX/期权/RFQ市场</x:v>
      </x:c>
      <x:c r="I251" s="27" t="str">
        <x:v>30秒-5分钟</x:v>
      </x:c>
      <x:c r="J251" s="27" t="str">
        <x:v>事件窗口内1-30秒</x:v>
      </x:c>
      <x:c r="K251" s="27" t="str">
        <x:v>竞价不平衡、RFQ、报价、成交、对手类型</x:v>
      </x:c>
      <x:c r="L251" s="27" t="str">
        <x:v>根据不平衡、胜率和逆选择估计选择报价或方向</x:v>
      </x:c>
      <x:c r="M251" s="27" t="str">
        <x:v>竞价结束、RFQ过期、价格偏离或胜率/毒性变差退出</x:v>
      </x:c>
      <x:c r="N251" s="27" t="str">
        <x:v>imbalance, win_prob, quote_edge, response_time</x:v>
      </x:c>
      <x:c r="O251" s="27" t="str">
        <x:v>高</x:v>
      </x:c>
      <x:c r="P251" s="27" t="str">
        <x:v>中-高</x:v>
      </x:c>
      <x:c r="Q251" s="27" t="str">
        <x:v>披露规则变化、样本少、对手学习</x:v>
      </x:c>
      <x:c r="R251" s="27" t="str">
        <x:v>按竞价/RFQ场景分层并评估机会成本</x:v>
      </x:c>
      <x:c r="S251" s="27" t="str">
        <x:v>arXiv q-fin.TR Trading and Market Microstructure</x:v>
      </x:c>
      <x:c r="T251" s="27" t="str">
        <x:v>https://arxiv.org/list/q-fin.TR/recent</x:v>
      </x:c>
      <x:c r="U251" s="27" t="str"/>
    </x:row>
    <x:row r="252" ht="54" customHeight="1">
      <x:c r="A252" s="27" t="str">
        <x:v>GT251</x:v>
      </x:c>
      <x:c r="B252" s="27" t="str">
        <x:v>博弈论/市场微结构</x:v>
      </x:c>
      <x:c r="C252" s="27" t="str">
        <x:v>竞价/RFQ/报价竞争</x:v>
      </x:c>
      <x:c r="D252" s="27" t="str">
        <x:v>经典</x:v>
      </x:c>
      <x:c r="E252" s="27" t="str">
        <x:v>期权多dealer RFQ</x:v>
      </x:c>
      <x:c r="F252" s="27" t="str">
        <x:v>option multi-dealer RFQ</x:v>
      </x:c>
      <x:c r="G252" s="27" t="str">
        <x:v>RFQ响应价格反映竞争和库存</x:v>
      </x:c>
      <x:c r="H252" s="27" t="str">
        <x:v>股票竞价/债券/FX/期权/RFQ市场</x:v>
      </x:c>
      <x:c r="I252" s="27" t="str">
        <x:v>30秒-5分钟</x:v>
      </x:c>
      <x:c r="J252" s="27" t="str">
        <x:v>事件窗口内1-30秒</x:v>
      </x:c>
      <x:c r="K252" s="27" t="str">
        <x:v>竞价不平衡、RFQ、报价、成交、对手类型</x:v>
      </x:c>
      <x:c r="L252" s="27" t="str">
        <x:v>根据不平衡、胜率和逆选择估计选择报价或方向</x:v>
      </x:c>
      <x:c r="M252" s="27" t="str">
        <x:v>竞价结束、RFQ过期、价格偏离或胜率/毒性变差退出</x:v>
      </x:c>
      <x:c r="N252" s="27" t="str">
        <x:v>imbalance, win_prob, quote_edge, response_time</x:v>
      </x:c>
      <x:c r="O252" s="27" t="str">
        <x:v>高</x:v>
      </x:c>
      <x:c r="P252" s="27" t="str">
        <x:v>中-高</x:v>
      </x:c>
      <x:c r="Q252" s="27" t="str">
        <x:v>披露规则变化、样本少、对手学习</x:v>
      </x:c>
      <x:c r="R252" s="27" t="str">
        <x:v>按竞价/RFQ场景分层并评估机会成本</x:v>
      </x:c>
      <x:c r="S252" s="27" t="str">
        <x:v>arXiv q-fin.TR Trading and Market Microstructure</x:v>
      </x:c>
      <x:c r="T252" s="27" t="str">
        <x:v>https://arxiv.org/list/q-fin.TR/recent</x:v>
      </x:c>
      <x:c r="U252" s="27" t="str"/>
    </x:row>
    <x:row r="253" ht="54" customHeight="1">
      <x:c r="A253" s="27" t="str">
        <x:v>GT252</x:v>
      </x:c>
      <x:c r="B253" s="27" t="str">
        <x:v>博弈论/市场微结构</x:v>
      </x:c>
      <x:c r="C253" s="27" t="str">
        <x:v>竞价/RFQ/报价竞争</x:v>
      </x:c>
      <x:c r="D253" s="27" t="str">
        <x:v>经典</x:v>
      </x:c>
      <x:c r="E253" s="27" t="str">
        <x:v>报价阶梯竞争</x:v>
      </x:c>
      <x:c r="F253" s="27" t="str">
        <x:v>quote-ladder competition</x:v>
      </x:c>
      <x:c r="G253" s="27" t="str">
        <x:v>多做市商在最佳档位竞争排队优先权</x:v>
      </x:c>
      <x:c r="H253" s="27" t="str">
        <x:v>股票竞价/债券/FX/期权/RFQ市场</x:v>
      </x:c>
      <x:c r="I253" s="27" t="str">
        <x:v>30秒-5分钟</x:v>
      </x:c>
      <x:c r="J253" s="27" t="str">
        <x:v>事件窗口内1-30秒</x:v>
      </x:c>
      <x:c r="K253" s="27" t="str">
        <x:v>竞价不平衡、RFQ、报价、成交、对手类型</x:v>
      </x:c>
      <x:c r="L253" s="27" t="str">
        <x:v>根据不平衡、胜率和逆选择估计选择报价或方向</x:v>
      </x:c>
      <x:c r="M253" s="27" t="str">
        <x:v>竞价结束、RFQ过期、价格偏离或胜率/毒性变差退出</x:v>
      </x:c>
      <x:c r="N253" s="27" t="str">
        <x:v>imbalance, win_prob, quote_edge, response_time</x:v>
      </x:c>
      <x:c r="O253" s="27" t="str">
        <x:v>高</x:v>
      </x:c>
      <x:c r="P253" s="27" t="str">
        <x:v>中-高</x:v>
      </x:c>
      <x:c r="Q253" s="27" t="str">
        <x:v>披露规则变化、样本少、对手学习</x:v>
      </x:c>
      <x:c r="R253" s="27" t="str">
        <x:v>按竞价/RFQ场景分层并评估机会成本</x:v>
      </x:c>
      <x:c r="S253" s="27" t="str">
        <x:v>LOBSTER limit order book data</x:v>
      </x:c>
      <x:c r="T253" s="27" t="str">
        <x:v>https://data.lobsterdata.com/index.php</x:v>
      </x:c>
      <x:c r="U253" s="27" t="str"/>
    </x:row>
    <x:row r="254" ht="54" customHeight="1">
      <x:c r="A254" s="27" t="str">
        <x:v>GT253</x:v>
      </x:c>
      <x:c r="B254" s="27" t="str">
        <x:v>博弈论/市场微结构</x:v>
      </x:c>
      <x:c r="C254" s="27" t="str">
        <x:v>竞价/RFQ/报价竞争</x:v>
      </x:c>
      <x:c r="D254" s="27" t="str">
        <x:v>经典</x:v>
      </x:c>
      <x:c r="E254" s="27" t="str">
        <x:v>tick内价格改进博弈</x:v>
      </x:c>
      <x:c r="F254" s="27" t="str">
        <x:v>inside-tick price improvement</x:v>
      </x:c>
      <x:c r="G254" s="27" t="str">
        <x:v>在离散tick下微小价格改善换取成交优先</x:v>
      </x:c>
      <x:c r="H254" s="27" t="str">
        <x:v>股票竞价/债券/FX/期权/RFQ市场</x:v>
      </x:c>
      <x:c r="I254" s="27" t="str">
        <x:v>30秒-5分钟</x:v>
      </x:c>
      <x:c r="J254" s="27" t="str">
        <x:v>事件窗口内1-30秒</x:v>
      </x:c>
      <x:c r="K254" s="27" t="str">
        <x:v>竞价不平衡、RFQ、报价、成交、对手类型</x:v>
      </x:c>
      <x:c r="L254" s="27" t="str">
        <x:v>根据不平衡、胜率和逆选择估计选择报价或方向</x:v>
      </x:c>
      <x:c r="M254" s="27" t="str">
        <x:v>竞价结束、RFQ过期、价格偏离或胜率/毒性变差退出</x:v>
      </x:c>
      <x:c r="N254" s="27" t="str">
        <x:v>imbalance, win_prob, quote_edge, response_time</x:v>
      </x:c>
      <x:c r="O254" s="27" t="str">
        <x:v>高</x:v>
      </x:c>
      <x:c r="P254" s="27" t="str">
        <x:v>中-高</x:v>
      </x:c>
      <x:c r="Q254" s="27" t="str">
        <x:v>披露规则变化、样本少、对手学习</x:v>
      </x:c>
      <x:c r="R254" s="27" t="str">
        <x:v>按竞价/RFQ场景分层并评估机会成本</x:v>
      </x:c>
      <x:c r="S254" s="27" t="str">
        <x:v>LOBSTER limit order book data</x:v>
      </x:c>
      <x:c r="T254" s="27" t="str">
        <x:v>https://data.lobsterdata.com/index.php</x:v>
      </x:c>
      <x:c r="U254" s="27" t="str"/>
    </x:row>
    <x:row r="255" ht="54" customHeight="1">
      <x:c r="A255" s="27" t="str">
        <x:v>GT254</x:v>
      </x:c>
      <x:c r="B255" s="27" t="str">
        <x:v>博弈论/市场微结构</x:v>
      </x:c>
      <x:c r="C255" s="27" t="str">
        <x:v>竞价/RFQ/报价竞争</x:v>
      </x:c>
      <x:c r="D255" s="27" t="str">
        <x:v>经典</x:v>
      </x:c>
      <x:c r="E255" s="27" t="str">
        <x:v>隐藏单暴露博弈</x:v>
      </x:c>
      <x:c r="F255" s="27" t="str">
        <x:v>hidden-order exposure game</x:v>
      </x:c>
      <x:c r="G255" s="27" t="str">
        <x:v>显示数量影响被交易与被捕食风险</x:v>
      </x:c>
      <x:c r="H255" s="27" t="str">
        <x:v>股票竞价/债券/FX/期权/RFQ市场</x:v>
      </x:c>
      <x:c r="I255" s="27" t="str">
        <x:v>30秒-5分钟</x:v>
      </x:c>
      <x:c r="J255" s="27" t="str">
        <x:v>事件窗口内1-30秒</x:v>
      </x:c>
      <x:c r="K255" s="27" t="str">
        <x:v>竞价不平衡、RFQ、报价、成交、对手类型</x:v>
      </x:c>
      <x:c r="L255" s="27" t="str">
        <x:v>根据不平衡、胜率和逆选择估计选择报价或方向</x:v>
      </x:c>
      <x:c r="M255" s="27" t="str">
        <x:v>竞价结束、RFQ过期、价格偏离或胜率/毒性变差退出</x:v>
      </x:c>
      <x:c r="N255" s="27" t="str">
        <x:v>imbalance, win_prob, quote_edge, response_time</x:v>
      </x:c>
      <x:c r="O255" s="27" t="str">
        <x:v>高</x:v>
      </x:c>
      <x:c r="P255" s="27" t="str">
        <x:v>中-高</x:v>
      </x:c>
      <x:c r="Q255" s="27" t="str">
        <x:v>披露规则变化、样本少、对手学习</x:v>
      </x:c>
      <x:c r="R255" s="27" t="str">
        <x:v>按竞价/RFQ场景分层并评估机会成本</x:v>
      </x:c>
      <x:c r="S255" s="27" t="str">
        <x:v>arXiv q-fin.TR Trading and Market Microstructure</x:v>
      </x:c>
      <x:c r="T255" s="27" t="str">
        <x:v>https://arxiv.org/list/q-fin.TR/recent</x:v>
      </x:c>
      <x:c r="U255" s="27" t="str"/>
    </x:row>
    <x:row r="256" ht="54" customHeight="1">
      <x:c r="A256" s="27" t="str">
        <x:v>GT255</x:v>
      </x:c>
      <x:c r="B256" s="27" t="str">
        <x:v>博弈论/市场微结构</x:v>
      </x:c>
      <x:c r="C256" s="27" t="str">
        <x:v>竞价/RFQ/报价竞争</x:v>
      </x:c>
      <x:c r="D256" s="27" t="str">
        <x:v>经典</x:v>
      </x:c>
      <x:c r="E256" s="27" t="str">
        <x:v>最小报价寿命约束</x:v>
      </x:c>
      <x:c r="F256" s="27" t="str">
        <x:v>minimum-quote-life strategy</x:v>
      </x:c>
      <x:c r="G256" s="27" t="str">
        <x:v>规则约束改变撤单与排队博弈</x:v>
      </x:c>
      <x:c r="H256" s="27" t="str">
        <x:v>股票竞价/债券/FX/期权/RFQ市场</x:v>
      </x:c>
      <x:c r="I256" s="27" t="str">
        <x:v>30秒-5分钟</x:v>
      </x:c>
      <x:c r="J256" s="27" t="str">
        <x:v>事件窗口内1-30秒</x:v>
      </x:c>
      <x:c r="K256" s="27" t="str">
        <x:v>竞价不平衡、RFQ、报价、成交、对手类型</x:v>
      </x:c>
      <x:c r="L256" s="27" t="str">
        <x:v>根据不平衡、胜率和逆选择估计选择报价或方向</x:v>
      </x:c>
      <x:c r="M256" s="27" t="str">
        <x:v>竞价结束、RFQ过期、价格偏离或胜率/毒性变差退出</x:v>
      </x:c>
      <x:c r="N256" s="27" t="str">
        <x:v>imbalance, win_prob, quote_edge, response_time</x:v>
      </x:c>
      <x:c r="O256" s="27" t="str">
        <x:v>高</x:v>
      </x:c>
      <x:c r="P256" s="27" t="str">
        <x:v>中-高</x:v>
      </x:c>
      <x:c r="Q256" s="27" t="str">
        <x:v>披露规则变化、样本少、对手学习</x:v>
      </x:c>
      <x:c r="R256" s="27" t="str">
        <x:v>按竞价/RFQ场景分层并评估机会成本</x:v>
      </x:c>
      <x:c r="S256" s="27" t="str">
        <x:v>arXiv q-fin.TR Trading and Market Microstructure</x:v>
      </x:c>
      <x:c r="T256" s="27" t="str">
        <x:v>https://arxiv.org/list/q-fin.TR/recent</x:v>
      </x:c>
      <x:c r="U256" s="27" t="str"/>
    </x:row>
    <x:row r="257" ht="54" customHeight="1">
      <x:c r="A257" s="27" t="str">
        <x:v>GT256</x:v>
      </x:c>
      <x:c r="B257" s="27" t="str">
        <x:v>博弈论/市场微结构</x:v>
      </x:c>
      <x:c r="C257" s="27" t="str">
        <x:v>竞价/RFQ/报价竞争</x:v>
      </x:c>
      <x:c r="D257" s="27" t="str">
        <x:v>经典</x:v>
      </x:c>
      <x:c r="E257" s="27" t="str">
        <x:v>拍卖前流动性迁移</x:v>
      </x:c>
      <x:c r="F257" s="27" t="str">
        <x:v>pre-auction liquidity migration</x:v>
      </x:c>
      <x:c r="G257" s="27" t="str">
        <x:v>连续市场流动性向竞价迁移产生价差变化</x:v>
      </x:c>
      <x:c r="H257" s="27" t="str">
        <x:v>股票竞价/债券/FX/期权/RFQ市场</x:v>
      </x:c>
      <x:c r="I257" s="27" t="str">
        <x:v>30秒-5分钟</x:v>
      </x:c>
      <x:c r="J257" s="27" t="str">
        <x:v>事件窗口内1-30秒</x:v>
      </x:c>
      <x:c r="K257" s="27" t="str">
        <x:v>竞价不平衡、RFQ、报价、成交、对手类型</x:v>
      </x:c>
      <x:c r="L257" s="27" t="str">
        <x:v>根据不平衡、胜率和逆选择估计选择报价或方向</x:v>
      </x:c>
      <x:c r="M257" s="27" t="str">
        <x:v>竞价结束、RFQ过期、价格偏离或胜率/毒性变差退出</x:v>
      </x:c>
      <x:c r="N257" s="27" t="str">
        <x:v>imbalance, win_prob, quote_edge, response_time</x:v>
      </x:c>
      <x:c r="O257" s="27" t="str">
        <x:v>高</x:v>
      </x:c>
      <x:c r="P257" s="27" t="str">
        <x:v>中-高</x:v>
      </x:c>
      <x:c r="Q257" s="27" t="str">
        <x:v>披露规则变化、样本少、对手学习</x:v>
      </x:c>
      <x:c r="R257" s="27" t="str">
        <x:v>按竞价/RFQ场景分层并评估机会成本</x:v>
      </x:c>
      <x:c r="S257" s="27" t="str">
        <x:v>arXiv q-fin.TR Trading and Market Microstructure</x:v>
      </x:c>
      <x:c r="T257" s="27" t="str">
        <x:v>https://arxiv.org/list/q-fin.TR/recent</x:v>
      </x:c>
      <x:c r="U257" s="27" t="str"/>
    </x:row>
    <x:row r="258" ht="54" customHeight="1">
      <x:c r="A258" s="27" t="str">
        <x:v>GT257</x:v>
      </x:c>
      <x:c r="B258" s="27" t="str">
        <x:v>博弈论/市场微结构</x:v>
      </x:c>
      <x:c r="C258" s="27" t="str">
        <x:v>竞价/RFQ/报价竞争</x:v>
      </x:c>
      <x:c r="D258" s="27" t="str">
        <x:v>新兴</x:v>
      </x:c>
      <x:c r="E258" s="27" t="str">
        <x:v>竞价价格发现PCA</x:v>
      </x:c>
      <x:c r="F258" s="27" t="str">
        <x:v>auction price-discovery PCA</x:v>
      </x:c>
      <x:c r="G258" s="27" t="str">
        <x:v>多股票收盘流的共同因子影响个股</x:v>
      </x:c>
      <x:c r="H258" s="27" t="str">
        <x:v>股票竞价/债券/FX/期权/RFQ市场</x:v>
      </x:c>
      <x:c r="I258" s="27" t="str">
        <x:v>30秒-5分钟</x:v>
      </x:c>
      <x:c r="J258" s="27" t="str">
        <x:v>事件窗口内1-30秒</x:v>
      </x:c>
      <x:c r="K258" s="27" t="str">
        <x:v>竞价不平衡、RFQ、报价、成交、对手类型</x:v>
      </x:c>
      <x:c r="L258" s="27" t="str">
        <x:v>根据不平衡、胜率和逆选择估计选择报价或方向</x:v>
      </x:c>
      <x:c r="M258" s="27" t="str">
        <x:v>竞价结束、RFQ过期、价格偏离或胜率/毒性变差退出</x:v>
      </x:c>
      <x:c r="N258" s="27" t="str">
        <x:v>imbalance, win_prob, quote_edge, response_time</x:v>
      </x:c>
      <x:c r="O258" s="27" t="str">
        <x:v>高</x:v>
      </x:c>
      <x:c r="P258" s="27" t="str">
        <x:v>中-高</x:v>
      </x:c>
      <x:c r="Q258" s="27" t="str">
        <x:v>披露规则变化、样本少、对手学习</x:v>
      </x:c>
      <x:c r="R258" s="27" t="str">
        <x:v>按竞价/RFQ场景分层并评估机会成本</x:v>
      </x:c>
      <x:c r="S258" s="27" t="str">
        <x:v>arXiv q-fin.TR Trading and Market Microstructure</x:v>
      </x:c>
      <x:c r="T258" s="27" t="str">
        <x:v>https://arxiv.org/list/q-fin.TR/recent</x:v>
      </x:c>
      <x:c r="U258" s="27" t="str"/>
    </x:row>
    <x:row r="259" ht="54" customHeight="1">
      <x:c r="A259" s="27" t="str">
        <x:v>GT258</x:v>
      </x:c>
      <x:c r="B259" s="27" t="str">
        <x:v>博弈论/市场微结构</x:v>
      </x:c>
      <x:c r="C259" s="27" t="str">
        <x:v>竞价/RFQ/报价竞争</x:v>
      </x:c>
      <x:c r="D259" s="27" t="str">
        <x:v>新兴</x:v>
      </x:c>
      <x:c r="E259" s="27" t="str">
        <x:v>RFQ对手方画像</x:v>
      </x:c>
      <x:c r="F259" s="27" t="str">
        <x:v>RFQ counterparty profiling</x:v>
      </x:c>
      <x:c r="G259" s="27" t="str">
        <x:v>客户类型影响成交后价格漂移和报价</x:v>
      </x:c>
      <x:c r="H259" s="27" t="str">
        <x:v>股票竞价/债券/FX/期权/RFQ市场</x:v>
      </x:c>
      <x:c r="I259" s="27" t="str">
        <x:v>30秒-5分钟</x:v>
      </x:c>
      <x:c r="J259" s="27" t="str">
        <x:v>事件窗口内1-30秒</x:v>
      </x:c>
      <x:c r="K259" s="27" t="str">
        <x:v>竞价不平衡、RFQ、报价、成交、对手类型</x:v>
      </x:c>
      <x:c r="L259" s="27" t="str">
        <x:v>根据不平衡、胜率和逆选择估计选择报价或方向</x:v>
      </x:c>
      <x:c r="M259" s="27" t="str">
        <x:v>竞价结束、RFQ过期、价格偏离或胜率/毒性变差退出</x:v>
      </x:c>
      <x:c r="N259" s="27" t="str">
        <x:v>imbalance, win_prob, quote_edge, response_time</x:v>
      </x:c>
      <x:c r="O259" s="27" t="str">
        <x:v>高</x:v>
      </x:c>
      <x:c r="P259" s="27" t="str">
        <x:v>中-高</x:v>
      </x:c>
      <x:c r="Q259" s="27" t="str">
        <x:v>披露规则变化、样本少、对手学习</x:v>
      </x:c>
      <x:c r="R259" s="27" t="str">
        <x:v>按竞价/RFQ场景分层并评估机会成本</x:v>
      </x:c>
      <x:c r="S259" s="27" t="str">
        <x:v>Glosten-Milgrom adverse selection spread model</x:v>
      </x:c>
      <x:c r="T259" s="27" t="str">
        <x:v>https://www.sciencedirect.com/science/article/pii/0304405X85900443</x:v>
      </x:c>
      <x:c r="U259" s="27" t="str"/>
    </x:row>
    <x:row r="260" ht="54" customHeight="1">
      <x:c r="A260" s="27" t="str">
        <x:v>GT259</x:v>
      </x:c>
      <x:c r="B260" s="27" t="str">
        <x:v>博弈论/市场微结构</x:v>
      </x:c>
      <x:c r="C260" s="27" t="str">
        <x:v>竞价/RFQ/报价竞争</x:v>
      </x:c>
      <x:c r="D260" s="27" t="str">
        <x:v>新兴</x:v>
      </x:c>
      <x:c r="E260" s="27" t="str">
        <x:v>LLM辅助RFQ文本分类</x:v>
      </x:c>
      <x:c r="F260" s="27" t="str">
        <x:v>LLM-assisted RFQ text classification</x:v>
      </x:c>
      <x:c r="G260" s="27" t="str">
        <x:v>非结构化询价文本可补充对手意图</x:v>
      </x:c>
      <x:c r="H260" s="27" t="str">
        <x:v>股票竞价/债券/FX/期权/RFQ市场</x:v>
      </x:c>
      <x:c r="I260" s="27" t="str">
        <x:v>30秒-5分钟</x:v>
      </x:c>
      <x:c r="J260" s="27" t="str">
        <x:v>事件窗口内1-30秒</x:v>
      </x:c>
      <x:c r="K260" s="27" t="str">
        <x:v>竞价不平衡、RFQ、报价、成交、对手类型</x:v>
      </x:c>
      <x:c r="L260" s="27" t="str">
        <x:v>根据不平衡、胜率和逆选择估计选择报价或方向</x:v>
      </x:c>
      <x:c r="M260" s="27" t="str">
        <x:v>竞价结束、RFQ过期、价格偏离或胜率/毒性变差退出</x:v>
      </x:c>
      <x:c r="N260" s="27" t="str">
        <x:v>imbalance, win_prob, quote_edge, response_time</x:v>
      </x:c>
      <x:c r="O260" s="27" t="str">
        <x:v>高</x:v>
      </x:c>
      <x:c r="P260" s="27" t="str">
        <x:v>中-高</x:v>
      </x:c>
      <x:c r="Q260" s="27" t="str">
        <x:v>披露规则变化、样本少、对手学习</x:v>
      </x:c>
      <x:c r="R260" s="27" t="str">
        <x:v>按竞价/RFQ场景分层并评估机会成本</x:v>
      </x:c>
      <x:c r="S260" s="27" t="str">
        <x:v>arXiv q-fin.TR Trading and Market Microstructure</x:v>
      </x:c>
      <x:c r="T260" s="27" t="str">
        <x:v>https://arxiv.org/list/q-fin.TR/recent</x:v>
      </x:c>
      <x:c r="U260" s="27" t="str"/>
    </x:row>
    <x:row r="261" ht="54" customHeight="1">
      <x:c r="A261" s="27" t="str">
        <x:v>GT260</x:v>
      </x:c>
      <x:c r="B261" s="27" t="str">
        <x:v>博弈论/市场微结构</x:v>
      </x:c>
      <x:c r="C261" s="27" t="str">
        <x:v>竞价/RFQ/报价竞争</x:v>
      </x:c>
      <x:c r="D261" s="27" t="str">
        <x:v>新兴</x:v>
      </x:c>
      <x:c r="E261" s="27" t="str">
        <x:v>多智能体竞价仿真</x:v>
      </x:c>
      <x:c r="F261" s="27" t="str">
        <x:v>multi-agent auction simulation</x:v>
      </x:c>
      <x:c r="G261" s="27" t="str">
        <x:v>模拟不同竞价参与者对价格发现的影响</x:v>
      </x:c>
      <x:c r="H261" s="27" t="str">
        <x:v>股票竞价/债券/FX/期权/RFQ市场</x:v>
      </x:c>
      <x:c r="I261" s="27" t="str">
        <x:v>30秒-5分钟</x:v>
      </x:c>
      <x:c r="J261" s="27" t="str">
        <x:v>事件窗口内1-30秒</x:v>
      </x:c>
      <x:c r="K261" s="27" t="str">
        <x:v>竞价不平衡、RFQ、报价、成交、对手类型</x:v>
      </x:c>
      <x:c r="L261" s="27" t="str">
        <x:v>根据不平衡、胜率和逆选择估计选择报价或方向</x:v>
      </x:c>
      <x:c r="M261" s="27" t="str">
        <x:v>竞价结束、RFQ过期、价格偏离或胜率/毒性变差退出</x:v>
      </x:c>
      <x:c r="N261" s="27" t="str">
        <x:v>imbalance, win_prob, quote_edge, response_time</x:v>
      </x:c>
      <x:c r="O261" s="27" t="str">
        <x:v>高</x:v>
      </x:c>
      <x:c r="P261" s="27" t="str">
        <x:v>中-高</x:v>
      </x:c>
      <x:c r="Q261" s="27" t="str">
        <x:v>披露规则变化、样本少、对手学习</x:v>
      </x:c>
      <x:c r="R261" s="27" t="str">
        <x:v>按竞价/RFQ场景分层并评估机会成本</x:v>
      </x:c>
      <x:c r="S261" s="27" t="str">
        <x:v>Hawkes-driven LOB simulation</x:v>
      </x:c>
      <x:c r="T261" s="27" t="str">
        <x:v>https://arxiv.org/abs/2510.08085</x:v>
      </x:c>
      <x:c r="U261" s="27" t="str"/>
    </x:row>
    <x:row r="262" ht="54" customHeight="1">
      <x:c r="A262" s="27" t="str">
        <x:v>GT261</x:v>
      </x:c>
      <x:c r="B262" s="27" t="str">
        <x:v>博弈论/市场微结构</x:v>
      </x:c>
      <x:c r="C262" s="27" t="str">
        <x:v>多智能体/均值场/强化学习</x:v>
      </x:c>
      <x:c r="D262" s="27" t="str">
        <x:v>经典</x:v>
      </x:c>
      <x:c r="E262" s="27" t="str">
        <x:v>多智能体做市训练</x:v>
      </x:c>
      <x:c r="F262" s="27" t="str">
        <x:v>multi-agent MM training</x:v>
      </x:c>
      <x:c r="G262" s="27" t="str">
        <x:v>多个做市商互动影响点差与成交概率</x:v>
      </x:c>
      <x:c r="H262" s="27" t="str">
        <x:v>股票/期货/加密/多场所LOB/仿真市场</x:v>
      </x:c>
      <x:c r="I262" s="27" t="str">
        <x:v>5秒-5分钟</x:v>
      </x:c>
      <x:c r="J262" s="27" t="str">
        <x:v>1-30秒策略动作</x:v>
      </x:c>
      <x:c r="K262" s="27" t="str">
        <x:v>交互式订单簿仿真、对手状态、成交反馈</x:v>
      </x:c>
      <x:c r="L262" s="27" t="str">
        <x:v>智能体根据状态选择挂单/吃单/撤单/等待</x:v>
      </x:c>
      <x:c r="M262" s="27" t="str">
        <x:v>奖励恶化、风险约束触发、状态置信度下降时退出或降仓</x:v>
      </x:c>
      <x:c r="N262" s="27" t="str">
        <x:v>reward_fn, inventory_penalty, opponent_state, simulator_seed</x:v>
      </x:c>
      <x:c r="O262" s="27" t="str">
        <x:v>很高</x:v>
      </x:c>
      <x:c r="P262" s="27" t="str">
        <x:v>中-高</x:v>
      </x:c>
      <x:c r="Q262" s="27" t="str">
        <x:v>仿真-实盘差距、奖励黑客、不可解释</x:v>
      </x:c>
      <x:c r="R262" s="27" t="str">
        <x:v>用市场回放+交互仿真双重验证，不只看仿真PnL</x:v>
      </x:c>
      <x:c r="S262" s="27" t="str">
        <x:v>Deep RL / market making papers on arXiv</x:v>
      </x:c>
      <x:c r="T262" s="27" t="str">
        <x:v>https://arxiv.org/abs/2207.09951</x:v>
      </x:c>
      <x:c r="U262" s="27" t="str"/>
    </x:row>
    <x:row r="263" ht="54" customHeight="1">
      <x:c r="A263" s="27" t="str">
        <x:v>GT262</x:v>
      </x:c>
      <x:c r="B263" s="27" t="str">
        <x:v>博弈论/市场微结构</x:v>
      </x:c>
      <x:c r="C263" s="27" t="str">
        <x:v>多智能体/均值场/强化学习</x:v>
      </x:c>
      <x:c r="D263" s="27" t="str">
        <x:v>经典</x:v>
      </x:c>
      <x:c r="E263" s="27" t="str">
        <x:v>均值场库存控制</x:v>
      </x:c>
      <x:c r="F263" s="27" t="str">
        <x:v>mean-field inventory control</x:v>
      </x:c>
      <x:c r="G263" s="27" t="str">
        <x:v>大量相似做市商可用均值场近似</x:v>
      </x:c>
      <x:c r="H263" s="27" t="str">
        <x:v>股票/期货/加密/多场所LOB/仿真市场</x:v>
      </x:c>
      <x:c r="I263" s="27" t="str">
        <x:v>5秒-5分钟</x:v>
      </x:c>
      <x:c r="J263" s="27" t="str">
        <x:v>1-30秒策略动作</x:v>
      </x:c>
      <x:c r="K263" s="27" t="str">
        <x:v>交互式订单簿仿真、对手状态、成交反馈</x:v>
      </x:c>
      <x:c r="L263" s="27" t="str">
        <x:v>智能体根据状态选择挂单/吃单/撤单/等待</x:v>
      </x:c>
      <x:c r="M263" s="27" t="str">
        <x:v>奖励恶化、风险约束触发、状态置信度下降时退出或降仓</x:v>
      </x:c>
      <x:c r="N263" s="27" t="str">
        <x:v>reward_fn, inventory_penalty, opponent_state, simulator_seed</x:v>
      </x:c>
      <x:c r="O263" s="27" t="str">
        <x:v>很高</x:v>
      </x:c>
      <x:c r="P263" s="27" t="str">
        <x:v>中-高</x:v>
      </x:c>
      <x:c r="Q263" s="27" t="str">
        <x:v>仿真-实盘差距、奖励黑客、不可解释</x:v>
      </x:c>
      <x:c r="R263" s="27" t="str">
        <x:v>用市场回放+交互仿真双重验证，不只看仿真PnL</x:v>
      </x:c>
      <x:c r="S263" s="27" t="str">
        <x:v>arXiv q-fin.TR Trading and Market Microstructure</x:v>
      </x:c>
      <x:c r="T263" s="27" t="str">
        <x:v>https://arxiv.org/list/q-fin.TR/recent</x:v>
      </x:c>
      <x:c r="U263" s="27" t="str"/>
    </x:row>
    <x:row r="264" ht="54" customHeight="1">
      <x:c r="A264" s="27" t="str">
        <x:v>GT263</x:v>
      </x:c>
      <x:c r="B264" s="27" t="str">
        <x:v>博弈论/市场微结构</x:v>
      </x:c>
      <x:c r="C264" s="27" t="str">
        <x:v>多智能体/均值场/强化学习</x:v>
      </x:c>
      <x:c r="D264" s="27" t="str">
        <x:v>经典</x:v>
      </x:c>
      <x:c r="E264" s="27" t="str">
        <x:v>多主体执行竞赛</x:v>
      </x:c>
      <x:c r="F264" s="27" t="str">
        <x:v>multi-agent execution race</x:v>
      </x:c>
      <x:c r="G264" s="27" t="str">
        <x:v>多个大单同时执行时冲击相互影响</x:v>
      </x:c>
      <x:c r="H264" s="27" t="str">
        <x:v>股票/期货/加密/多场所LOB/仿真市场</x:v>
      </x:c>
      <x:c r="I264" s="27" t="str">
        <x:v>5秒-5分钟</x:v>
      </x:c>
      <x:c r="J264" s="27" t="str">
        <x:v>1-30秒策略动作</x:v>
      </x:c>
      <x:c r="K264" s="27" t="str">
        <x:v>交互式订单簿仿真、对手状态、成交反馈</x:v>
      </x:c>
      <x:c r="L264" s="27" t="str">
        <x:v>智能体根据状态选择挂单/吃单/撤单/等待</x:v>
      </x:c>
      <x:c r="M264" s="27" t="str">
        <x:v>奖励恶化、风险约束触发、状态置信度下降时退出或降仓</x:v>
      </x:c>
      <x:c r="N264" s="27" t="str">
        <x:v>reward_fn, inventory_penalty, opponent_state, simulator_seed</x:v>
      </x:c>
      <x:c r="O264" s="27" t="str">
        <x:v>很高</x:v>
      </x:c>
      <x:c r="P264" s="27" t="str">
        <x:v>中-高</x:v>
      </x:c>
      <x:c r="Q264" s="27" t="str">
        <x:v>仿真-实盘差距、奖励黑客、不可解释</x:v>
      </x:c>
      <x:c r="R264" s="27" t="str">
        <x:v>用市场回放+交互仿真双重验证，不只看仿真PnL</x:v>
      </x:c>
      <x:c r="S264" s="27" t="str">
        <x:v>Hawkes-driven LOB simulation</x:v>
      </x:c>
      <x:c r="T264" s="27" t="str">
        <x:v>https://arxiv.org/abs/2510.08085</x:v>
      </x:c>
      <x:c r="U264" s="27" t="str"/>
    </x:row>
    <x:row r="265" ht="54" customHeight="1">
      <x:c r="A265" s="27" t="str">
        <x:v>GT264</x:v>
      </x:c>
      <x:c r="B265" s="27" t="str">
        <x:v>博弈论/市场微结构</x:v>
      </x:c>
      <x:c r="C265" s="27" t="str">
        <x:v>多智能体/均值场/强化学习</x:v>
      </x:c>
      <x:c r="D265" s="27" t="str">
        <x:v>新兴</x:v>
      </x:c>
      <x:c r="E265" s="27" t="str">
        <x:v>自博弈报价策略</x:v>
      </x:c>
      <x:c r="F265" s="27" t="str">
        <x:v>self-play quoting policy</x:v>
      </x:c>
      <x:c r="G265" s="27" t="str">
        <x:v>通过自博弈学习竞争性报价</x:v>
      </x:c>
      <x:c r="H265" s="27" t="str">
        <x:v>股票/期货/加密/多场所LOB/仿真市场</x:v>
      </x:c>
      <x:c r="I265" s="27" t="str">
        <x:v>5秒-5分钟</x:v>
      </x:c>
      <x:c r="J265" s="27" t="str">
        <x:v>1-30秒策略动作</x:v>
      </x:c>
      <x:c r="K265" s="27" t="str">
        <x:v>交互式订单簿仿真、对手状态、成交反馈</x:v>
      </x:c>
      <x:c r="L265" s="27" t="str">
        <x:v>智能体根据状态选择挂单/吃单/撤单/等待</x:v>
      </x:c>
      <x:c r="M265" s="27" t="str">
        <x:v>奖励恶化、风险约束触发、状态置信度下降时退出或降仓</x:v>
      </x:c>
      <x:c r="N265" s="27" t="str">
        <x:v>reward_fn, inventory_penalty, opponent_state, simulator_seed</x:v>
      </x:c>
      <x:c r="O265" s="27" t="str">
        <x:v>很高</x:v>
      </x:c>
      <x:c r="P265" s="27" t="str">
        <x:v>中-高</x:v>
      </x:c>
      <x:c r="Q265" s="27" t="str">
        <x:v>仿真-实盘差距、奖励黑客、不可解释</x:v>
      </x:c>
      <x:c r="R265" s="27" t="str">
        <x:v>用市场回放+交互仿真双重验证，不只看仿真PnL</x:v>
      </x:c>
      <x:c r="S265" s="27" t="str">
        <x:v>Deep RL / market making papers on arXiv</x:v>
      </x:c>
      <x:c r="T265" s="27" t="str">
        <x:v>https://arxiv.org/abs/2207.09951</x:v>
      </x:c>
      <x:c r="U265" s="27" t="str"/>
    </x:row>
    <x:row r="266" ht="54" customHeight="1">
      <x:c r="A266" s="27" t="str">
        <x:v>GT265</x:v>
      </x:c>
      <x:c r="B266" s="27" t="str">
        <x:v>博弈论/市场微结构</x:v>
      </x:c>
      <x:c r="C266" s="27" t="str">
        <x:v>多智能体/均值场/强化学习</x:v>
      </x:c>
      <x:c r="D266" s="27" t="str">
        <x:v>新兴</x:v>
      </x:c>
      <x:c r="E266" s="27" t="str">
        <x:v>对手策略识别</x:v>
      </x:c>
      <x:c r="F266" s="27" t="str">
        <x:v>opponent-strategy inference</x:v>
      </x:c>
      <x:c r="G266" s="27" t="str">
        <x:v>识别对手偏好后调整报价和撤单</x:v>
      </x:c>
      <x:c r="H266" s="27" t="str">
        <x:v>股票/期货/加密/多场所LOB/仿真市场</x:v>
      </x:c>
      <x:c r="I266" s="27" t="str">
        <x:v>5秒-5分钟</x:v>
      </x:c>
      <x:c r="J266" s="27" t="str">
        <x:v>1-30秒策略动作</x:v>
      </x:c>
      <x:c r="K266" s="27" t="str">
        <x:v>交互式订单簿仿真、对手状态、成交反馈</x:v>
      </x:c>
      <x:c r="L266" s="27" t="str">
        <x:v>智能体根据状态选择挂单/吃单/撤单/等待</x:v>
      </x:c>
      <x:c r="M266" s="27" t="str">
        <x:v>奖励恶化、风险约束触发、状态置信度下降时退出或降仓</x:v>
      </x:c>
      <x:c r="N266" s="27" t="str">
        <x:v>reward_fn, inventory_penalty, opponent_state, simulator_seed</x:v>
      </x:c>
      <x:c r="O266" s="27" t="str">
        <x:v>很高</x:v>
      </x:c>
      <x:c r="P266" s="27" t="str">
        <x:v>中-高</x:v>
      </x:c>
      <x:c r="Q266" s="27" t="str">
        <x:v>仿真-实盘差距、奖励黑客、不可解释</x:v>
      </x:c>
      <x:c r="R266" s="27" t="str">
        <x:v>用市场回放+交互仿真双重验证，不只看仿真PnL</x:v>
      </x:c>
      <x:c r="S266" s="27" t="str">
        <x:v>arXiv q-fin.TR Trading and Market Microstructure</x:v>
      </x:c>
      <x:c r="T266" s="27" t="str">
        <x:v>https://arxiv.org/list/q-fin.TR/recent</x:v>
      </x:c>
      <x:c r="U266" s="27" t="str"/>
    </x:row>
    <x:row r="267" ht="54" customHeight="1">
      <x:c r="A267" s="27" t="str">
        <x:v>GT266</x:v>
      </x:c>
      <x:c r="B267" s="27" t="str">
        <x:v>博弈论/市场微结构</x:v>
      </x:c>
      <x:c r="C267" s="27" t="str">
        <x:v>多智能体/均值场/强化学习</x:v>
      </x:c>
      <x:c r="D267" s="27" t="str">
        <x:v>新兴</x:v>
      </x:c>
      <x:c r="E267" s="27" t="str">
        <x:v>可微分订单簿仿真</x:v>
      </x:c>
      <x:c r="F267" s="27" t="str">
        <x:v>differentiable LOB simulation</x:v>
      </x:c>
      <x:c r="G267" s="27" t="str">
        <x:v>仿真器可用于端到端优化策略参数</x:v>
      </x:c>
      <x:c r="H267" s="27" t="str">
        <x:v>股票/期货/加密/多场所LOB/仿真市场</x:v>
      </x:c>
      <x:c r="I267" s="27" t="str">
        <x:v>5秒-5分钟</x:v>
      </x:c>
      <x:c r="J267" s="27" t="str">
        <x:v>1-30秒策略动作</x:v>
      </x:c>
      <x:c r="K267" s="27" t="str">
        <x:v>交互式订单簿仿真、对手状态、成交反馈</x:v>
      </x:c>
      <x:c r="L267" s="27" t="str">
        <x:v>智能体根据状态选择挂单/吃单/撤单/等待</x:v>
      </x:c>
      <x:c r="M267" s="27" t="str">
        <x:v>奖励恶化、风险约束触发、状态置信度下降时退出或降仓</x:v>
      </x:c>
      <x:c r="N267" s="27" t="str">
        <x:v>reward_fn, inventory_penalty, opponent_state, simulator_seed</x:v>
      </x:c>
      <x:c r="O267" s="27" t="str">
        <x:v>很高</x:v>
      </x:c>
      <x:c r="P267" s="27" t="str">
        <x:v>中-高</x:v>
      </x:c>
      <x:c r="Q267" s="27" t="str">
        <x:v>仿真-实盘差距、奖励黑客、不可解释</x:v>
      </x:c>
      <x:c r="R267" s="27" t="str">
        <x:v>用市场回放+交互仿真双重验证，不只看仿真PnL</x:v>
      </x:c>
      <x:c r="S267" s="27" t="str">
        <x:v>LOB-Bench generative AI benchmark for LOB data</x:v>
      </x:c>
      <x:c r="T267" s="27" t="str">
        <x:v>https://arxiv.org/abs/2502.09172</x:v>
      </x:c>
      <x:c r="U267" s="27" t="str"/>
    </x:row>
    <x:row r="268" ht="54" customHeight="1">
      <x:c r="A268" s="27" t="str">
        <x:v>GT267</x:v>
      </x:c>
      <x:c r="B268" s="27" t="str">
        <x:v>博弈论/市场微结构</x:v>
      </x:c>
      <x:c r="C268" s="27" t="str">
        <x:v>多智能体/均值场/强化学习</x:v>
      </x:c>
      <x:c r="D268" s="27" t="str">
        <x:v>新兴</x:v>
      </x:c>
      <x:c r="E268" s="27" t="str">
        <x:v>生成式市场代理压力测试</x:v>
      </x:c>
      <x:c r="F268" s="27" t="str">
        <x:v>generative agent stress testing</x:v>
      </x:c>
      <x:c r="G268" s="27" t="str">
        <x:v>用生成式代理产生罕见市场状态</x:v>
      </x:c>
      <x:c r="H268" s="27" t="str">
        <x:v>股票/期货/加密/多场所LOB/仿真市场</x:v>
      </x:c>
      <x:c r="I268" s="27" t="str">
        <x:v>5秒-5分钟</x:v>
      </x:c>
      <x:c r="J268" s="27" t="str">
        <x:v>1-30秒策略动作</x:v>
      </x:c>
      <x:c r="K268" s="27" t="str">
        <x:v>交互式订单簿仿真、对手状态、成交反馈</x:v>
      </x:c>
      <x:c r="L268" s="27" t="str">
        <x:v>智能体根据状态选择挂单/吃单/撤单/等待</x:v>
      </x:c>
      <x:c r="M268" s="27" t="str">
        <x:v>奖励恶化、风险约束触发、状态置信度下降时退出或降仓</x:v>
      </x:c>
      <x:c r="N268" s="27" t="str">
        <x:v>reward_fn, inventory_penalty, opponent_state, simulator_seed</x:v>
      </x:c>
      <x:c r="O268" s="27" t="str">
        <x:v>很高</x:v>
      </x:c>
      <x:c r="P268" s="27" t="str">
        <x:v>中-高</x:v>
      </x:c>
      <x:c r="Q268" s="27" t="str">
        <x:v>仿真-实盘差距、奖励黑客、不可解释</x:v>
      </x:c>
      <x:c r="R268" s="27" t="str">
        <x:v>用市场回放+交互仿真双重验证，不只看仿真PnL</x:v>
      </x:c>
      <x:c r="S268" s="27" t="str">
        <x:v>LOB-Bench generative AI benchmark for LOB data</x:v>
      </x:c>
      <x:c r="T268" s="27" t="str">
        <x:v>https://arxiv.org/abs/2502.09172</x:v>
      </x:c>
      <x:c r="U268" s="27" t="str"/>
    </x:row>
    <x:row r="269" ht="54" customHeight="1">
      <x:c r="A269" s="27" t="str">
        <x:v>GT268</x:v>
      </x:c>
      <x:c r="B269" s="27" t="str">
        <x:v>博弈论/市场微结构</x:v>
      </x:c>
      <x:c r="C269" s="27" t="str">
        <x:v>多智能体/均值场/强化学习</x:v>
      </x:c>
      <x:c r="D269" s="27" t="str">
        <x:v>新兴</x:v>
      </x:c>
      <x:c r="E269" s="27" t="str">
        <x:v>多场所路由博弈RL</x:v>
      </x:c>
      <x:c r="F269" s="27" t="str">
        <x:v>multi-venue routing RL</x:v>
      </x:c>
      <x:c r="G269" s="27" t="str">
        <x:v>订单路由影响自己和其他人的排队位置</x:v>
      </x:c>
      <x:c r="H269" s="27" t="str">
        <x:v>股票/期货/加密/多场所LOB/仿真市场</x:v>
      </x:c>
      <x:c r="I269" s="27" t="str">
        <x:v>5秒-5分钟</x:v>
      </x:c>
      <x:c r="J269" s="27" t="str">
        <x:v>1-30秒策略动作</x:v>
      </x:c>
      <x:c r="K269" s="27" t="str">
        <x:v>交互式订单簿仿真、对手状态、成交反馈</x:v>
      </x:c>
      <x:c r="L269" s="27" t="str">
        <x:v>智能体根据状态选择挂单/吃单/撤单/等待</x:v>
      </x:c>
      <x:c r="M269" s="27" t="str">
        <x:v>奖励恶化、风险约束触发、状态置信度下降时退出或降仓</x:v>
      </x:c>
      <x:c r="N269" s="27" t="str">
        <x:v>reward_fn, inventory_penalty, opponent_state, simulator_seed</x:v>
      </x:c>
      <x:c r="O269" s="27" t="str">
        <x:v>很高</x:v>
      </x:c>
      <x:c r="P269" s="27" t="str">
        <x:v>中-高</x:v>
      </x:c>
      <x:c r="Q269" s="27" t="str">
        <x:v>仿真-实盘差距、奖励黑客、不可解释</x:v>
      </x:c>
      <x:c r="R269" s="27" t="str">
        <x:v>用市场回放+交互仿真双重验证，不只看仿真PnL</x:v>
      </x:c>
      <x:c r="S269" s="27" t="str">
        <x:v>arXiv q-fin.TR Trading and Market Microstructure</x:v>
      </x:c>
      <x:c r="T269" s="27" t="str">
        <x:v>https://arxiv.org/list/q-fin.TR/recent</x:v>
      </x:c>
      <x:c r="U269" s="27" t="str"/>
    </x:row>
    <x:row r="270" ht="54" customHeight="1">
      <x:c r="A270" s="27" t="str">
        <x:v>GT269</x:v>
      </x:c>
      <x:c r="B270" s="27" t="str">
        <x:v>博弈论/市场微结构</x:v>
      </x:c>
      <x:c r="C270" s="27" t="str">
        <x:v>多智能体/均值场/强化学习</x:v>
      </x:c>
      <x:c r="D270" s="27" t="str">
        <x:v>新兴</x:v>
      </x:c>
      <x:c r="E270" s="27" t="str">
        <x:v>价格影响均衡学习</x:v>
      </x:c>
      <x:c r="F270" s="27" t="str">
        <x:v>impact-equilibrium learning</x:v>
      </x:c>
      <x:c r="G270" s="27" t="str">
        <x:v>学习策略对价格影响的反身性</x:v>
      </x:c>
      <x:c r="H270" s="27" t="str">
        <x:v>股票/期货/加密/多场所LOB/仿真市场</x:v>
      </x:c>
      <x:c r="I270" s="27" t="str">
        <x:v>5秒-5分钟</x:v>
      </x:c>
      <x:c r="J270" s="27" t="str">
        <x:v>1-30秒策略动作</x:v>
      </x:c>
      <x:c r="K270" s="27" t="str">
        <x:v>交互式订单簿仿真、对手状态、成交反馈</x:v>
      </x:c>
      <x:c r="L270" s="27" t="str">
        <x:v>智能体根据状态选择挂单/吃单/撤单/等待</x:v>
      </x:c>
      <x:c r="M270" s="27" t="str">
        <x:v>奖励恶化、风险约束触发、状态置信度下降时退出或降仓</x:v>
      </x:c>
      <x:c r="N270" s="27" t="str">
        <x:v>reward_fn, inventory_penalty, opponent_state, simulator_seed</x:v>
      </x:c>
      <x:c r="O270" s="27" t="str">
        <x:v>很高</x:v>
      </x:c>
      <x:c r="P270" s="27" t="str">
        <x:v>中-高</x:v>
      </x:c>
      <x:c r="Q270" s="27" t="str">
        <x:v>仿真-实盘差距、奖励黑客、不可解释</x:v>
      </x:c>
      <x:c r="R270" s="27" t="str">
        <x:v>用市场回放+交互仿真双重验证，不只看仿真PnL</x:v>
      </x:c>
      <x:c r="S270" s="27" t="str">
        <x:v>arXiv q-fin.TR Trading and Market Microstructure</x:v>
      </x:c>
      <x:c r="T270" s="27" t="str">
        <x:v>https://arxiv.org/list/q-fin.TR/recent</x:v>
      </x:c>
      <x:c r="U270" s="27" t="str"/>
    </x:row>
    <x:row r="271" ht="54" customHeight="1">
      <x:c r="A271" s="27" t="str">
        <x:v>GT270</x:v>
      </x:c>
      <x:c r="B271" s="27" t="str">
        <x:v>博弈论/市场微结构</x:v>
      </x:c>
      <x:c r="C271" s="27" t="str">
        <x:v>多智能体/均值场/强化学习</x:v>
      </x:c>
      <x:c r="D271" s="27" t="str">
        <x:v>新兴</x:v>
      </x:c>
      <x:c r="E271" s="27" t="str">
        <x:v>市场设计参数敏感性</x:v>
      </x:c>
      <x:c r="F271" s="27" t="str">
        <x:v>market-design sensitivity strategy</x:v>
      </x:c>
      <x:c r="G271" s="27" t="str">
        <x:v>tick、费用、限速规则改变均衡收益</x:v>
      </x:c>
      <x:c r="H271" s="27" t="str">
        <x:v>股票/期货/加密/多场所LOB/仿真市场</x:v>
      </x:c>
      <x:c r="I271" s="27" t="str">
        <x:v>5秒-5分钟</x:v>
      </x:c>
      <x:c r="J271" s="27" t="str">
        <x:v>1-30秒策略动作</x:v>
      </x:c>
      <x:c r="K271" s="27" t="str">
        <x:v>交互式订单簿仿真、对手状态、成交反馈</x:v>
      </x:c>
      <x:c r="L271" s="27" t="str">
        <x:v>智能体根据状态选择挂单/吃单/撤单/等待</x:v>
      </x:c>
      <x:c r="M271" s="27" t="str">
        <x:v>奖励恶化、风险约束触发、状态置信度下降时退出或降仓</x:v>
      </x:c>
      <x:c r="N271" s="27" t="str">
        <x:v>reward_fn, inventory_penalty, opponent_state, simulator_seed</x:v>
      </x:c>
      <x:c r="O271" s="27" t="str">
        <x:v>很高</x:v>
      </x:c>
      <x:c r="P271" s="27" t="str">
        <x:v>中-高</x:v>
      </x:c>
      <x:c r="Q271" s="27" t="str">
        <x:v>仿真-实盘差距、奖励黑客、不可解释</x:v>
      </x:c>
      <x:c r="R271" s="27" t="str">
        <x:v>用市场回放+交互仿真双重验证，不只看仿真PnL</x:v>
      </x:c>
      <x:c r="S271" s="27" t="str">
        <x:v>arXiv q-fin.TR Trading and Market Microstructure</x:v>
      </x:c>
      <x:c r="T271" s="27" t="str">
        <x:v>https://arxiv.org/list/q-fin.TR/recent</x:v>
      </x:c>
      <x:c r="U271" s="27" t="str"/>
    </x:row>
    <x:row r="272" ht="54" customHeight="1">
      <x:c r="A272" s="27" t="str">
        <x:v>GT271</x:v>
      </x:c>
      <x:c r="B272" s="27" t="str">
        <x:v>博弈论/市场微结构</x:v>
      </x:c>
      <x:c r="C272" s="27" t="str">
        <x:v>多智能体/均值场/强化学习</x:v>
      </x:c>
      <x:c r="D272" s="27" t="str">
        <x:v>新兴</x:v>
      </x:c>
      <x:c r="E272" s="27" t="str">
        <x:v>协同/竞争流动性提供</x:v>
      </x:c>
      <x:c r="F272" s="27" t="str">
        <x:v>coopetitive liquidity provision</x:v>
      </x:c>
      <x:c r="G272" s="27" t="str">
        <x:v>多个策略共享风险但竞争成交</x:v>
      </x:c>
      <x:c r="H272" s="27" t="str">
        <x:v>股票/期货/加密/多场所LOB/仿真市场</x:v>
      </x:c>
      <x:c r="I272" s="27" t="str">
        <x:v>5秒-5分钟</x:v>
      </x:c>
      <x:c r="J272" s="27" t="str">
        <x:v>1-30秒策略动作</x:v>
      </x:c>
      <x:c r="K272" s="27" t="str">
        <x:v>交互式订单簿仿真、对手状态、成交反馈</x:v>
      </x:c>
      <x:c r="L272" s="27" t="str">
        <x:v>智能体根据状态选择挂单/吃单/撤单/等待</x:v>
      </x:c>
      <x:c r="M272" s="27" t="str">
        <x:v>奖励恶化、风险约束触发、状态置信度下降时退出或降仓</x:v>
      </x:c>
      <x:c r="N272" s="27" t="str">
        <x:v>reward_fn, inventory_penalty, opponent_state, simulator_seed</x:v>
      </x:c>
      <x:c r="O272" s="27" t="str">
        <x:v>很高</x:v>
      </x:c>
      <x:c r="P272" s="27" t="str">
        <x:v>中-高</x:v>
      </x:c>
      <x:c r="Q272" s="27" t="str">
        <x:v>仿真-实盘差距、奖励黑客、不可解释</x:v>
      </x:c>
      <x:c r="R272" s="27" t="str">
        <x:v>用市场回放+交互仿真双重验证，不只看仿真PnL</x:v>
      </x:c>
      <x:c r="S272" s="27" t="str">
        <x:v>arXiv q-fin.TR Trading and Market Microstructure</x:v>
      </x:c>
      <x:c r="T272" s="27" t="str">
        <x:v>https://arxiv.org/list/q-fin.TR/recent</x:v>
      </x:c>
      <x:c r="U272" s="27" t="str"/>
    </x:row>
    <x:row r="273" ht="54" customHeight="1">
      <x:c r="A273" s="27" t="str">
        <x:v>GT272</x:v>
      </x:c>
      <x:c r="B273" s="27" t="str">
        <x:v>博弈论/市场微结构</x:v>
      </x:c>
      <x:c r="C273" s="27" t="str">
        <x:v>多智能体/均值场/强化学习</x:v>
      </x:c>
      <x:c r="D273" s="27" t="str">
        <x:v>新兴</x:v>
      </x:c>
      <x:c r="E273" s="27" t="str">
        <x:v>多代理元策略选择</x:v>
      </x:c>
      <x:c r="F273" s="27" t="str">
        <x:v>multi-agent meta-strategy router</x:v>
      </x:c>
      <x:c r="G273" s="27" t="str">
        <x:v>根据对手环境选择做市/吃单/等待</x:v>
      </x:c>
      <x:c r="H273" s="27" t="str">
        <x:v>股票/期货/加密/多场所LOB/仿真市场</x:v>
      </x:c>
      <x:c r="I273" s="27" t="str">
        <x:v>5秒-5分钟</x:v>
      </x:c>
      <x:c r="J273" s="27" t="str">
        <x:v>1-30秒策略动作</x:v>
      </x:c>
      <x:c r="K273" s="27" t="str">
        <x:v>交互式订单簿仿真、对手状态、成交反馈</x:v>
      </x:c>
      <x:c r="L273" s="27" t="str">
        <x:v>智能体根据状态选择挂单/吃单/撤单/等待</x:v>
      </x:c>
      <x:c r="M273" s="27" t="str">
        <x:v>奖励恶化、风险约束触发、状态置信度下降时退出或降仓</x:v>
      </x:c>
      <x:c r="N273" s="27" t="str">
        <x:v>reward_fn, inventory_penalty, opponent_state, simulator_seed</x:v>
      </x:c>
      <x:c r="O273" s="27" t="str">
        <x:v>很高</x:v>
      </x:c>
      <x:c r="P273" s="27" t="str">
        <x:v>中-高</x:v>
      </x:c>
      <x:c r="Q273" s="27" t="str">
        <x:v>仿真-实盘差距、奖励黑客、不可解释</x:v>
      </x:c>
      <x:c r="R273" s="27" t="str">
        <x:v>用市场回放+交互仿真双重验证，不只看仿真PnL</x:v>
      </x:c>
      <x:c r="S273" s="27" t="str">
        <x:v>Deep RL / market making papers on arXiv</x:v>
      </x:c>
      <x:c r="T273" s="27" t="str">
        <x:v>https://arxiv.org/abs/2207.09951</x:v>
      </x:c>
      <x:c r="U273" s="27" t="str"/>
    </x:row>
    <x:row r="274" ht="54" customHeight="1">
      <x:c r="A274" s="27" t="str">
        <x:v>GT273</x:v>
      </x:c>
      <x:c r="B274" s="27" t="str">
        <x:v>博弈论/市场微结构</x:v>
      </x:c>
      <x:c r="C274" s="27" t="str">
        <x:v>多智能体/均值场/强化学习</x:v>
      </x:c>
      <x:c r="D274" s="27" t="str">
        <x:v>新兴</x:v>
      </x:c>
      <x:c r="E274" s="27" t="str">
        <x:v>纳什均衡报价近似</x:v>
      </x:c>
      <x:c r="F274" s="27" t="str">
        <x:v>Nash-approximate quoting</x:v>
      </x:c>
      <x:c r="G274" s="27" t="str">
        <x:v>报价策略寻找近似均衡而非单方最优</x:v>
      </x:c>
      <x:c r="H274" s="27" t="str">
        <x:v>股票/期货/加密/多场所LOB/仿真市场</x:v>
      </x:c>
      <x:c r="I274" s="27" t="str">
        <x:v>5秒-5分钟</x:v>
      </x:c>
      <x:c r="J274" s="27" t="str">
        <x:v>1-30秒策略动作</x:v>
      </x:c>
      <x:c r="K274" s="27" t="str">
        <x:v>交互式订单簿仿真、对手状态、成交反馈</x:v>
      </x:c>
      <x:c r="L274" s="27" t="str">
        <x:v>智能体根据状态选择挂单/吃单/撤单/等待</x:v>
      </x:c>
      <x:c r="M274" s="27" t="str">
        <x:v>奖励恶化、风险约束触发、状态置信度下降时退出或降仓</x:v>
      </x:c>
      <x:c r="N274" s="27" t="str">
        <x:v>reward_fn, inventory_penalty, opponent_state, simulator_seed</x:v>
      </x:c>
      <x:c r="O274" s="27" t="str">
        <x:v>很高</x:v>
      </x:c>
      <x:c r="P274" s="27" t="str">
        <x:v>中-高</x:v>
      </x:c>
      <x:c r="Q274" s="27" t="str">
        <x:v>仿真-实盘差距、奖励黑客、不可解释</x:v>
      </x:c>
      <x:c r="R274" s="27" t="str">
        <x:v>用市场回放+交互仿真双重验证，不只看仿真PnL</x:v>
      </x:c>
      <x:c r="S274" s="27" t="str">
        <x:v>arXiv q-fin.TR Trading and Market Microstructure</x:v>
      </x:c>
      <x:c r="T274" s="27" t="str">
        <x:v>https://arxiv.org/list/q-fin.TR/recent</x:v>
      </x:c>
      <x:c r="U274" s="27" t="str"/>
    </x:row>
    <x:row r="275" ht="54" customHeight="1">
      <x:c r="A275" s="27" t="str">
        <x:v>GT274</x:v>
      </x:c>
      <x:c r="B275" s="27" t="str">
        <x:v>博弈论/市场微结构</x:v>
      </x:c>
      <x:c r="C275" s="27" t="str">
        <x:v>多智能体/均值场/强化学习</x:v>
      </x:c>
      <x:c r="D275" s="27" t="str">
        <x:v>新兴</x:v>
      </x:c>
      <x:c r="E275" s="27" t="str">
        <x:v>Stackelberg执行策略</x:v>
      </x:c>
      <x:c r="F275" s="27" t="str">
        <x:v>Stackelberg execution game</x:v>
      </x:c>
      <x:c r="G275" s="27" t="str">
        <x:v>大单作为领导者预期跟随者反应</x:v>
      </x:c>
      <x:c r="H275" s="27" t="str">
        <x:v>股票/期货/加密/多场所LOB/仿真市场</x:v>
      </x:c>
      <x:c r="I275" s="27" t="str">
        <x:v>5秒-5分钟</x:v>
      </x:c>
      <x:c r="J275" s="27" t="str">
        <x:v>1-30秒策略动作</x:v>
      </x:c>
      <x:c r="K275" s="27" t="str">
        <x:v>交互式订单簿仿真、对手状态、成交反馈</x:v>
      </x:c>
      <x:c r="L275" s="27" t="str">
        <x:v>智能体根据状态选择挂单/吃单/撤单/等待</x:v>
      </x:c>
      <x:c r="M275" s="27" t="str">
        <x:v>奖励恶化、风险约束触发、状态置信度下降时退出或降仓</x:v>
      </x:c>
      <x:c r="N275" s="27" t="str">
        <x:v>reward_fn, inventory_penalty, opponent_state, simulator_seed</x:v>
      </x:c>
      <x:c r="O275" s="27" t="str">
        <x:v>很高</x:v>
      </x:c>
      <x:c r="P275" s="27" t="str">
        <x:v>中-高</x:v>
      </x:c>
      <x:c r="Q275" s="27" t="str">
        <x:v>仿真-实盘差距、奖励黑客、不可解释</x:v>
      </x:c>
      <x:c r="R275" s="27" t="str">
        <x:v>用市场回放+交互仿真双重验证，不只看仿真PnL</x:v>
      </x:c>
      <x:c r="S275" s="27" t="str">
        <x:v>arXiv q-fin.TR Trading and Market Microstructure</x:v>
      </x:c>
      <x:c r="T275" s="27" t="str">
        <x:v>https://arxiv.org/list/q-fin.TR/recent</x:v>
      </x:c>
      <x:c r="U275" s="27" t="str"/>
    </x:row>
    <x:row r="276" ht="54" customHeight="1">
      <x:c r="A276" s="27" t="str">
        <x:v>GT275</x:v>
      </x:c>
      <x:c r="B276" s="27" t="str">
        <x:v>博弈论/市场微结构</x:v>
      </x:c>
      <x:c r="C276" s="27" t="str">
        <x:v>多智能体/均值场/强化学习</x:v>
      </x:c>
      <x:c r="D276" s="27" t="str">
        <x:v>新兴</x:v>
      </x:c>
      <x:c r="E276" s="27" t="str">
        <x:v>机制规则变化套利</x:v>
      </x:c>
      <x:c r="F276" s="27" t="str">
        <x:v>mechanism-change adaptation</x:v>
      </x:c>
      <x:c r="G276" s="27" t="str">
        <x:v>市场机制变更后旧策略未适应产生机会</x:v>
      </x:c>
      <x:c r="H276" s="27" t="str">
        <x:v>股票/期货/加密/多场所LOB/仿真市场</x:v>
      </x:c>
      <x:c r="I276" s="27" t="str">
        <x:v>5秒-5分钟</x:v>
      </x:c>
      <x:c r="J276" s="27" t="str">
        <x:v>1-30秒策略动作</x:v>
      </x:c>
      <x:c r="K276" s="27" t="str">
        <x:v>交互式订单簿仿真、对手状态、成交反馈</x:v>
      </x:c>
      <x:c r="L276" s="27" t="str">
        <x:v>智能体根据状态选择挂单/吃单/撤单/等待</x:v>
      </x:c>
      <x:c r="M276" s="27" t="str">
        <x:v>奖励恶化、风险约束触发、状态置信度下降时退出或降仓</x:v>
      </x:c>
      <x:c r="N276" s="27" t="str">
        <x:v>reward_fn, inventory_penalty, opponent_state, simulator_seed</x:v>
      </x:c>
      <x:c r="O276" s="27" t="str">
        <x:v>很高</x:v>
      </x:c>
      <x:c r="P276" s="27" t="str">
        <x:v>中-高</x:v>
      </x:c>
      <x:c r="Q276" s="27" t="str">
        <x:v>仿真-实盘差距、奖励黑客、不可解释</x:v>
      </x:c>
      <x:c r="R276" s="27" t="str">
        <x:v>用市场回放+交互仿真双重验证，不只看仿真PnL</x:v>
      </x:c>
      <x:c r="S276" s="27" t="str">
        <x:v>arXiv q-fin.TR Trading and Market Microstructure</x:v>
      </x:c>
      <x:c r="T276" s="27" t="str">
        <x:v>https://arxiv.org/list/q-fin.TR/recent</x:v>
      </x:c>
      <x:c r="U276" s="27" t="str"/>
    </x:row>
    <x:row r="277" ht="54" customHeight="1">
      <x:c r="A277" s="27" t="str">
        <x:v>GT276</x:v>
      </x:c>
      <x:c r="B277" s="27" t="str">
        <x:v>博弈论/市场微结构</x:v>
      </x:c>
      <x:c r="C277" s="27" t="str">
        <x:v>多智能体/均值场/强化学习</x:v>
      </x:c>
      <x:c r="D277" s="27" t="str">
        <x:v>新兴</x:v>
      </x:c>
      <x:c r="E277" s="27" t="str">
        <x:v>LOB-Bench策略评估</x:v>
      </x:c>
      <x:c r="F277" s="27" t="str">
        <x:v>LOB-Bench strategy evaluation</x:v>
      </x:c>
      <x:c r="G277" s="27" t="str">
        <x:v>生成式LOB benchmark衡量模型对策略的真实性</x:v>
      </x:c>
      <x:c r="H277" s="27" t="str">
        <x:v>股票/期货/加密/多场所LOB/仿真市场</x:v>
      </x:c>
      <x:c r="I277" s="27" t="str">
        <x:v>5秒-5分钟</x:v>
      </x:c>
      <x:c r="J277" s="27" t="str">
        <x:v>1-30秒策略动作</x:v>
      </x:c>
      <x:c r="K277" s="27" t="str">
        <x:v>交互式订单簿仿真、对手状态、成交反馈</x:v>
      </x:c>
      <x:c r="L277" s="27" t="str">
        <x:v>智能体根据状态选择挂单/吃单/撤单/等待</x:v>
      </x:c>
      <x:c r="M277" s="27" t="str">
        <x:v>奖励恶化、风险约束触发、状态置信度下降时退出或降仓</x:v>
      </x:c>
      <x:c r="N277" s="27" t="str">
        <x:v>reward_fn, inventory_penalty, opponent_state, simulator_seed</x:v>
      </x:c>
      <x:c r="O277" s="27" t="str">
        <x:v>很高</x:v>
      </x:c>
      <x:c r="P277" s="27" t="str">
        <x:v>中-高</x:v>
      </x:c>
      <x:c r="Q277" s="27" t="str">
        <x:v>仿真-实盘差距、奖励黑客、不可解释</x:v>
      </x:c>
      <x:c r="R277" s="27" t="str">
        <x:v>用市场回放+交互仿真双重验证，不只看仿真PnL</x:v>
      </x:c>
      <x:c r="S277" s="27" t="str">
        <x:v>LOB-Bench generative AI benchmark for LOB data</x:v>
      </x:c>
      <x:c r="T277" s="27" t="str">
        <x:v>https://arxiv.org/abs/2502.09172</x:v>
      </x:c>
      <x:c r="U277" s="27" t="str"/>
    </x:row>
    <x:row r="278" ht="54" customHeight="1">
      <x:c r="A278" s="27" t="str">
        <x:v>GT277</x:v>
      </x:c>
      <x:c r="B278" s="27" t="str">
        <x:v>博弈论/市场微结构</x:v>
      </x:c>
      <x:c r="C278" s="27" t="str">
        <x:v>多智能体/均值场/强化学习</x:v>
      </x:c>
      <x:c r="D278" s="27" t="str">
        <x:v>新兴</x:v>
      </x:c>
      <x:c r="E278" s="27" t="str">
        <x:v>非平稳对手学习</x:v>
      </x:c>
      <x:c r="F278" s="27" t="str">
        <x:v>non-stationary opponent learning</x:v>
      </x:c>
      <x:c r="G278" s="27" t="str">
        <x:v>对手随时间学习，需要在线适应</x:v>
      </x:c>
      <x:c r="H278" s="27" t="str">
        <x:v>股票/期货/加密/多场所LOB/仿真市场</x:v>
      </x:c>
      <x:c r="I278" s="27" t="str">
        <x:v>5秒-5分钟</x:v>
      </x:c>
      <x:c r="J278" s="27" t="str">
        <x:v>1-30秒策略动作</x:v>
      </x:c>
      <x:c r="K278" s="27" t="str">
        <x:v>交互式订单簿仿真、对手状态、成交反馈</x:v>
      </x:c>
      <x:c r="L278" s="27" t="str">
        <x:v>智能体根据状态选择挂单/吃单/撤单/等待</x:v>
      </x:c>
      <x:c r="M278" s="27" t="str">
        <x:v>奖励恶化、风险约束触发、状态置信度下降时退出或降仓</x:v>
      </x:c>
      <x:c r="N278" s="27" t="str">
        <x:v>reward_fn, inventory_penalty, opponent_state, simulator_seed</x:v>
      </x:c>
      <x:c r="O278" s="27" t="str">
        <x:v>很高</x:v>
      </x:c>
      <x:c r="P278" s="27" t="str">
        <x:v>中-高</x:v>
      </x:c>
      <x:c r="Q278" s="27" t="str">
        <x:v>仿真-实盘差距、奖励黑客、不可解释</x:v>
      </x:c>
      <x:c r="R278" s="27" t="str">
        <x:v>用市场回放+交互仿真双重验证，不只看仿真PnL</x:v>
      </x:c>
      <x:c r="S278" s="27" t="str">
        <x:v>Deep RL / market making papers on arXiv</x:v>
      </x:c>
      <x:c r="T278" s="27" t="str">
        <x:v>https://arxiv.org/abs/2207.09951</x:v>
      </x:c>
      <x:c r="U278" s="27" t="str"/>
    </x:row>
    <x:row r="279" ht="54" customHeight="1">
      <x:c r="A279" s="27" t="str">
        <x:v>GT278</x:v>
      </x:c>
      <x:c r="B279" s="27" t="str">
        <x:v>博弈论/市场微结构</x:v>
      </x:c>
      <x:c r="C279" s="27" t="str">
        <x:v>多智能体/均值场/强化学习</x:v>
      </x:c>
      <x:c r="D279" s="27" t="str">
        <x:v>新兴</x:v>
      </x:c>
      <x:c r="E279" s="27" t="str">
        <x:v>博弈安全约束RL</x:v>
      </x:c>
      <x:c r="F279" s="27" t="str">
        <x:v>safe game-constrained RL</x:v>
      </x:c>
      <x:c r="G279" s="27" t="str">
        <x:v>在库存、合规和冲击约束下学习策略</x:v>
      </x:c>
      <x:c r="H279" s="27" t="str">
        <x:v>股票/期货/加密/多场所LOB/仿真市场</x:v>
      </x:c>
      <x:c r="I279" s="27" t="str">
        <x:v>5秒-5分钟</x:v>
      </x:c>
      <x:c r="J279" s="27" t="str">
        <x:v>1-30秒策略动作</x:v>
      </x:c>
      <x:c r="K279" s="27" t="str">
        <x:v>交互式订单簿仿真、对手状态、成交反馈</x:v>
      </x:c>
      <x:c r="L279" s="27" t="str">
        <x:v>智能体根据状态选择挂单/吃单/撤单/等待</x:v>
      </x:c>
      <x:c r="M279" s="27" t="str">
        <x:v>奖励恶化、风险约束触发、状态置信度下降时退出或降仓</x:v>
      </x:c>
      <x:c r="N279" s="27" t="str">
        <x:v>reward_fn, inventory_penalty, opponent_state, simulator_seed</x:v>
      </x:c>
      <x:c r="O279" s="27" t="str">
        <x:v>很高</x:v>
      </x:c>
      <x:c r="P279" s="27" t="str">
        <x:v>中-高</x:v>
      </x:c>
      <x:c r="Q279" s="27" t="str">
        <x:v>仿真-实盘差距、奖励黑客、不可解释</x:v>
      </x:c>
      <x:c r="R279" s="27" t="str">
        <x:v>用市场回放+交互仿真双重验证，不只看仿真PnL</x:v>
      </x:c>
      <x:c r="S279" s="27" t="str">
        <x:v>arXiv q-fin.TR Trading and Market Microstructure</x:v>
      </x:c>
      <x:c r="T279" s="27" t="str">
        <x:v>https://arxiv.org/list/q-fin.TR/recent</x:v>
      </x:c>
      <x:c r="U279" s="27" t="str"/>
    </x:row>
    <x:row r="280" ht="54" customHeight="1">
      <x:c r="A280" s="27" t="str">
        <x:v>GT279</x:v>
      </x:c>
      <x:c r="B280" s="27" t="str">
        <x:v>博弈论/市场微结构</x:v>
      </x:c>
      <x:c r="C280" s="27" t="str">
        <x:v>加密/DeFi机制博弈</x:v>
      </x:c>
      <x:c r="D280" s="27" t="str">
        <x:v>经典</x:v>
      </x:c>
      <x:c r="E280" s="27" t="str">
        <x:v>CEX-DEX价格同步套利</x:v>
      </x:c>
      <x:c r="F280" s="27" t="str">
        <x:v>CEX-DEX synchronization arb</x:v>
      </x:c>
      <x:c r="G280" s="27" t="str">
        <x:v>中心化与链上AMM价格因延迟/费用出现短时偏离</x:v>
      </x:c>
      <x:c r="H280" s="27" t="str">
        <x:v>加密现货/永续/DEX/AMM/链上订单簿</x:v>
      </x:c>
      <x:c r="I280" s="27" t="str">
        <x:v>5秒-5分钟</x:v>
      </x:c>
      <x:c r="J280" s="27" t="str">
        <x:v>区块/秒级评估</x:v>
      </x:c>
      <x:c r="K280" s="27" t="str">
        <x:v>CEX/DEX报价、池子深度、链上事件、gas、funding、清算数据</x:v>
      </x:c>
      <x:c r="L280" s="27" t="str">
        <x:v>偏离覆盖费用/gas/滑点并满足合规与风控时交易</x:v>
      </x:c>
      <x:c r="M280" s="27" t="str">
        <x:v>偏离收敛、gas激增、链上延迟或对手行为异常时退出</x:v>
      </x:c>
      <x:c r="N280" s="27" t="str">
        <x:v>gas, slippage, pool_depth, funding_window, liquidation_levels</x:v>
      </x:c>
      <x:c r="O280" s="27" t="str">
        <x:v>高</x:v>
      </x:c>
      <x:c r="P280" s="27" t="str">
        <x:v>高</x:v>
      </x:c>
      <x:c r="Q280" s="27" t="str">
        <x:v>MEV、链上失败、监管/合规、极端波动</x:v>
      </x:c>
      <x:c r="R280" s="27" t="str">
        <x:v>用区块时间和真实gas/失败率重放，不模拟无摩擦成交</x:v>
      </x:c>
      <x:c r="S280" s="27" t="str">
        <x:v>arXiv q-fin.TR Trading and Market Microstructure</x:v>
      </x:c>
      <x:c r="T280" s="27" t="str">
        <x:v>https://arxiv.org/list/q-fin.TR/recent</x:v>
      </x:c>
      <x:c r="U280" s="27" t="str">
        <x:v>仅作为合规/防御/正常套利研究，避免欺骗性或伤害性交易</x:v>
      </x:c>
    </x:row>
    <x:row r="281" ht="54" customHeight="1">
      <x:c r="A281" s="27" t="str">
        <x:v>GT280</x:v>
      </x:c>
      <x:c r="B281" s="27" t="str">
        <x:v>博弈论/市场微结构</x:v>
      </x:c>
      <x:c r="C281" s="27" t="str">
        <x:v>加密/DeFi机制博弈</x:v>
      </x:c>
      <x:c r="D281" s="27" t="str">
        <x:v>经典</x:v>
      </x:c>
      <x:c r="E281" s="27" t="str">
        <x:v>AMM库存/曲线再平衡</x:v>
      </x:c>
      <x:c r="F281" s="27" t="str">
        <x:v>AMM curve rebalancing</x:v>
      </x:c>
      <x:c r="G281" s="27" t="str">
        <x:v>AMM曲线价格与外部价格偏离后被套利回归</x:v>
      </x:c>
      <x:c r="H281" s="27" t="str">
        <x:v>加密现货/永续/DEX/AMM/链上订单簿</x:v>
      </x:c>
      <x:c r="I281" s="27" t="str">
        <x:v>5秒-5分钟</x:v>
      </x:c>
      <x:c r="J281" s="27" t="str">
        <x:v>区块/秒级评估</x:v>
      </x:c>
      <x:c r="K281" s="27" t="str">
        <x:v>CEX/DEX报价、池子深度、链上事件、gas、funding、清算数据</x:v>
      </x:c>
      <x:c r="L281" s="27" t="str">
        <x:v>偏离覆盖费用/gas/滑点并满足合规与风控时交易</x:v>
      </x:c>
      <x:c r="M281" s="27" t="str">
        <x:v>偏离收敛、gas激增、链上延迟或对手行为异常时退出</x:v>
      </x:c>
      <x:c r="N281" s="27" t="str">
        <x:v>gas, slippage, pool_depth, funding_window, liquidation_levels</x:v>
      </x:c>
      <x:c r="O281" s="27" t="str">
        <x:v>高</x:v>
      </x:c>
      <x:c r="P281" s="27" t="str">
        <x:v>高</x:v>
      </x:c>
      <x:c r="Q281" s="27" t="str">
        <x:v>MEV、链上失败、监管/合规、极端波动</x:v>
      </x:c>
      <x:c r="R281" s="27" t="str">
        <x:v>用区块时间和真实gas/失败率重放，不模拟无摩擦成交</x:v>
      </x:c>
      <x:c r="S281" s="27" t="str">
        <x:v>Hummingbot open-source market making framework</x:v>
      </x:c>
      <x:c r="T281" s="27" t="str">
        <x:v>https://hummingbot.org/docs/</x:v>
      </x:c>
      <x:c r="U281" s="27" t="str">
        <x:v>仅作为合规/防御/正常套利研究，避免欺骗性或伤害性交易</x:v>
      </x:c>
    </x:row>
    <x:row r="282" ht="54" customHeight="1">
      <x:c r="A282" s="27" t="str">
        <x:v>GT281</x:v>
      </x:c>
      <x:c r="B282" s="27" t="str">
        <x:v>博弈论/市场微结构</x:v>
      </x:c>
      <x:c r="C282" s="27" t="str">
        <x:v>加密/DeFi机制博弈</x:v>
      </x:c>
      <x:c r="D282" s="27" t="str">
        <x:v>经典</x:v>
      </x:c>
      <x:c r="E282" s="27" t="str">
        <x:v>LP无常损失对冲</x:v>
      </x:c>
      <x:c r="F282" s="27" t="str">
        <x:v>LP impermanent-loss hedge</x:v>
      </x:c>
      <x:c r="G282" s="27" t="str">
        <x:v>LP头寸可通过CEX/期货短窗动态对冲</x:v>
      </x:c>
      <x:c r="H282" s="27" t="str">
        <x:v>加密现货/永续/DEX/AMM/链上订单簿</x:v>
      </x:c>
      <x:c r="I282" s="27" t="str">
        <x:v>5秒-5分钟</x:v>
      </x:c>
      <x:c r="J282" s="27" t="str">
        <x:v>区块/秒级评估</x:v>
      </x:c>
      <x:c r="K282" s="27" t="str">
        <x:v>CEX/DEX报价、池子深度、链上事件、gas、funding、清算数据</x:v>
      </x:c>
      <x:c r="L282" s="27" t="str">
        <x:v>偏离覆盖费用/gas/滑点并满足合规与风控时交易</x:v>
      </x:c>
      <x:c r="M282" s="27" t="str">
        <x:v>偏离收敛、gas激增、链上延迟或对手行为异常时退出</x:v>
      </x:c>
      <x:c r="N282" s="27" t="str">
        <x:v>gas, slippage, pool_depth, funding_window, liquidation_levels</x:v>
      </x:c>
      <x:c r="O282" s="27" t="str">
        <x:v>高</x:v>
      </x:c>
      <x:c r="P282" s="27" t="str">
        <x:v>高</x:v>
      </x:c>
      <x:c r="Q282" s="27" t="str">
        <x:v>MEV、链上失败、监管/合规、极端波动</x:v>
      </x:c>
      <x:c r="R282" s="27" t="str">
        <x:v>用区块时间和真实gas/失败率重放，不模拟无摩擦成交</x:v>
      </x:c>
      <x:c r="S282" s="27" t="str">
        <x:v>Hummingbot open-source market making framework</x:v>
      </x:c>
      <x:c r="T282" s="27" t="str">
        <x:v>https://hummingbot.org/docs/</x:v>
      </x:c>
      <x:c r="U282" s="27" t="str">
        <x:v>仅作为合规/防御/正常套利研究，避免欺骗性或伤害性交易</x:v>
      </x:c>
    </x:row>
    <x:row r="283" ht="54" customHeight="1">
      <x:c r="A283" s="27" t="str">
        <x:v>GT282</x:v>
      </x:c>
      <x:c r="B283" s="27" t="str">
        <x:v>博弈论/市场微结构</x:v>
      </x:c>
      <x:c r="C283" s="27" t="str">
        <x:v>加密/DeFi机制博弈</x:v>
      </x:c>
      <x:c r="D283" s="27" t="str">
        <x:v>经典</x:v>
      </x:c>
      <x:c r="E283" s="27" t="str">
        <x:v>链上大额转账防御过滤</x:v>
      </x:c>
      <x:c r="F283" s="27" t="str">
        <x:v>large on-chain transfer defense</x:v>
      </x:c>
      <x:c r="G283" s="27" t="str">
        <x:v>交易所流入/流出会改变短线供需预期</x:v>
      </x:c>
      <x:c r="H283" s="27" t="str">
        <x:v>加密现货/永续/DEX/AMM/链上订单簿</x:v>
      </x:c>
      <x:c r="I283" s="27" t="str">
        <x:v>5秒-5分钟</x:v>
      </x:c>
      <x:c r="J283" s="27" t="str">
        <x:v>区块/秒级评估</x:v>
      </x:c>
      <x:c r="K283" s="27" t="str">
        <x:v>CEX/DEX报价、池子深度、链上事件、gas、funding、清算数据</x:v>
      </x:c>
      <x:c r="L283" s="27" t="str">
        <x:v>偏离覆盖费用/gas/滑点并满足合规与风控时交易</x:v>
      </x:c>
      <x:c r="M283" s="27" t="str">
        <x:v>偏离收敛、gas激增、链上延迟或对手行为异常时退出</x:v>
      </x:c>
      <x:c r="N283" s="27" t="str">
        <x:v>gas, slippage, pool_depth, funding_window, liquidation_levels</x:v>
      </x:c>
      <x:c r="O283" s="27" t="str">
        <x:v>高</x:v>
      </x:c>
      <x:c r="P283" s="27" t="str">
        <x:v>高</x:v>
      </x:c>
      <x:c r="Q283" s="27" t="str">
        <x:v>MEV、链上失败、监管/合规、极端波动</x:v>
      </x:c>
      <x:c r="R283" s="27" t="str">
        <x:v>用区块时间和真实gas/失败率重放，不模拟无摩擦成交</x:v>
      </x:c>
      <x:c r="S283" s="27" t="str">
        <x:v>arXiv q-fin.TR Trading and Market Microstructure</x:v>
      </x:c>
      <x:c r="T283" s="27" t="str">
        <x:v>https://arxiv.org/list/q-fin.TR/recent</x:v>
      </x:c>
      <x:c r="U283" s="27" t="str">
        <x:v>仅作为合规/防御/正常套利研究，避免欺骗性或伤害性交易</x:v>
      </x:c>
    </x:row>
    <x:row r="284" ht="54" customHeight="1">
      <x:c r="A284" s="27" t="str">
        <x:v>GT283</x:v>
      </x:c>
      <x:c r="B284" s="27" t="str">
        <x:v>博弈论/市场微结构</x:v>
      </x:c>
      <x:c r="C284" s="27" t="str">
        <x:v>加密/DeFi机制博弈</x:v>
      </x:c>
      <x:c r="D284" s="27" t="str">
        <x:v>经典</x:v>
      </x:c>
      <x:c r="E284" s="27" t="str">
        <x:v>资金费率玩家博弈</x:v>
      </x:c>
      <x:c r="F284" s="27" t="str">
        <x:v>funding-rate player game</x:v>
      </x:c>
      <x:c r="G284" s="27" t="str">
        <x:v>多空为资金费率结算调整仓位</x:v>
      </x:c>
      <x:c r="H284" s="27" t="str">
        <x:v>加密现货/永续/DEX/AMM/链上订单簿</x:v>
      </x:c>
      <x:c r="I284" s="27" t="str">
        <x:v>5秒-5分钟</x:v>
      </x:c>
      <x:c r="J284" s="27" t="str">
        <x:v>区块/秒级评估</x:v>
      </x:c>
      <x:c r="K284" s="27" t="str">
        <x:v>CEX/DEX报价、池子深度、链上事件、gas、funding、清算数据</x:v>
      </x:c>
      <x:c r="L284" s="27" t="str">
        <x:v>偏离覆盖费用/gas/滑点并满足合规与风控时交易</x:v>
      </x:c>
      <x:c r="M284" s="27" t="str">
        <x:v>偏离收敛、gas激增、链上延迟或对手行为异常时退出</x:v>
      </x:c>
      <x:c r="N284" s="27" t="str">
        <x:v>gas, slippage, pool_depth, funding_window, liquidation_levels</x:v>
      </x:c>
      <x:c r="O284" s="27" t="str">
        <x:v>高</x:v>
      </x:c>
      <x:c r="P284" s="27" t="str">
        <x:v>高</x:v>
      </x:c>
      <x:c r="Q284" s="27" t="str">
        <x:v>MEV、链上失败、监管/合规、极端波动</x:v>
      </x:c>
      <x:c r="R284" s="27" t="str">
        <x:v>用区块时间和真实gas/失败率重放，不模拟无摩擦成交</x:v>
      </x:c>
      <x:c r="S284" s="27" t="str">
        <x:v>Hummingbot open-source market making framework</x:v>
      </x:c>
      <x:c r="T284" s="27" t="str">
        <x:v>https://hummingbot.org/docs/</x:v>
      </x:c>
      <x:c r="U284" s="27" t="str">
        <x:v>仅作为合规/防御/正常套利研究，避免欺骗性或伤害性交易</x:v>
      </x:c>
    </x:row>
    <x:row r="285" ht="54" customHeight="1">
      <x:c r="A285" s="27" t="str">
        <x:v>GT284</x:v>
      </x:c>
      <x:c r="B285" s="27" t="str">
        <x:v>博弈论/市场微结构</x:v>
      </x:c>
      <x:c r="C285" s="27" t="str">
        <x:v>加密/DeFi机制博弈</x:v>
      </x:c>
      <x:c r="D285" s="27" t="str">
        <x:v>新兴</x:v>
      </x:c>
      <x:c r="E285" s="27" t="str">
        <x:v>永续强平瀑布预警</x:v>
      </x:c>
      <x:c r="F285" s="27" t="str">
        <x:v>perp liquidation cascade warning</x:v>
      </x:c>
      <x:c r="G285" s="27" t="str">
        <x:v>清算阈值聚集造成连锁价格冲击</x:v>
      </x:c>
      <x:c r="H285" s="27" t="str">
        <x:v>加密现货/永续/DEX/AMM/链上订单簿</x:v>
      </x:c>
      <x:c r="I285" s="27" t="str">
        <x:v>5秒-5分钟</x:v>
      </x:c>
      <x:c r="J285" s="27" t="str">
        <x:v>区块/秒级评估</x:v>
      </x:c>
      <x:c r="K285" s="27" t="str">
        <x:v>CEX/DEX报价、池子深度、链上事件、gas、funding、清算数据</x:v>
      </x:c>
      <x:c r="L285" s="27" t="str">
        <x:v>偏离覆盖费用/gas/滑点并满足合规与风控时交易</x:v>
      </x:c>
      <x:c r="M285" s="27" t="str">
        <x:v>偏离收敛、gas激增、链上延迟或对手行为异常时退出</x:v>
      </x:c>
      <x:c r="N285" s="27" t="str">
        <x:v>gas, slippage, pool_depth, funding_window, liquidation_levels</x:v>
      </x:c>
      <x:c r="O285" s="27" t="str">
        <x:v>高</x:v>
      </x:c>
      <x:c r="P285" s="27" t="str">
        <x:v>高</x:v>
      </x:c>
      <x:c r="Q285" s="27" t="str">
        <x:v>MEV、链上失败、监管/合规、极端波动</x:v>
      </x:c>
      <x:c r="R285" s="27" t="str">
        <x:v>用区块时间和真实gas/失败率重放，不模拟无摩擦成交</x:v>
      </x:c>
      <x:c r="S285" s="27" t="str">
        <x:v>arXiv q-fin.TR Trading and Market Microstructure</x:v>
      </x:c>
      <x:c r="T285" s="27" t="str">
        <x:v>https://arxiv.org/list/q-fin.TR/recent</x:v>
      </x:c>
      <x:c r="U285" s="27" t="str">
        <x:v>仅作为合规/防御/正常套利研究，避免欺骗性或伤害性交易</x:v>
      </x:c>
    </x:row>
    <x:row r="286" ht="54" customHeight="1">
      <x:c r="A286" s="27" t="str">
        <x:v>GT285</x:v>
      </x:c>
      <x:c r="B286" s="27" t="str">
        <x:v>博弈论/市场微结构</x:v>
      </x:c>
      <x:c r="C286" s="27" t="str">
        <x:v>加密/DeFi机制博弈</x:v>
      </x:c>
      <x:c r="D286" s="27" t="str">
        <x:v>新兴</x:v>
      </x:c>
      <x:c r="E286" s="27" t="str">
        <x:v>私有路由防夹击</x:v>
      </x:c>
      <x:c r="F286" s="27" t="str">
        <x:v>private-routing anti-sandwich</x:v>
      </x:c>
      <x:c r="G286" s="27" t="str">
        <x:v>用私有交易通道降低被夹击风险</x:v>
      </x:c>
      <x:c r="H286" s="27" t="str">
        <x:v>加密现货/永续/DEX/AMM/链上订单簿</x:v>
      </x:c>
      <x:c r="I286" s="27" t="str">
        <x:v>5秒-5分钟</x:v>
      </x:c>
      <x:c r="J286" s="27" t="str">
        <x:v>区块/秒级评估</x:v>
      </x:c>
      <x:c r="K286" s="27" t="str">
        <x:v>CEX/DEX报价、池子深度、链上事件、gas、funding、清算数据</x:v>
      </x:c>
      <x:c r="L286" s="27" t="str">
        <x:v>偏离覆盖费用/gas/滑点并满足合规与风控时交易</x:v>
      </x:c>
      <x:c r="M286" s="27" t="str">
        <x:v>偏离收敛、gas激增、链上延迟或对手行为异常时退出</x:v>
      </x:c>
      <x:c r="N286" s="27" t="str">
        <x:v>gas, slippage, pool_depth, funding_window, liquidation_levels</x:v>
      </x:c>
      <x:c r="O286" s="27" t="str">
        <x:v>高</x:v>
      </x:c>
      <x:c r="P286" s="27" t="str">
        <x:v>高</x:v>
      </x:c>
      <x:c r="Q286" s="27" t="str">
        <x:v>MEV、链上失败、监管/合规、极端波动</x:v>
      </x:c>
      <x:c r="R286" s="27" t="str">
        <x:v>用区块时间和真实gas/失败率重放，不模拟无摩擦成交</x:v>
      </x:c>
      <x:c r="S286" s="27" t="str">
        <x:v>arXiv q-fin.TR Trading and Market Microstructure</x:v>
      </x:c>
      <x:c r="T286" s="27" t="str">
        <x:v>https://arxiv.org/list/q-fin.TR/recent</x:v>
      </x:c>
      <x:c r="U286" s="27" t="str">
        <x:v>仅作为合规/防御/正常套利研究，避免欺骗性或伤害性交易</x:v>
      </x:c>
    </x:row>
    <x:row r="287" ht="54" customHeight="1">
      <x:c r="A287" s="27" t="str">
        <x:v>GT286</x:v>
      </x:c>
      <x:c r="B287" s="27" t="str">
        <x:v>博弈论/市场微结构</x:v>
      </x:c>
      <x:c r="C287" s="27" t="str">
        <x:v>加密/DeFi机制博弈</x:v>
      </x:c>
      <x:c r="D287" s="27" t="str">
        <x:v>新兴</x:v>
      </x:c>
      <x:c r="E287" s="27" t="str">
        <x:v>MEV风险回避交易</x:v>
      </x:c>
      <x:c r="F287" s="27" t="str">
        <x:v>MEV-risk-aware execution</x:v>
      </x:c>
      <x:c r="G287" s="27" t="str">
        <x:v>避免暴露可被提取价值的可预测大单</x:v>
      </x:c>
      <x:c r="H287" s="27" t="str">
        <x:v>加密现货/永续/DEX/AMM/链上订单簿</x:v>
      </x:c>
      <x:c r="I287" s="27" t="str">
        <x:v>5秒-5分钟</x:v>
      </x:c>
      <x:c r="J287" s="27" t="str">
        <x:v>区块/秒级评估</x:v>
      </x:c>
      <x:c r="K287" s="27" t="str">
        <x:v>CEX/DEX报价、池子深度、链上事件、gas、funding、清算数据</x:v>
      </x:c>
      <x:c r="L287" s="27" t="str">
        <x:v>偏离覆盖费用/gas/滑点并满足合规与风控时交易</x:v>
      </x:c>
      <x:c r="M287" s="27" t="str">
        <x:v>偏离收敛、gas激增、链上延迟或对手行为异常时退出</x:v>
      </x:c>
      <x:c r="N287" s="27" t="str">
        <x:v>gas, slippage, pool_depth, funding_window, liquidation_levels</x:v>
      </x:c>
      <x:c r="O287" s="27" t="str">
        <x:v>高</x:v>
      </x:c>
      <x:c r="P287" s="27" t="str">
        <x:v>高</x:v>
      </x:c>
      <x:c r="Q287" s="27" t="str">
        <x:v>MEV、链上失败、监管/合规、极端波动</x:v>
      </x:c>
      <x:c r="R287" s="27" t="str">
        <x:v>用区块时间和真实gas/失败率重放，不模拟无摩擦成交</x:v>
      </x:c>
      <x:c r="S287" s="27" t="str">
        <x:v>arXiv q-fin.TR Trading and Market Microstructure</x:v>
      </x:c>
      <x:c r="T287" s="27" t="str">
        <x:v>https://arxiv.org/list/q-fin.TR/recent</x:v>
      </x:c>
      <x:c r="U287" s="27" t="str">
        <x:v>仅作为合规/防御/正常套利研究，避免欺骗性或伤害性交易</x:v>
      </x:c>
    </x:row>
    <x:row r="288" ht="54" customHeight="1">
      <x:c r="A288" s="27" t="str">
        <x:v>GT287</x:v>
      </x:c>
      <x:c r="B288" s="27" t="str">
        <x:v>博弈论/市场微结构</x:v>
      </x:c>
      <x:c r="C288" s="27" t="str">
        <x:v>加密/DeFi机制博弈</x:v>
      </x:c>
      <x:c r="D288" s="27" t="str">
        <x:v>新兴</x:v>
      </x:c>
      <x:c r="E288" s="27" t="str">
        <x:v>AMM滑点曲线择时</x:v>
      </x:c>
      <x:c r="F288" s="27" t="str">
        <x:v>AMM slippage-curve timing</x:v>
      </x:c>
      <x:c r="G288" s="27" t="str">
        <x:v>根据池深和曲线斜率选择执行时间/规模</x:v>
      </x:c>
      <x:c r="H288" s="27" t="str">
        <x:v>加密现货/永续/DEX/AMM/链上订单簿</x:v>
      </x:c>
      <x:c r="I288" s="27" t="str">
        <x:v>5秒-5分钟</x:v>
      </x:c>
      <x:c r="J288" s="27" t="str">
        <x:v>区块/秒级评估</x:v>
      </x:c>
      <x:c r="K288" s="27" t="str">
        <x:v>CEX/DEX报价、池子深度、链上事件、gas、funding、清算数据</x:v>
      </x:c>
      <x:c r="L288" s="27" t="str">
        <x:v>偏离覆盖费用/gas/滑点并满足合规与风控时交易</x:v>
      </x:c>
      <x:c r="M288" s="27" t="str">
        <x:v>偏离收敛、gas激增、链上延迟或对手行为异常时退出</x:v>
      </x:c>
      <x:c r="N288" s="27" t="str">
        <x:v>gas, slippage, pool_depth, funding_window, liquidation_levels</x:v>
      </x:c>
      <x:c r="O288" s="27" t="str">
        <x:v>高</x:v>
      </x:c>
      <x:c r="P288" s="27" t="str">
        <x:v>高</x:v>
      </x:c>
      <x:c r="Q288" s="27" t="str">
        <x:v>MEV、链上失败、监管/合规、极端波动</x:v>
      </x:c>
      <x:c r="R288" s="27" t="str">
        <x:v>用区块时间和真实gas/失败率重放，不模拟无摩擦成交</x:v>
      </x:c>
      <x:c r="S288" s="27" t="str">
        <x:v>Hummingbot open-source market making framework</x:v>
      </x:c>
      <x:c r="T288" s="27" t="str">
        <x:v>https://hummingbot.org/docs/</x:v>
      </x:c>
      <x:c r="U288" s="27" t="str">
        <x:v>仅作为合规/防御/正常套利研究，避免欺骗性或伤害性交易</x:v>
      </x:c>
    </x:row>
    <x:row r="289" ht="54" customHeight="1">
      <x:c r="A289" s="27" t="str">
        <x:v>GT288</x:v>
      </x:c>
      <x:c r="B289" s="27" t="str">
        <x:v>博弈论/市场微结构</x:v>
      </x:c>
      <x:c r="C289" s="27" t="str">
        <x:v>加密/DeFi机制博弈</x:v>
      </x:c>
      <x:c r="D289" s="27" t="str">
        <x:v>新兴</x:v>
      </x:c>
      <x:c r="E289" s="27" t="str">
        <x:v>跨链桥延迟价差</x:v>
      </x:c>
      <x:c r="F289" s="27" t="str">
        <x:v>bridge-latency spread</x:v>
      </x:c>
      <x:c r="G289" s="27" t="str">
        <x:v>跨链结算延迟造成可观测价格风险溢价</x:v>
      </x:c>
      <x:c r="H289" s="27" t="str">
        <x:v>加密现货/永续/DEX/AMM/链上订单簿</x:v>
      </x:c>
      <x:c r="I289" s="27" t="str">
        <x:v>5秒-5分钟</x:v>
      </x:c>
      <x:c r="J289" s="27" t="str">
        <x:v>区块/秒级评估</x:v>
      </x:c>
      <x:c r="K289" s="27" t="str">
        <x:v>CEX/DEX报价、池子深度、链上事件、gas、funding、清算数据</x:v>
      </x:c>
      <x:c r="L289" s="27" t="str">
        <x:v>偏离覆盖费用/gas/滑点并满足合规与风控时交易</x:v>
      </x:c>
      <x:c r="M289" s="27" t="str">
        <x:v>偏离收敛、gas激增、链上延迟或对手行为异常时退出</x:v>
      </x:c>
      <x:c r="N289" s="27" t="str">
        <x:v>gas, slippage, pool_depth, funding_window, liquidation_levels</x:v>
      </x:c>
      <x:c r="O289" s="27" t="str">
        <x:v>高</x:v>
      </x:c>
      <x:c r="P289" s="27" t="str">
        <x:v>高</x:v>
      </x:c>
      <x:c r="Q289" s="27" t="str">
        <x:v>MEV、链上失败、监管/合规、极端波动</x:v>
      </x:c>
      <x:c r="R289" s="27" t="str">
        <x:v>用区块时间和真实gas/失败率重放，不模拟无摩擦成交</x:v>
      </x:c>
      <x:c r="S289" s="27" t="str">
        <x:v>arXiv q-fin.TR Trading and Market Microstructure</x:v>
      </x:c>
      <x:c r="T289" s="27" t="str">
        <x:v>https://arxiv.org/list/q-fin.TR/recent</x:v>
      </x:c>
      <x:c r="U289" s="27" t="str">
        <x:v>仅作为合规/防御/正常套利研究，避免欺骗性或伤害性交易</x:v>
      </x:c>
    </x:row>
    <x:row r="290" ht="54" customHeight="1">
      <x:c r="A290" s="27" t="str">
        <x:v>GT289</x:v>
      </x:c>
      <x:c r="B290" s="27" t="str">
        <x:v>博弈论/市场微结构</x:v>
      </x:c>
      <x:c r="C290" s="27" t="str">
        <x:v>加密/DeFi机制博弈</x:v>
      </x:c>
      <x:c r="D290" s="27" t="str">
        <x:v>新兴</x:v>
      </x:c>
      <x:c r="E290" s="27" t="str">
        <x:v>去中心化订单簿做市</x:v>
      </x:c>
      <x:c r="F290" s="27" t="str">
        <x:v>decentralized CLOB market making</x:v>
      </x:c>
      <x:c r="G290" s="27" t="str">
        <x:v>链上订单簿费用和延迟改变传统做市均衡</x:v>
      </x:c>
      <x:c r="H290" s="27" t="str">
        <x:v>加密现货/永续/DEX/AMM/链上订单簿</x:v>
      </x:c>
      <x:c r="I290" s="27" t="str">
        <x:v>5秒-5分钟</x:v>
      </x:c>
      <x:c r="J290" s="27" t="str">
        <x:v>区块/秒级评估</x:v>
      </x:c>
      <x:c r="K290" s="27" t="str">
        <x:v>CEX/DEX报价、池子深度、链上事件、gas、funding、清算数据</x:v>
      </x:c>
      <x:c r="L290" s="27" t="str">
        <x:v>偏离覆盖费用/gas/滑点并满足合规与风控时交易</x:v>
      </x:c>
      <x:c r="M290" s="27" t="str">
        <x:v>偏离收敛、gas激增、链上延迟或对手行为异常时退出</x:v>
      </x:c>
      <x:c r="N290" s="27" t="str">
        <x:v>gas, slippage, pool_depth, funding_window, liquidation_levels</x:v>
      </x:c>
      <x:c r="O290" s="27" t="str">
        <x:v>高</x:v>
      </x:c>
      <x:c r="P290" s="27" t="str">
        <x:v>高</x:v>
      </x:c>
      <x:c r="Q290" s="27" t="str">
        <x:v>MEV、链上失败、监管/合规、极端波动</x:v>
      </x:c>
      <x:c r="R290" s="27" t="str">
        <x:v>用区块时间和真实gas/失败率重放，不模拟无摩擦成交</x:v>
      </x:c>
      <x:c r="S290" s="27" t="str">
        <x:v>Hummingbot open-source market making framework</x:v>
      </x:c>
      <x:c r="T290" s="27" t="str">
        <x:v>https://hummingbot.org/docs/</x:v>
      </x:c>
      <x:c r="U290" s="27" t="str">
        <x:v>仅作为合规/防御/正常套利研究，避免欺骗性或伤害性交易</x:v>
      </x:c>
    </x:row>
    <x:row r="291" ht="54" customHeight="1">
      <x:c r="A291" s="27" t="str">
        <x:v>GT290</x:v>
      </x:c>
      <x:c r="B291" s="27" t="str">
        <x:v>博弈论/市场微结构</x:v>
      </x:c>
      <x:c r="C291" s="27" t="str">
        <x:v>加密/DeFi机制博弈</x:v>
      </x:c>
      <x:c r="D291" s="27" t="str">
        <x:v>新兴</x:v>
      </x:c>
      <x:c r="E291" s="27" t="str">
        <x:v>链上治理事件窗口</x:v>
      </x:c>
      <x:c r="F291" s="27" t="str">
        <x:v>governance-event micro strategy</x:v>
      </x:c>
      <x:c r="G291" s="27" t="str">
        <x:v>治理投票/参数变更影响代币短线机制预期</x:v>
      </x:c>
      <x:c r="H291" s="27" t="str">
        <x:v>加密现货/永续/DEX/AMM/链上订单簿</x:v>
      </x:c>
      <x:c r="I291" s="27" t="str">
        <x:v>5秒-5分钟</x:v>
      </x:c>
      <x:c r="J291" s="27" t="str">
        <x:v>区块/秒级评估</x:v>
      </x:c>
      <x:c r="K291" s="27" t="str">
        <x:v>CEX/DEX报价、池子深度、链上事件、gas、funding、清算数据</x:v>
      </x:c>
      <x:c r="L291" s="27" t="str">
        <x:v>偏离覆盖费用/gas/滑点并满足合规与风控时交易</x:v>
      </x:c>
      <x:c r="M291" s="27" t="str">
        <x:v>偏离收敛、gas激增、链上延迟或对手行为异常时退出</x:v>
      </x:c>
      <x:c r="N291" s="27" t="str">
        <x:v>gas, slippage, pool_depth, funding_window, liquidation_levels</x:v>
      </x:c>
      <x:c r="O291" s="27" t="str">
        <x:v>高</x:v>
      </x:c>
      <x:c r="P291" s="27" t="str">
        <x:v>高</x:v>
      </x:c>
      <x:c r="Q291" s="27" t="str">
        <x:v>MEV、链上失败、监管/合规、极端波动</x:v>
      </x:c>
      <x:c r="R291" s="27" t="str">
        <x:v>用区块时间和真实gas/失败率重放，不模拟无摩擦成交</x:v>
      </x:c>
      <x:c r="S291" s="27" t="str">
        <x:v>arXiv q-fin.TR Trading and Market Microstructure</x:v>
      </x:c>
      <x:c r="T291" s="27" t="str">
        <x:v>https://arxiv.org/list/q-fin.TR/recent</x:v>
      </x:c>
      <x:c r="U291" s="27" t="str">
        <x:v>仅作为合规/防御/正常套利研究，避免欺骗性或伤害性交易</x:v>
      </x:c>
    </x:row>
    <x:row r="292" ht="54" customHeight="1">
      <x:c r="A292" s="27" t="str">
        <x:v>GT291</x:v>
      </x:c>
      <x:c r="B292" s="27" t="str">
        <x:v>博弈论/市场微结构</x:v>
      </x:c>
      <x:c r="C292" s="27" t="str">
        <x:v>防御性/反捕食/合规博弈</x:v>
      </x:c>
      <x:c r="D292" s="27" t="str">
        <x:v>经典</x:v>
      </x:c>
      <x:c r="E292" s="27" t="str">
        <x:v>随机化下单节奏</x:v>
      </x:c>
      <x:c r="F292" s="27" t="str">
        <x:v>randomized order schedule</x:v>
      </x:c>
      <x:c r="G292" s="27" t="str">
        <x:v>随机化减少被预测和反向交易</x:v>
      </x:c>
      <x:c r="H292" s="27" t="str">
        <x:v>股票/期货/FX/加密/期权</x:v>
      </x:c>
      <x:c r="I292" s="27" t="str">
        <x:v>5秒-5分钟</x:v>
      </x:c>
      <x:c r="J292" s="27" t="str">
        <x:v>1-30秒风控评估</x:v>
      </x:c>
      <x:c r="K292" s="27" t="str">
        <x:v>订单簿、撤单、成交、路由、费用、合规规则</x:v>
      </x:c>
      <x:c r="L292" s="27" t="str">
        <x:v>当对手行为/流动性质量可接受时交易，否则降权或关闭</x:v>
      </x:c>
      <x:c r="M292" s="27" t="str">
        <x:v>检测到异常撤单、冲击、费用变化或合规风险时退出</x:v>
      </x:c>
      <x:c r="N292" s="27" t="str">
        <x:v>randomization, cancel_threshold, venue_score, compliance_flag</x:v>
      </x:c>
      <x:c r="O292" s="27" t="str">
        <x:v>中-高</x:v>
      </x:c>
      <x:c r="P292" s="27" t="str">
        <x:v>中-高</x:v>
      </x:c>
      <x:c r="Q292" s="27" t="str">
        <x:v>过度防御导致错失机会、错误识别</x:v>
      </x:c>
      <x:c r="R292" s="27" t="str">
        <x:v>用异常日和压力场景单独回测</x:v>
      </x:c>
      <x:c r="S292" s="27" t="str">
        <x:v>Almgren-Chriss optimal execution</x:v>
      </x:c>
      <x:c r="T292" s="27" t="str">
        <x:v>https://www.risk.net/journal-risk/2161150/optimal-execution-portfolio-transactions</x:v>
      </x:c>
      <x:c r="U292" s="27" t="str"/>
    </x:row>
    <x:row r="293" ht="54" customHeight="1">
      <x:c r="A293" s="27" t="str">
        <x:v>GT292</x:v>
      </x:c>
      <x:c r="B293" s="27" t="str">
        <x:v>博弈论/市场微结构</x:v>
      </x:c>
      <x:c r="C293" s="27" t="str">
        <x:v>防御性/反捕食/合规博弈</x:v>
      </x:c>
      <x:c r="D293" s="27" t="str">
        <x:v>经典</x:v>
      </x:c>
      <x:c r="E293" s="27" t="str">
        <x:v>最小信息泄露挂单</x:v>
      </x:c>
      <x:c r="F293" s="27" t="str">
        <x:v>minimal-information posting</x:v>
      </x:c>
      <x:c r="G293" s="27" t="str">
        <x:v>较少显示数量降低对手推断</x:v>
      </x:c>
      <x:c r="H293" s="27" t="str">
        <x:v>股票/期货/FX/加密/期权</x:v>
      </x:c>
      <x:c r="I293" s="27" t="str">
        <x:v>5秒-5分钟</x:v>
      </x:c>
      <x:c r="J293" s="27" t="str">
        <x:v>1-30秒风控评估</x:v>
      </x:c>
      <x:c r="K293" s="27" t="str">
        <x:v>订单簿、撤单、成交、路由、费用、合规规则</x:v>
      </x:c>
      <x:c r="L293" s="27" t="str">
        <x:v>当对手行为/流动性质量可接受时交易，否则降权或关闭</x:v>
      </x:c>
      <x:c r="M293" s="27" t="str">
        <x:v>检测到异常撤单、冲击、费用变化或合规风险时退出</x:v>
      </x:c>
      <x:c r="N293" s="27" t="str">
        <x:v>randomization, cancel_threshold, venue_score, compliance_flag</x:v>
      </x:c>
      <x:c r="O293" s="27" t="str">
        <x:v>中-高</x:v>
      </x:c>
      <x:c r="P293" s="27" t="str">
        <x:v>中-高</x:v>
      </x:c>
      <x:c r="Q293" s="27" t="str">
        <x:v>过度防御导致错失机会、错误识别</x:v>
      </x:c>
      <x:c r="R293" s="27" t="str">
        <x:v>用异常日和压力场景单独回测</x:v>
      </x:c>
      <x:c r="S293" s="27" t="str">
        <x:v>arXiv q-fin.TR Trading and Market Microstructure</x:v>
      </x:c>
      <x:c r="T293" s="27" t="str">
        <x:v>https://arxiv.org/list/q-fin.TR/recent</x:v>
      </x:c>
      <x:c r="U293" s="27" t="str"/>
    </x:row>
    <x:row r="294" ht="54" customHeight="1">
      <x:c r="A294" s="27" t="str">
        <x:v>GT293</x:v>
      </x:c>
      <x:c r="B294" s="27" t="str">
        <x:v>博弈论/市场微结构</x:v>
      </x:c>
      <x:c r="C294" s="27" t="str">
        <x:v>防御性/反捕食/合规博弈</x:v>
      </x:c>
      <x:c r="D294" s="27" t="str">
        <x:v>经典</x:v>
      </x:c>
      <x:c r="E294" s="27" t="str">
        <x:v>反狩猎止损执行</x:v>
      </x:c>
      <x:c r="F294" s="27" t="str">
        <x:v>anti-stop-hunting execution</x:v>
      </x:c>
      <x:c r="G294" s="27" t="str">
        <x:v>止损点位拥挤时采用分批/条件退出</x:v>
      </x:c>
      <x:c r="H294" s="27" t="str">
        <x:v>股票/期货/FX/加密/期权</x:v>
      </x:c>
      <x:c r="I294" s="27" t="str">
        <x:v>5秒-5分钟</x:v>
      </x:c>
      <x:c r="J294" s="27" t="str">
        <x:v>1-30秒风控评估</x:v>
      </x:c>
      <x:c r="K294" s="27" t="str">
        <x:v>订单簿、撤单、成交、路由、费用、合规规则</x:v>
      </x:c>
      <x:c r="L294" s="27" t="str">
        <x:v>当对手行为/流动性质量可接受时交易，否则降权或关闭</x:v>
      </x:c>
      <x:c r="M294" s="27" t="str">
        <x:v>检测到异常撤单、冲击、费用变化或合规风险时退出</x:v>
      </x:c>
      <x:c r="N294" s="27" t="str">
        <x:v>randomization, cancel_threshold, venue_score, compliance_flag</x:v>
      </x:c>
      <x:c r="O294" s="27" t="str">
        <x:v>中-高</x:v>
      </x:c>
      <x:c r="P294" s="27" t="str">
        <x:v>中-高</x:v>
      </x:c>
      <x:c r="Q294" s="27" t="str">
        <x:v>过度防御导致错失机会、错误识别</x:v>
      </x:c>
      <x:c r="R294" s="27" t="str">
        <x:v>用异常日和压力场景单独回测</x:v>
      </x:c>
      <x:c r="S294" s="27" t="str">
        <x:v>arXiv q-fin.TR Trading and Market Microstructure</x:v>
      </x:c>
      <x:c r="T294" s="27" t="str">
        <x:v>https://arxiv.org/list/q-fin.TR/recent</x:v>
      </x:c>
      <x:c r="U294" s="27" t="str"/>
    </x:row>
    <x:row r="295" ht="54" customHeight="1">
      <x:c r="A295" s="27" t="str">
        <x:v>GT294</x:v>
      </x:c>
      <x:c r="B295" s="27" t="str">
        <x:v>博弈论/市场微结构</x:v>
      </x:c>
      <x:c r="C295" s="27" t="str">
        <x:v>防御性/反捕食/合规博弈</x:v>
      </x:c>
      <x:c r="D295" s="27" t="str">
        <x:v>经典</x:v>
      </x:c>
      <x:c r="E295" s="27" t="str">
        <x:v>流动性陷阱检测</x:v>
      </x:c>
      <x:c r="F295" s="27" t="str">
        <x:v>liquidity-trap detection</x:v>
      </x:c>
      <x:c r="G295" s="27" t="str">
        <x:v>看似深度可能快速撤单，需识别假流动性</x:v>
      </x:c>
      <x:c r="H295" s="27" t="str">
        <x:v>股票/期货/FX/加密/期权</x:v>
      </x:c>
      <x:c r="I295" s="27" t="str">
        <x:v>5秒-5分钟</x:v>
      </x:c>
      <x:c r="J295" s="27" t="str">
        <x:v>1-30秒风控评估</x:v>
      </x:c>
      <x:c r="K295" s="27" t="str">
        <x:v>订单簿、撤单、成交、路由、费用、合规规则</x:v>
      </x:c>
      <x:c r="L295" s="27" t="str">
        <x:v>当对手行为/流动性质量可接受时交易，否则降权或关闭</x:v>
      </x:c>
      <x:c r="M295" s="27" t="str">
        <x:v>检测到异常撤单、冲击、费用变化或合规风险时退出</x:v>
      </x:c>
      <x:c r="N295" s="27" t="str">
        <x:v>randomization, cancel_threshold, venue_score, compliance_flag</x:v>
      </x:c>
      <x:c r="O295" s="27" t="str">
        <x:v>中-高</x:v>
      </x:c>
      <x:c r="P295" s="27" t="str">
        <x:v>中-高</x:v>
      </x:c>
      <x:c r="Q295" s="27" t="str">
        <x:v>过度防御导致错失机会、错误识别</x:v>
      </x:c>
      <x:c r="R295" s="27" t="str">
        <x:v>用异常日和压力场景单独回测</x:v>
      </x:c>
      <x:c r="S295" s="27" t="str">
        <x:v>LOBSTER limit order book data</x:v>
      </x:c>
      <x:c r="T295" s="27" t="str">
        <x:v>https://data.lobsterdata.com/index.php</x:v>
      </x:c>
      <x:c r="U295" s="27" t="str"/>
    </x:row>
    <x:row r="296" ht="54" customHeight="1">
      <x:c r="A296" s="27" t="str">
        <x:v>GT295</x:v>
      </x:c>
      <x:c r="B296" s="27" t="str">
        <x:v>博弈论/市场微结构</x:v>
      </x:c>
      <x:c r="C296" s="27" t="str">
        <x:v>防御性/反捕食/合规博弈</x:v>
      </x:c>
      <x:c r="D296" s="27" t="str">
        <x:v>新兴</x:v>
      </x:c>
      <x:c r="E296" s="27" t="str">
        <x:v>异常撤单防御</x:v>
      </x:c>
      <x:c r="F296" s="27" t="str">
        <x:v>cancel-burst defense</x:v>
      </x:c>
      <x:c r="G296" s="27" t="str">
        <x:v>撤单潮代表即将冲击，暂停被动挂单</x:v>
      </x:c>
      <x:c r="H296" s="27" t="str">
        <x:v>股票/期货/FX/加密/期权</x:v>
      </x:c>
      <x:c r="I296" s="27" t="str">
        <x:v>5秒-5分钟</x:v>
      </x:c>
      <x:c r="J296" s="27" t="str">
        <x:v>1-30秒风控评估</x:v>
      </x:c>
      <x:c r="K296" s="27" t="str">
        <x:v>订单簿、撤单、成交、路由、费用、合规规则</x:v>
      </x:c>
      <x:c r="L296" s="27" t="str">
        <x:v>当对手行为/流动性质量可接受时交易，否则降权或关闭</x:v>
      </x:c>
      <x:c r="M296" s="27" t="str">
        <x:v>检测到异常撤单、冲击、费用变化或合规风险时退出</x:v>
      </x:c>
      <x:c r="N296" s="27" t="str">
        <x:v>randomization, cancel_threshold, venue_score, compliance_flag</x:v>
      </x:c>
      <x:c r="O296" s="27" t="str">
        <x:v>中-高</x:v>
      </x:c>
      <x:c r="P296" s="27" t="str">
        <x:v>中-高</x:v>
      </x:c>
      <x:c r="Q296" s="27" t="str">
        <x:v>过度防御导致错失机会、错误识别</x:v>
      </x:c>
      <x:c r="R296" s="27" t="str">
        <x:v>用异常日和压力场景单独回测</x:v>
      </x:c>
      <x:c r="S296" s="27" t="str">
        <x:v>LOBSTER limit order book data</x:v>
      </x:c>
      <x:c r="T296" s="27" t="str">
        <x:v>https://data.lobsterdata.com/index.php</x:v>
      </x:c>
      <x:c r="U296" s="27" t="str"/>
    </x:row>
    <x:row r="297" ht="54" customHeight="1">
      <x:c r="A297" s="27" t="str">
        <x:v>GT296</x:v>
      </x:c>
      <x:c r="B297" s="27" t="str">
        <x:v>博弈论/市场微结构</x:v>
      </x:c>
      <x:c r="C297" s="27" t="str">
        <x:v>防御性/反捕食/合规博弈</x:v>
      </x:c>
      <x:c r="D297" s="27" t="str">
        <x:v>新兴</x:v>
      </x:c>
      <x:c r="E297" s="27" t="str">
        <x:v>SOR异常费用防御</x:v>
      </x:c>
      <x:c r="F297" s="27" t="str">
        <x:v>routing-cost defense</x:v>
      </x:c>
      <x:c r="G297" s="27" t="str">
        <x:v>费用/返佣/延迟变化导致路由收益翻转</x:v>
      </x:c>
      <x:c r="H297" s="27" t="str">
        <x:v>股票/期货/FX/加密/期权</x:v>
      </x:c>
      <x:c r="I297" s="27" t="str">
        <x:v>5秒-5分钟</x:v>
      </x:c>
      <x:c r="J297" s="27" t="str">
        <x:v>1-30秒风控评估</x:v>
      </x:c>
      <x:c r="K297" s="27" t="str">
        <x:v>订单簿、撤单、成交、路由、费用、合规规则</x:v>
      </x:c>
      <x:c r="L297" s="27" t="str">
        <x:v>当对手行为/流动性质量可接受时交易，否则降权或关闭</x:v>
      </x:c>
      <x:c r="M297" s="27" t="str">
        <x:v>检测到异常撤单、冲击、费用变化或合规风险时退出</x:v>
      </x:c>
      <x:c r="N297" s="27" t="str">
        <x:v>randomization, cancel_threshold, venue_score, compliance_flag</x:v>
      </x:c>
      <x:c r="O297" s="27" t="str">
        <x:v>中-高</x:v>
      </x:c>
      <x:c r="P297" s="27" t="str">
        <x:v>中-高</x:v>
      </x:c>
      <x:c r="Q297" s="27" t="str">
        <x:v>过度防御导致错失机会、错误识别</x:v>
      </x:c>
      <x:c r="R297" s="27" t="str">
        <x:v>用异常日和压力场景单独回测</x:v>
      </x:c>
      <x:c r="S297" s="27" t="str">
        <x:v>arXiv q-fin.TR Trading and Market Microstructure</x:v>
      </x:c>
      <x:c r="T297" s="27" t="str">
        <x:v>https://arxiv.org/list/q-fin.TR/recent</x:v>
      </x:c>
      <x:c r="U297" s="27" t="str"/>
    </x:row>
    <x:row r="298" ht="54" customHeight="1">
      <x:c r="A298" s="27" t="str">
        <x:v>GT297</x:v>
      </x:c>
      <x:c r="B298" s="27" t="str">
        <x:v>博弈论/市场微结构</x:v>
      </x:c>
      <x:c r="C298" s="27" t="str">
        <x:v>防御性/反捕食/合规博弈</x:v>
      </x:c>
      <x:c r="D298" s="27" t="str">
        <x:v>新兴</x:v>
      </x:c>
      <x:c r="E298" s="27" t="str">
        <x:v>对手学习后的策略降权</x:v>
      </x:c>
      <x:c r="F298" s="27" t="str">
        <x:v>strategy decay after crowding</x:v>
      </x:c>
      <x:c r="G298" s="27" t="str">
        <x:v>信号被对手学习后收益衰减，应降权</x:v>
      </x:c>
      <x:c r="H298" s="27" t="str">
        <x:v>股票/期货/FX/加密/期权</x:v>
      </x:c>
      <x:c r="I298" s="27" t="str">
        <x:v>5秒-5分钟</x:v>
      </x:c>
      <x:c r="J298" s="27" t="str">
        <x:v>1-30秒风控评估</x:v>
      </x:c>
      <x:c r="K298" s="27" t="str">
        <x:v>订单簿、撤单、成交、路由、费用、合规规则</x:v>
      </x:c>
      <x:c r="L298" s="27" t="str">
        <x:v>当对手行为/流动性质量可接受时交易，否则降权或关闭</x:v>
      </x:c>
      <x:c r="M298" s="27" t="str">
        <x:v>检测到异常撤单、冲击、费用变化或合规风险时退出</x:v>
      </x:c>
      <x:c r="N298" s="27" t="str">
        <x:v>randomization, cancel_threshold, venue_score, compliance_flag</x:v>
      </x:c>
      <x:c r="O298" s="27" t="str">
        <x:v>中-高</x:v>
      </x:c>
      <x:c r="P298" s="27" t="str">
        <x:v>中-高</x:v>
      </x:c>
      <x:c r="Q298" s="27" t="str">
        <x:v>过度防御导致错失机会、错误识别</x:v>
      </x:c>
      <x:c r="R298" s="27" t="str">
        <x:v>用异常日和压力场景单独回测</x:v>
      </x:c>
      <x:c r="S298" s="27" t="str">
        <x:v>Quantpedia systematic strategy database</x:v>
      </x:c>
      <x:c r="T298" s="27" t="str">
        <x:v>https://quantpedia.com/</x:v>
      </x:c>
      <x:c r="U298" s="27" t="str"/>
    </x:row>
    <x:row r="299" ht="54" customHeight="1">
      <x:c r="A299" s="27" t="str">
        <x:v>GT298</x:v>
      </x:c>
      <x:c r="B299" s="27" t="str">
        <x:v>博弈论/市场微结构</x:v>
      </x:c>
      <x:c r="C299" s="27" t="str">
        <x:v>防御性/反捕食/合规博弈</x:v>
      </x:c>
      <x:c r="D299" s="27" t="str">
        <x:v>新兴</x:v>
      </x:c>
      <x:c r="E299" s="27" t="str">
        <x:v>欺骗性订单流过滤</x:v>
      </x:c>
      <x:c r="F299" s="27" t="str">
        <x:v>deceptive-flow filter</x:v>
      </x:c>
      <x:c r="G299" s="27" t="str">
        <x:v>检测可疑订单流并避免跟随或被成交</x:v>
      </x:c>
      <x:c r="H299" s="27" t="str">
        <x:v>股票/期货/FX/加密/期权</x:v>
      </x:c>
      <x:c r="I299" s="27" t="str">
        <x:v>5秒-5分钟</x:v>
      </x:c>
      <x:c r="J299" s="27" t="str">
        <x:v>1-30秒风控评估</x:v>
      </x:c>
      <x:c r="K299" s="27" t="str">
        <x:v>订单簿、撤单、成交、路由、费用、合规规则</x:v>
      </x:c>
      <x:c r="L299" s="27" t="str">
        <x:v>当对手行为/流动性质量可接受时交易，否则降权或关闭</x:v>
      </x:c>
      <x:c r="M299" s="27" t="str">
        <x:v>检测到异常撤单、冲击、费用变化或合规风险时退出</x:v>
      </x:c>
      <x:c r="N299" s="27" t="str">
        <x:v>randomization, cancel_threshold, venue_score, compliance_flag</x:v>
      </x:c>
      <x:c r="O299" s="27" t="str">
        <x:v>中-高</x:v>
      </x:c>
      <x:c r="P299" s="27" t="str">
        <x:v>中-高</x:v>
      </x:c>
      <x:c r="Q299" s="27" t="str">
        <x:v>过度防御导致错失机会、错误识别</x:v>
      </x:c>
      <x:c r="R299" s="27" t="str">
        <x:v>用异常日和压力场景单独回测</x:v>
      </x:c>
      <x:c r="S299" s="27" t="str">
        <x:v>LOBSTER limit order book data</x:v>
      </x:c>
      <x:c r="T299" s="27" t="str">
        <x:v>https://data.lobsterdata.com/index.php</x:v>
      </x:c>
      <x:c r="U299" s="27" t="str"/>
    </x:row>
    <x:row r="300" ht="54" customHeight="1">
      <x:c r="A300" s="27" t="str">
        <x:v>GT299</x:v>
      </x:c>
      <x:c r="B300" s="27" t="str">
        <x:v>博弈论/市场微结构</x:v>
      </x:c>
      <x:c r="C300" s="27" t="str">
        <x:v>防御性/反捕食/合规博弈</x:v>
      </x:c>
      <x:c r="D300" s="27" t="str">
        <x:v>新兴</x:v>
      </x:c>
      <x:c r="E300" s="27" t="str">
        <x:v>监管约束风控门</x:v>
      </x:c>
      <x:c r="F300" s="27" t="str">
        <x:v>regulatory-constraint gate</x:v>
      </x:c>
      <x:c r="G300" s="27" t="str">
        <x:v>避免接近操纵/欺骗性行为的策略形态</x:v>
      </x:c>
      <x:c r="H300" s="27" t="str">
        <x:v>股票/期货/FX/加密/期权</x:v>
      </x:c>
      <x:c r="I300" s="27" t="str">
        <x:v>5秒-5分钟</x:v>
      </x:c>
      <x:c r="J300" s="27" t="str">
        <x:v>1-30秒风控评估</x:v>
      </x:c>
      <x:c r="K300" s="27" t="str">
        <x:v>订单簿、撤单、成交、路由、费用、合规规则</x:v>
      </x:c>
      <x:c r="L300" s="27" t="str">
        <x:v>当对手行为/流动性质量可接受时交易，否则降权或关闭</x:v>
      </x:c>
      <x:c r="M300" s="27" t="str">
        <x:v>检测到异常撤单、冲击、费用变化或合规风险时退出</x:v>
      </x:c>
      <x:c r="N300" s="27" t="str">
        <x:v>randomization, cancel_threshold, venue_score, compliance_flag</x:v>
      </x:c>
      <x:c r="O300" s="27" t="str">
        <x:v>中-高</x:v>
      </x:c>
      <x:c r="P300" s="27" t="str">
        <x:v>中-高</x:v>
      </x:c>
      <x:c r="Q300" s="27" t="str">
        <x:v>过度防御导致错失机会、错误识别</x:v>
      </x:c>
      <x:c r="R300" s="27" t="str">
        <x:v>用异常日和压力场景单独回测</x:v>
      </x:c>
      <x:c r="S300" s="27" t="str">
        <x:v>arXiv q-fin.TR Trading and Market Microstructure</x:v>
      </x:c>
      <x:c r="T300" s="27" t="str">
        <x:v>https://arxiv.org/list/q-fin.TR/recent</x:v>
      </x:c>
      <x:c r="U300" s="27" t="str"/>
    </x:row>
    <x:row r="301" ht="54" customHeight="1">
      <x:c r="A301" s="27" t="str">
        <x:v>GT300</x:v>
      </x:c>
      <x:c r="B301" s="27" t="str">
        <x:v>博弈论/市场微结构</x:v>
      </x:c>
      <x:c r="C301" s="27" t="str">
        <x:v>防御性/反捕食/合规博弈</x:v>
      </x:c>
      <x:c r="D301" s="27" t="str">
        <x:v>新兴</x:v>
      </x:c>
      <x:c r="E301" s="27" t="str">
        <x:v>可解释博弈策略审计</x:v>
      </x:c>
      <x:c r="F301" s="27" t="str">
        <x:v>explainable game-strategy audit</x:v>
      </x:c>
      <x:c r="G301" s="27" t="str">
        <x:v>记录策略动作与状态，便于合规和风控审计</x:v>
      </x:c>
      <x:c r="H301" s="27" t="str">
        <x:v>股票/期货/FX/加密/期权</x:v>
      </x:c>
      <x:c r="I301" s="27" t="str">
        <x:v>5秒-5分钟</x:v>
      </x:c>
      <x:c r="J301" s="27" t="str">
        <x:v>1-30秒风控评估</x:v>
      </x:c>
      <x:c r="K301" s="27" t="str">
        <x:v>订单簿、撤单、成交、路由、费用、合规规则</x:v>
      </x:c>
      <x:c r="L301" s="27" t="str">
        <x:v>当对手行为/流动性质量可接受时交易，否则降权或关闭</x:v>
      </x:c>
      <x:c r="M301" s="27" t="str">
        <x:v>检测到异常撤单、冲击、费用变化或合规风险时退出</x:v>
      </x:c>
      <x:c r="N301" s="27" t="str">
        <x:v>randomization, cancel_threshold, venue_score, compliance_flag</x:v>
      </x:c>
      <x:c r="O301" s="27" t="str">
        <x:v>中-高</x:v>
      </x:c>
      <x:c r="P301" s="27" t="str">
        <x:v>中-高</x:v>
      </x:c>
      <x:c r="Q301" s="27" t="str">
        <x:v>过度防御导致错失机会、错误识别</x:v>
      </x:c>
      <x:c r="R301" s="27" t="str">
        <x:v>用异常日和压力场景单独回测</x:v>
      </x:c>
      <x:c r="S301" s="27" t="str">
        <x:v>arXiv q-fin.TR Trading and Market Microstructure</x:v>
      </x:c>
      <x:c r="T301" s="27" t="str">
        <x:v>https://arxiv.org/list/q-fin.TR/recent</x:v>
      </x:c>
      <x:c r="U301" s="27" t="str"/>
    </x:row>
  </x:sheetData>
  <x:conditionalFormatting sqref="D2:D301">
    <x:cfRule type="expression" dxfId="0" priority="1">
      <x:formula>D2="新兴"</x:formula>
    </x:cfRule>
  </x:conditionalFormatting>
  <x:conditionalFormatting sqref="B2:B301">
    <x:cfRule type="expression" dxfId="1" priority="2">
      <x:formula>B2="博弈论/市场微结构"</x:formula>
    </x:cfRule>
    <x:cfRule type="expression" dxfId="2" priority="3">
      <x:formula>B2="时间序列"</x:formula>
    </x:cfRule>
  </x:conditionalFormatting>
  <x:conditionalFormatting sqref="O2:O301">
    <x:cfRule type="expression" dxfId="3" priority="4">
      <x:formula>O2="很高"</x:formula>
    </x:cfRule>
  </x:conditionalFormatting>
  <x:conditionalFormatting sqref="P2:P301">
    <x:cfRule type="expression" dxfId="4" priority="5">
      <x:formula>OR(P2="高",P2="中-高")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e82f34c73ee4bd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60" hidden="0" customWidth="1"/>
    <x:col min="4" max="4" width="42" hidden="0" customWidth="1"/>
    <x:col min="5" max="5" width="42" hidden="0" customWidth="1"/>
  </x:cols>
  <x:sheetData>
    <x:row r="1">
      <x:c r="A1" s="36" t="str">
        <x:v>Source_Key</x:v>
      </x:c>
      <x:c r="B1" s="36" t="str">
        <x:v>Source / Where to find</x:v>
      </x:c>
      <x:c r="C1" s="36" t="str">
        <x:v>URL</x:v>
      </x:c>
      <x:c r="D1" s="36" t="str">
        <x:v>用途</x:v>
      </x:c>
      <x:c r="E1" s="36" t="str">
        <x:v>适合找什么新兴策略</x:v>
      </x:c>
    </x:row>
    <x:row r="2">
      <x:c r="A2" s="12" t="str">
        <x:v>TSM</x:v>
      </x:c>
      <x:c r="B2" s="12" t="str">
        <x:v>Time Series Momentum / Moskowitz-Ooi-Pedersen</x:v>
      </x:c>
      <x:c r="C2" s="12" t="str">
        <x:v>https://www.sciencedirect.com/science/article/pii/S0304405X11002613</x:v>
      </x:c>
      <x:c r="D2" s="12" t="str">
        <x:v>经典时间序列动量论文入口</x:v>
      </x:c>
      <x:c r="E2" s="12" t="str">
        <x:v>跨资产趋势/动量、managed futures、短窗动量变体</x:v>
      </x:c>
    </x:row>
    <x:row r="3">
      <x:c r="A3" s="12" t="str">
        <x:v>QFIN_TR</x:v>
      </x:c>
      <x:c r="B3" s="12" t="str">
        <x:v>arXiv q-fin.TR Trading and Market Microstructure</x:v>
      </x:c>
      <x:c r="C3" s="12" t="str">
        <x:v>https://arxiv.org/list/q-fin.TR/recent</x:v>
      </x:c>
      <x:c r="D3" s="12" t="str">
        <x:v>arXiv交易与市场微结构最新论文流</x:v>
      </x:c>
      <x:c r="E3" s="12" t="str">
        <x:v>LOB、做市、执行、订单流、Hawkes、RL、微结构新模型</x:v>
      </x:c>
    </x:row>
    <x:row r="4">
      <x:c r="A4" s="12" t="str">
        <x:v>QUANTPEDIA</x:v>
      </x:c>
      <x:c r="B4" s="12" t="str">
        <x:v>Quantpedia systematic strategy database</x:v>
      </x:c>
      <x:c r="C4" s="12" t="str">
        <x:v>https://quantpedia.com/</x:v>
      </x:c>
      <x:c r="D4" s="12" t="str">
        <x:v>系统化策略库与文献线索</x:v>
      </x:c>
      <x:c r="E4" s="12" t="str">
        <x:v>经典因子、市场异象、趋势/反转/季节性</x:v>
      </x:c>
    </x:row>
    <x:row r="5">
      <x:c r="A5" s="12" t="str">
        <x:v>QUANTCONNECT</x:v>
      </x:c>
      <x:c r="B5" s="12" t="str">
        <x:v>QuantConnect Strategy Library</x:v>
      </x:c>
      <x:c r="C5" s="12" t="str">
        <x:v>https://www.quantconnect.com/docs/v2/writing-algorithms/strategy-library</x:v>
      </x:c>
      <x:c r="D5" s="12" t="str">
        <x:v>可实现策略教程与LEAN示例</x:v>
      </x:c>
      <x:c r="E5" s="12" t="str">
        <x:v>把论文策略转化成回测框架</x:v>
      </x:c>
    </x:row>
    <x:row r="6">
      <x:c r="A6" s="12" t="str">
        <x:v>LOBSTER</x:v>
      </x:c>
      <x:c r="B6" s="12" t="str">
        <x:v>LOBSTER limit order book data</x:v>
      </x:c>
      <x:c r="C6" s="12" t="str">
        <x:v>https://data.lobsterdata.com/index.php</x:v>
      </x:c>
      <x:c r="D6" s="12" t="str">
        <x:v>股票限价订单簿数据</x:v>
      </x:c>
      <x:c r="E6" s="12" t="str">
        <x:v>队列、订单簿不平衡、撤单、做市、毒性流</x:v>
      </x:c>
    </x:row>
    <x:row r="7">
      <x:c r="A7" s="12" t="str">
        <x:v>DEEPLOB</x:v>
      </x:c>
      <x:c r="B7" s="12" t="str">
        <x:v>DeepLOB: Deep CNNs for Limit Order Books</x:v>
      </x:c>
      <x:c r="C7" s="12" t="str">
        <x:v>https://arxiv.org/abs/1808.03668</x:v>
      </x:c>
      <x:c r="D7" s="12" t="str">
        <x:v>订单簿深度学习基准论文</x:v>
      </x:c>
      <x:c r="E7" s="12" t="str">
        <x:v>LOB方向预测、深度序列模型</x:v>
      </x:c>
    </x:row>
    <x:row r="8">
      <x:c r="A8" s="12" t="str">
        <x:v>HLOB</x:v>
      </x:c>
      <x:c r="B8" s="12" t="str">
        <x:v>HLOB: Information Persistence and Structure in LOBs</x:v>
      </x:c>
      <x:c r="C8" s="12" t="str">
        <x:v>https://arxiv.org/abs/2405.18938</x:v>
      </x:c>
      <x:c r="D8" s="12" t="str">
        <x:v>较新的结构化LOB深度模型</x:v>
      </x:c>
      <x:c r="E8" s="12" t="str">
        <x:v>订单簿层级结构、图/同调卷积、预测跨度比较</x:v>
      </x:c>
    </x:row>
    <x:row r="9">
      <x:c r="A9" s="12" t="str">
        <x:v>LOBBENCH</x:v>
      </x:c>
      <x:c r="B9" s="12" t="str">
        <x:v>LOB-Bench generative AI benchmark for LOB data</x:v>
      </x:c>
      <x:c r="C9" s="12" t="str">
        <x:v>https://arxiv.org/abs/2502.09172</x:v>
      </x:c>
      <x:c r="D9" s="12" t="str">
        <x:v>生成式LOB评估基准</x:v>
      </x:c>
      <x:c r="E9" s="12" t="str">
        <x:v>生成式金融数据、仿真压力测试、策略鲁棒性</x:v>
      </x:c>
    </x:row>
    <x:row r="10">
      <x:c r="A10" s="12" t="str">
        <x:v>AVELLANEDA</x:v>
      </x:c>
      <x:c r="B10" s="12" t="str">
        <x:v>Avellaneda-Stoikov limit order book market making</x:v>
      </x:c>
      <x:c r="C10" s="12" t="str">
        <x:v>https://people.orie.cornell.edu/sfs33/LimitOrderBook.pdf</x:v>
      </x:c>
      <x:c r="D10" s="12" t="str">
        <x:v>经典最优做市模型</x:v>
      </x:c>
      <x:c r="E10" s="12" t="str">
        <x:v>库存风险、报价偏斜、成交强度校准</x:v>
      </x:c>
    </x:row>
    <x:row r="11">
      <x:c r="A11" s="12" t="str">
        <x:v>KYLE</x:v>
      </x:c>
      <x:c r="B11" s="12" t="str">
        <x:v>Kyle 1985 Continuous Auctions and Insider Trading</x:v>
      </x:c>
      <x:c r="C11" s="12" t="str">
        <x:v>https://www.jstor.org/stable/1913210</x:v>
      </x:c>
      <x:c r="D11" s="12" t="str">
        <x:v>经典信息型交易/价格冲击模型</x:v>
      </x:c>
      <x:c r="E11" s="12" t="str">
        <x:v>价格冲击、永久影响、知情交易者博弈</x:v>
      </x:c>
    </x:row>
    <x:row r="12">
      <x:c r="A12" s="12" t="str">
        <x:v>GLOSTEN</x:v>
      </x:c>
      <x:c r="B12" s="12" t="str">
        <x:v>Glosten-Milgrom adverse selection spread model</x:v>
      </x:c>
      <x:c r="C12" s="12" t="str">
        <x:v>https://www.sciencedirect.com/science/article/pii/0304405X85900443</x:v>
      </x:c>
      <x:c r="D12" s="12" t="str">
        <x:v>经典逆选择价差模型</x:v>
      </x:c>
      <x:c r="E12" s="12" t="str">
        <x:v>毒性订单流、bid-ask spread、信息不对称</x:v>
      </x:c>
    </x:row>
    <x:row r="13">
      <x:c r="A13" s="12" t="str">
        <x:v>ALMGREN</x:v>
      </x:c>
      <x:c r="B13" s="12" t="str">
        <x:v>Almgren-Chriss optimal execution</x:v>
      </x:c>
      <x:c r="C13" s="12" t="str">
        <x:v>https://www.risk.net/journal-risk/2161150/optimal-execution-portfolio-transactions</x:v>
      </x:c>
      <x:c r="D13" s="12" t="str">
        <x:v>经典最优执行模型</x:v>
      </x:c>
      <x:c r="E13" s="12" t="str">
        <x:v>执行切片、冲击-风险权衡、arrival price</x:v>
      </x:c>
    </x:row>
    <x:row r="14">
      <x:c r="A14" s="12" t="str">
        <x:v>RLMM</x:v>
      </x:c>
      <x:c r="B14" s="12" t="str">
        <x:v>Deep RL / market making papers on arXiv</x:v>
      </x:c>
      <x:c r="C14" s="12" t="str">
        <x:v>https://arxiv.org/abs/2207.09951</x:v>
      </x:c>
      <x:c r="D14" s="12" t="str">
        <x:v>强化学习做市/订单簿控制</x:v>
      </x:c>
      <x:c r="E14" s="12" t="str">
        <x:v>多智能体、RL做市、非平稳控制</x:v>
      </x:c>
    </x:row>
    <x:row r="15">
      <x:c r="A15" s="12" t="str">
        <x:v>HUMMINGBOT</x:v>
      </x:c>
      <x:c r="B15" s="12" t="str">
        <x:v>Hummingbot open-source market making framework</x:v>
      </x:c>
      <x:c r="C15" s="12" t="str">
        <x:v>https://hummingbot.org/docs/</x:v>
      </x:c>
      <x:c r="D15" s="12" t="str">
        <x:v>开源做市和加密交易框架</x:v>
      </x:c>
      <x:c r="E15" s="12" t="str">
        <x:v>加密做市、AMM/CLOB、跨交易所库存</x:v>
      </x:c>
    </x:row>
    <x:row r="16">
      <x:c r="A16" s="12" t="str">
        <x:v>HAWKES_SIM</x:v>
      </x:c>
      <x:c r="B16" s="12" t="str">
        <x:v>Hawkes-driven LOB simulation</x:v>
      </x:c>
      <x:c r="C16" s="12" t="str">
        <x:v>https://arxiv.org/abs/2510.08085</x:v>
      </x:c>
      <x:c r="D16" s="12" t="str">
        <x:v>Hawkes驱动订单流仿真</x:v>
      </x:c>
      <x:c r="E16" s="12" t="str">
        <x:v>订单到达、仿真预训练、压力测试</x:v>
      </x:c>
    </x:row>
  </x:sheetData>
  <x:pageMargins left="0.7" right="0.7" top="0.75" bottom="0.75" header="0.3" footer="0.3"/>
  <x:tableParts count="1">
    <x:tablePart xmlns:r="http://schemas.openxmlformats.org/officeDocument/2006/relationships" r:id="R36195943ddcd4eb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2" hidden="0" customWidth="1"/>
    <x:col min="4" max="4" width="70" hidden="0" customWidth="1"/>
  </x:cols>
  <x:sheetData>
    <x:row r="1">
      <x:c r="A1" s="40" t="str">
        <x:v>维度</x:v>
      </x:c>
      <x:c r="B1" s="40" t="str">
        <x:v>类别</x:v>
      </x:c>
      <x:c r="C1" s="40" t="str">
        <x:v>策略数</x:v>
      </x:c>
      <x:c r="D1" s="40" t="str">
        <x:v>说明</x:v>
      </x:c>
    </x:row>
    <x:row r="2">
      <x:c r="A2" s="12" t="str">
        <x:v>方向</x:v>
      </x:c>
      <x:c r="B2" s="12" t="str">
        <x:v>时间序列</x:v>
      </x:c>
      <x:c r="C2" s="12" t="n">
        <x:f>COUNTIF(Strategy_Long_List_300!$B:$B,"时间序列")</x:f>
        <x:v>180</x:v>
      </x:c>
      <x:c r="D2" s="12" t="str">
        <x:v>基于历史价格、成交、盘口、波动率、新闻/事件序列来预测或切换状态</x:v>
      </x:c>
    </x:row>
    <x:row r="3">
      <x:c r="A3" s="12" t="str">
        <x:v>方向</x:v>
      </x:c>
      <x:c r="B3" s="12" t="str">
        <x:v>博弈论/市场微结构</x:v>
      </x:c>
      <x:c r="C3" s="12" t="n">
        <x:f>COUNTIF(Strategy_Long_List_300!$B:$B,"博弈论/市场微结构")</x:f>
        <x:v>120</x:v>
      </x:c>
      <x:c r="D3" s="12" t="str">
        <x:v>显式考虑其他交易者、做市商、执行者、竞价机制、队列和逆选择</x:v>
      </x:c>
    </x:row>
    <x:row r="4">
      <x:c r="A4" s="12" t="str">
        <x:v>成熟度</x:v>
      </x:c>
      <x:c r="B4" s="12" t="str">
        <x:v>经典</x:v>
      </x:c>
      <x:c r="C4" s="12" t="n">
        <x:f>COUNTIF(Strategy_Long_List_300!$D:$D,"经典")</x:f>
        <x:v>176</x:v>
      </x:c>
      <x:c r="D4" s="12" t="str">
        <x:v>有较成熟论文/模型/实践基础</x:v>
      </x:c>
    </x:row>
    <x:row r="5">
      <x:c r="A5" s="12" t="str">
        <x:v>成熟度</x:v>
      </x:c>
      <x:c r="B5" s="12" t="str">
        <x:v>新兴</x:v>
      </x:c>
      <x:c r="C5" s="12" t="n">
        <x:f>COUNTIF(Strategy_Long_List_300!$D:$D,"新兴")</x:f>
        <x:v>124</x:v>
      </x:c>
      <x:c r="D5" s="12" t="str">
        <x:v>更多依赖深度学习、RL、多智能体、生成式仿真、链上/0DTE等新数据</x:v>
      </x:c>
    </x:row>
    <x:row r="6">
      <x:c r="A6" s="12" t="str">
        <x:v>子类</x:v>
      </x:c>
      <x:c r="B6" s="12" t="str">
        <x:v>动量/趋势延续</x:v>
      </x:c>
      <x:c r="C6" s="12" t="n">
        <x:f>COUNTIF(Strategy_Long_List_300!$C:$C,"动量/趋势延续")</x:f>
        <x:v>24</x:v>
      </x:c>
      <x:c r="D6" s="12" t="str">
        <x:v>见主表对应行；建议按子类先做小样本原型，再做组合筛选</x:v>
      </x:c>
    </x:row>
    <x:row r="7">
      <x:c r="A7" s="12" t="str">
        <x:v>子类</x:v>
      </x:c>
      <x:c r="B7" s="12" t="str">
        <x:v>均值回归/过度反应</x:v>
      </x:c>
      <x:c r="C7" s="12" t="n">
        <x:f>COUNTIF(Strategy_Long_List_300!$C:$C,"均值回归/过度反应")</x:f>
        <x:v>22</x:v>
      </x:c>
      <x:c r="D7" s="12" t="str">
        <x:v>见主表对应行；建议按子类先做小样本原型，再做组合筛选</x:v>
      </x:c>
    </x:row>
    <x:row r="8">
      <x:c r="A8" s="12" t="str">
        <x:v>子类</x:v>
      </x:c>
      <x:c r="B8" s="12" t="str">
        <x:v>波动率/突破/区间</x:v>
      </x:c>
      <x:c r="C8" s="12" t="n">
        <x:f>COUNTIF(Strategy_Long_List_300!$C:$C,"波动率/突破/区间")</x:f>
        <x:v>20</x:v>
      </x:c>
      <x:c r="D8" s="12" t="str">
        <x:v>见主表对应行；建议按子类先做小样本原型，再做组合筛选</x:v>
      </x:c>
    </x:row>
    <x:row r="9">
      <x:c r="A9" s="12" t="str">
        <x:v>子类</x:v>
      </x:c>
      <x:c r="B9" s="12" t="str">
        <x:v>统计时间序列/状态空间</x:v>
      </x:c>
      <x:c r="C9" s="12" t="n">
        <x:f>COUNTIF(Strategy_Long_List_300!$C:$C,"统计时间序列/状态空间")</x:f>
        <x:v>20</x:v>
      </x:c>
      <x:c r="D9" s="12" t="str">
        <x:v>见主表对应行；建议按子类先做小样本原型，再做组合筛选</x:v>
      </x:c>
    </x:row>
    <x:row r="10">
      <x:c r="A10" s="12" t="str">
        <x:v>子类</x:v>
      </x:c>
      <x:c r="B10" s="12" t="str">
        <x:v>状态切换/Regime Detection</x:v>
      </x:c>
      <x:c r="C10" s="12" t="n">
        <x:f>COUNTIF(Strategy_Long_List_300!$C:$C,"状态切换/Regime Detection")</x:f>
        <x:v>18</x:v>
      </x:c>
      <x:c r="D10" s="12" t="str">
        <x:v>见主表对应行；建议按子类先做小样本原型，再做组合筛选</x:v>
      </x:c>
    </x:row>
    <x:row r="11">
      <x:c r="A11" s="12" t="str">
        <x:v>子类</x:v>
      </x:c>
      <x:c r="B11" s="12" t="str">
        <x:v>日内季节性/事件时间</x:v>
      </x:c>
      <x:c r="C11" s="12" t="n">
        <x:f>COUNTIF(Strategy_Long_List_300!$C:$C,"日内季节性/事件时间")</x:f>
        <x:v>18</x:v>
      </x:c>
      <x:c r="D11" s="12" t="str">
        <x:v>见主表对应行；建议按子类先做小样本原型，再做组合筛选</x:v>
      </x:c>
    </x:row>
    <x:row r="12">
      <x:c r="A12" s="12" t="str">
        <x:v>子类</x:v>
      </x:c>
      <x:c r="B12" s="12" t="str">
        <x:v>跨资产领先滞后</x:v>
      </x:c>
      <x:c r="C12" s="12" t="n">
        <x:f>COUNTIF(Strategy_Long_List_300!$C:$C,"跨资产领先滞后")</x:f>
        <x:v>18</x:v>
      </x:c>
      <x:c r="D12" s="12" t="str">
        <x:v>见主表对应行；建议按子类先做小样本原型，再做组合筛选</x:v>
      </x:c>
    </x:row>
    <x:row r="13">
      <x:c r="A13" s="12" t="str">
        <x:v>子类</x:v>
      </x:c>
      <x:c r="B13" s="12" t="str">
        <x:v>期权/利率/期限结构</x:v>
      </x:c>
      <x:c r="C13" s="12" t="n">
        <x:f>COUNTIF(Strategy_Long_List_300!$C:$C,"期权/利率/期限结构")</x:f>
        <x:v>20</x:v>
      </x:c>
      <x:c r="D13" s="12" t="str">
        <x:v>见主表对应行；建议按子类先做小样本原型，再做组合筛选</x:v>
      </x:c>
    </x:row>
    <x:row r="14">
      <x:c r="A14" s="12" t="str">
        <x:v>子类</x:v>
      </x:c>
      <x:c r="B14" s="12" t="str">
        <x:v>机器学习/深度序列模型</x:v>
      </x:c>
      <x:c r="C14" s="12" t="n">
        <x:f>COUNTIF(Strategy_Long_List_300!$C:$C,"机器学习/深度序列模型")</x:f>
        <x:v>20</x:v>
      </x:c>
      <x:c r="D14" s="12" t="str">
        <x:v>见主表对应行；建议按子类先做小样本原型，再做组合筛选</x:v>
      </x:c>
    </x:row>
    <x:row r="15">
      <x:c r="A15" s="12" t="str">
        <x:v>子类</x:v>
      </x:c>
      <x:c r="B15" s="12" t="str">
        <x:v>做市/库存控制博弈</x:v>
      </x:c>
      <x:c r="C15" s="12" t="n">
        <x:f>COUNTIF(Strategy_Long_List_300!$C:$C,"做市/库存控制博弈")</x:f>
        <x:v>25</x:v>
      </x:c>
      <x:c r="D15" s="12" t="str">
        <x:v>见主表对应行；建议按子类先做小样本原型，再做组合筛选</x:v>
      </x:c>
    </x:row>
    <x:row r="16">
      <x:c r="A16" s="12" t="str">
        <x:v>子类</x:v>
      </x:c>
      <x:c r="B16" s="12" t="str">
        <x:v>最优执行/市场冲击博弈</x:v>
      </x:c>
      <x:c r="C16" s="12" t="n">
        <x:f>COUNTIF(Strategy_Long_List_300!$C:$C,"最优执行/市场冲击博弈")</x:f>
        <x:v>20</x:v>
      </x:c>
      <x:c r="D16" s="12" t="str">
        <x:v>见主表对应行；建议按子类先做小样本原型，再做组合筛选</x:v>
      </x:c>
    </x:row>
    <x:row r="17">
      <x:c r="A17" s="12" t="str">
        <x:v>子类</x:v>
      </x:c>
      <x:c r="B17" s="12" t="str">
        <x:v>逆选择/信息博弈</x:v>
      </x:c>
      <x:c r="C17" s="12" t="n">
        <x:f>COUNTIF(Strategy_Long_List_300!$C:$C,"逆选择/信息博弈")</x:f>
        <x:v>18</x:v>
      </x:c>
      <x:c r="D17" s="12" t="str">
        <x:v>见主表对应行；建议按子类先做小样本原型，再做组合筛选</x:v>
      </x:c>
    </x:row>
    <x:row r="18">
      <x:c r="A18" s="12" t="str">
        <x:v>子类</x:v>
      </x:c>
      <x:c r="B18" s="12" t="str">
        <x:v>竞价/RFQ/报价竞争</x:v>
      </x:c>
      <x:c r="C18" s="12" t="n">
        <x:f>COUNTIF(Strategy_Long_List_300!$C:$C,"竞价/RFQ/报价竞争")</x:f>
        <x:v>17</x:v>
      </x:c>
      <x:c r="D18" s="12" t="str">
        <x:v>见主表对应行；建议按子类先做小样本原型，再做组合筛选</x:v>
      </x:c>
    </x:row>
    <x:row r="19">
      <x:c r="A19" s="12" t="str">
        <x:v>子类</x:v>
      </x:c>
      <x:c r="B19" s="12" t="str">
        <x:v>多智能体/均值场/强化学习</x:v>
      </x:c>
      <x:c r="C19" s="12" t="n">
        <x:f>COUNTIF(Strategy_Long_List_300!$C:$C,"多智能体/均值场/强化学习")</x:f>
        <x:v>18</x:v>
      </x:c>
      <x:c r="D19" s="12" t="str">
        <x:v>见主表对应行；建议按子类先做小样本原型，再做组合筛选</x:v>
      </x:c>
    </x:row>
    <x:row r="20">
      <x:c r="A20" s="12" t="str">
        <x:v>子类</x:v>
      </x:c>
      <x:c r="B20" s="12" t="str">
        <x:v>加密/DeFi机制博弈</x:v>
      </x:c>
      <x:c r="C20" s="12" t="n">
        <x:f>COUNTIF(Strategy_Long_List_300!$C:$C,"加密/DeFi机制博弈")</x:f>
        <x:v>12</x:v>
      </x:c>
      <x:c r="D20" s="12" t="str">
        <x:v>见主表对应行；建议按子类先做小样本原型，再做组合筛选</x:v>
      </x:c>
    </x:row>
    <x:row r="21">
      <x:c r="A21" s="12" t="str">
        <x:v>子类</x:v>
      </x:c>
      <x:c r="B21" s="12" t="str">
        <x:v>防御性/反捕食/合规博弈</x:v>
      </x:c>
      <x:c r="C21" s="12" t="n">
        <x:f>COUNTIF(Strategy_Long_List_300!$C:$C,"防御性/反捕食/合规博弈")</x:f>
        <x:v>10</x:v>
      </x:c>
      <x:c r="D21" s="12" t="str">
        <x:v>见主表对应行；建议按子类先做小样本原型，再做组合筛选</x:v>
      </x:c>
    </x:row>
  </x:sheetData>
  <x:pageMargins left="0.7" right="0.7" top="0.75" bottom="0.75" header="0.3" footer="0.3"/>
  <x:tableParts count="1">
    <x:tablePart xmlns:r="http://schemas.openxmlformats.org/officeDocument/2006/relationships" r:id="Rba60709100eb47c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6" hidden="0" customWidth="1"/>
    <x:col min="3" max="3" width="55" hidden="0" customWidth="1"/>
    <x:col min="4" max="4" width="55" hidden="0" customWidth="1"/>
  </x:cols>
  <x:sheetData>
    <x:row r="1">
      <x:c r="A1" s="50" t="str">
        <x:v>步骤</x:v>
      </x:c>
      <x:c r="B1" s="50" t="str">
        <x:v>检查项</x:v>
      </x:c>
      <x:c r="C1" s="50" t="str">
        <x:v>为什么重要</x:v>
      </x:c>
      <x:c r="D1" s="50" t="str">
        <x:v>建议做法</x:v>
      </x:c>
    </x:row>
    <x:row r="2">
      <x:c r="A2" s="12" t="n">
        <x:v>1</x:v>
      </x:c>
      <x:c r="B2" s="12" t="str">
        <x:v>数据对齐与时间戳</x:v>
      </x:c>
      <x:c r="C2" s="12" t="str">
        <x:v>短线策略极易因时间戳错位产生虚假alpha</x:v>
      </x:c>
      <x:c r="D2" s="12" t="str">
        <x:v>统一交易所时区和纳秒/毫秒精度，严格只用当时可见数据</x:v>
      </x:c>
    </x:row>
    <x:row r="3">
      <x:c r="A3" s="12" t="n">
        <x:v>2</x:v>
      </x:c>
      <x:c r="B3" s="12" t="str">
        <x:v>真实交易成本</x:v>
      </x:c>
      <x:c r="C3" s="12" t="str">
        <x:v>5分钟以内策略收益常被点差、手续费、滑点吞噬</x:v>
      </x:c>
      <x:c r="D3" s="12" t="str">
        <x:v>使用bid/ask和可成交价格，禁用只用mid价成交</x:v>
      </x:c>
    </x:row>
    <x:row r="4">
      <x:c r="A4" s="12" t="n">
        <x:v>3</x:v>
      </x:c>
      <x:c r="B4" s="12" t="str">
        <x:v>队列成交模型</x:v>
      </x:c>
      <x:c r="C4" s="12" t="str">
        <x:v>挂单策略PnL取决于排队位置和部分成交</x:v>
      </x:c>
      <x:c r="D4" s="12" t="str">
        <x:v>订单簿回放或交互仿真估计fill probability</x:v>
      </x:c>
    </x:row>
    <x:row r="5">
      <x:c r="A5" s="12" t="n">
        <x:v>4</x:v>
      </x:c>
      <x:c r="B5" s="12" t="str">
        <x:v>延迟模型</x:v>
      </x:c>
      <x:c r="C5" s="12" t="str">
        <x:v>5-10秒频率仍受行情、决策、路由、撮合延迟影响</x:v>
      </x:c>
      <x:c r="D5" s="12" t="str">
        <x:v>加入固定和随机延迟，对信号有效期做压力测试</x:v>
      </x:c>
    </x:row>
    <x:row r="6">
      <x:c r="A6" s="12" t="n">
        <x:v>5</x:v>
      </x:c>
      <x:c r="B6" s="12" t="str">
        <x:v>样本外与purged CV</x:v>
      </x:c>
      <x:c r="C6" s="12" t="str">
        <x:v>高度重叠样本会造成信息泄露</x:v>
      </x:c>
      <x:c r="D6" s="12" t="str">
        <x:v>按日期/事件切分，使用purged/embargo交叉验证</x:v>
      </x:c>
    </x:row>
    <x:row r="7">
      <x:c r="A7" s="12" t="n">
        <x:v>6</x:v>
      </x:c>
      <x:c r="B7" s="12" t="str">
        <x:v>状态分层</x:v>
      </x:c>
      <x:c r="C7" s="12" t="str">
        <x:v>同一策略在高波动/低流动性状态表现差异大</x:v>
      </x:c>
      <x:c r="D7" s="12" t="str">
        <x:v>按波动率、点差、成交量、事件日分层报告</x:v>
      </x:c>
    </x:row>
    <x:row r="8">
      <x:c r="A8" s="12" t="n">
        <x:v>7</x:v>
      </x:c>
      <x:c r="B8" s="12" t="str">
        <x:v>容量与冲击</x:v>
      </x:c>
      <x:c r="C8" s="12" t="str">
        <x:v>短线机会容量有限</x:v>
      </x:c>
      <x:c r="D8" s="12" t="str">
        <x:v>估计参与率、冲击、成交不足和PnL随规模退化</x:v>
      </x:c>
    </x:row>
    <x:row r="9">
      <x:c r="A9" s="12" t="n">
        <x:v>8</x:v>
      </x:c>
      <x:c r="B9" s="12" t="str">
        <x:v>合规与市场操纵风险</x:v>
      </x:c>
      <x:c r="C9" s="12" t="str">
        <x:v>博弈论策略可能接近敏感行为边界</x:v>
      </x:c>
      <x:c r="D9" s="12" t="str">
        <x:v>避免欺骗性挂撤单、抢跑、操纵性行为；保留审计日志</x:v>
      </x:c>
    </x:row>
    <x:row r="10">
      <x:c r="A10" s="12" t="n">
        <x:v>9</x:v>
      </x:c>
      <x:c r="B10" s="12" t="str">
        <x:v>多重检验</x:v>
      </x:c>
      <x:c r="C10" s="12" t="str">
        <x:v>300个候选策略很容易数据挖掘</x:v>
      </x:c>
      <x:c r="D10" s="12" t="str">
        <x:v>控制试验数量，记录所有失败结果，做White's Reality Check或相似调整</x:v>
      </x:c>
    </x:row>
    <x:row r="11">
      <x:c r="A11" s="12" t="n">
        <x:v>10</x:v>
      </x:c>
      <x:c r="B11" s="12" t="str">
        <x:v>实盘灰度</x:v>
      </x:c>
      <x:c r="C11" s="12" t="str">
        <x:v>回测无法覆盖所有撮合与故障</x:v>
      </x:c>
      <x:c r="D11" s="12" t="str">
        <x:v>先影子交易，再小仓位灰度，设置Kill Switch</x:v>
      </x:c>
    </x:row>
  </x:sheetData>
  <x:pageMargins left="0.7" right="0.7" top="0.75" bottom="0.75" header="0.3" footer="0.3"/>
  <x:tableParts count="1">
    <x:tablePart xmlns:r="http://schemas.openxmlformats.org/officeDocument/2006/relationships" r:id="R41bf045e900b46a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48" hidden="0" customWidth="1"/>
    <x:col min="4" max="4" width="48" hidden="0" customWidth="1"/>
    <x:col min="5" max="5" width="44" hidden="0" customWidth="1"/>
  </x:cols>
  <x:sheetData>
    <x:row r="1" ht="28" customHeight="1">
      <x:c r="A1" s="56" t="str">
        <x:v>区块</x:v>
      </x:c>
      <x:c r="B1" s="56" t="str">
        <x:v>字段</x:v>
      </x:c>
      <x:c r="C1" s="56" t="str">
        <x:v>内容 / 数值</x:v>
      </x:c>
      <x:c r="D1" s="56" t="str">
        <x:v>口径 / 解释</x:v>
      </x:c>
      <x:c r="E1" s="56" t="str">
        <x:v>Source URL</x:v>
      </x:c>
    </x:row>
    <x:row r="2">
      <x:c r="A2" s="57" t="str">
        <x:v>核心规则</x:v>
      </x:c>
      <x:c r="B2" s="57" t="str">
        <x:v>结算口径</x:v>
      </x:c>
      <x:c r="C2" s="57" t="str">
        <x:v>Up = 窗口结束 BTC/USD &gt;= 窗口开始 BTC/USD；否则 Down；以 Chainlink BTC/USD Data Stream 为准。</x:v>
      </x:c>
      <x:c r="D2" s="57" t="str">
        <x:v>不是 Binance/OKX/Coinbase 现货价格本身；做策略时要记录 Chainlink 与 CEX 的偏差。</x:v>
      </x:c>
      <x:c r="E2" s="57" t="str">
        <x:v>https://polymarket.com/event/btc-updown-5m-1777017000</x:v>
      </x:c>
      <x:c r="G2" s="60" t="str">
        <x:v>策略门派热度摘要</x:v>
      </x:c>
      <x:c r="H2" s="60" t="str">
        <x:v>Heat Score</x:v>
      </x:c>
    </x:row>
    <x:row r="3">
      <x:c r="A3" s="57" t="str">
        <x:v>核心规则</x:v>
      </x:c>
      <x:c r="B3" s="57" t="str">
        <x:v>合约形态</x:v>
      </x:c>
      <x:c r="C3" s="57" t="str">
        <x:v>每个 5 分钟窗口一个二元事件合约；正确结果每份兑付 $1，错误归零。</x:v>
      </x:c>
      <x:c r="D3" s="57" t="str">
        <x:v>价格可视为隐含概率，但不是传统期权；近结算时 delta/gamma 跳变非常大。</x:v>
      </x:c>
      <x:c r="E3" s="57" t="str">
        <x:v>https://polymarket.com/event/btc-updown-5m-1777017000</x:v>
      </x:c>
      <x:c r="G3" t="str">
        <x:v>盘口/做市/返佣</x:v>
      </x:c>
      <x:c r="H3" t="n">
        <x:v>5</x:v>
      </x:c>
    </x:row>
    <x:row r="4">
      <x:c r="A4" s="57" t="str">
        <x:v>市场结构</x:v>
      </x:c>
      <x:c r="B4" s="57" t="str">
        <x:v>市场发现</x:v>
      </x:c>
      <x:c r="C4" s="57" t="str">
        <x:v>可通过 Gamma API 使用 slug / tag / events endpoint 拉取事件与市场。</x:v>
      </x:c>
      <x:c r="D4" s="57" t="str">
        <x:v>需要保存 slug、conditionId、tokenId、start/end date、outcome prices。</x:v>
      </x:c>
      <x:c r="E4" s="57" t="str">
        <x:v>https://docs.polymarket.com/market-data/fetching-markets</x:v>
      </x:c>
      <x:c r="G4" t="str">
        <x:v>近收盘方向 sniping</x:v>
      </x:c>
      <x:c r="H4" t="n">
        <x:v>5</x:v>
      </x:c>
    </x:row>
    <x:row r="5">
      <x:c r="A5" s="57" t="str">
        <x:v>市场结构</x:v>
      </x:c>
      <x:c r="B5" s="57" t="str">
        <x:v>实时盘口</x:v>
      </x:c>
      <x:c r="C5" s="57" t="str">
        <x:v>CLOB/Orderbook 支持最优买卖、last trade price；实时行情建议用 WebSocket market channel。</x:v>
      </x:c>
      <x:c r="D5" s="57" t="str">
        <x:v>轮询不够；5m 市场的有效边际可能只有几秒。</x:v>
      </x:c>
      <x:c r="E5" s="57" t="str">
        <x:v>https://docs.polymarket.com/trading/orderbook</x:v>
      </x:c>
      <x:c r="G5" t="str">
        <x:v>Oracle/基准延迟</x:v>
      </x:c>
      <x:c r="H5" t="n">
        <x:v>5</x:v>
      </x:c>
    </x:row>
    <x:row r="6">
      <x:c r="A6" s="57" t="str">
        <x:v>费用与激励</x:v>
      </x:c>
      <x:c r="B6" s="57" t="str">
        <x:v>手续费/返佣</x:v>
      </x:c>
      <x:c r="C6" s="57" t="str">
        <x:v>Polymarket 对部分市场收 taker fee；费用也被用于 maker rebates，以激励深度与窄价差。</x:v>
      </x:c>
      <x:c r="D6" s="57" t="str">
        <x:v>maker/rebate 门派的收益需要把手续费、返佣、撤单失败、排队成本都算进去。</x:v>
      </x:c>
      <x:c r="E6" s="57" t="str">
        <x:v>https://docs.polymarket.com/trading/fees</x:v>
      </x:c>
      <x:c r="G6" t="str">
        <x:v>BTC CEX 动量/反转</x:v>
      </x:c>
      <x:c r="H6" t="n">
        <x:v>4</x:v>
      </x:c>
    </x:row>
    <x:row r="7">
      <x:c r="A7" s="57" t="str">
        <x:v>交易热度</x:v>
      </x:c>
      <x:c r="B7" s="57" t="str">
        <x:v>Fast markets 增长</x:v>
      </x:c>
      <x:c r="C7" s="57" t="str">
        <x:v>Dune 统计：5m 市场上线后两周内超过 15m；Feb 15-Mar 30 期间 5m 市场约 $2.3B notional，15m 约 $795M。</x:v>
      </x:c>
      <x:c r="D7" s="57" t="str">
        <x:v>taker notional volume；不是策略 AUM。</x:v>
      </x:c>
      <x:c r="E7" s="57" t="str">
        <x:v>https://dune.com/blog/polymarket-fast-markets</x:v>
      </x:c>
      <x:c r="G7" t="str">
        <x:v>跨平台/合成套利</x:v>
      </x:c>
      <x:c r="H7" t="n">
        <x:v>4</x:v>
      </x:c>
    </x:row>
    <x:row r="8">
      <x:c r="A8" s="57" t="str">
        <x:v>交易热度</x:v>
      </x:c>
      <x:c r="B8" s="57" t="str">
        <x:v>BTC 主导</x:v>
      </x:c>
      <x:c r="C8" s="57" t="str">
        <x:v>Dune 统计：BTC 约占 fast market 周成交额 77%；ETH 约 13%，SOL/XRP 各约 5-6%。</x:v>
      </x:c>
      <x:c r="D8" s="57" t="str">
        <x:v>说明 BTC 5m 是流动性和竞争最集中的赛道。</x:v>
      </x:c>
      <x:c r="E8" s="57" t="str">
        <x:v>https://dune.com/blog/polymarket-fast-markets</x:v>
      </x:c>
      <x:c r="G8" t="str">
        <x:v>Copy/钱包跟随</x:v>
      </x:c>
      <x:c r="H8" t="n">
        <x:v>3</x:v>
      </x:c>
    </x:row>
    <x:row r="9">
      <x:c r="A9" s="57" t="str">
        <x:v>参与者结构</x:v>
      </x:c>
      <x:c r="B9" s="57" t="str">
        <x:v>自动化占比</x:v>
      </x:c>
      <x:c r="C9" s="57" t="str">
        <x:v>Dune 统计：5m/15m 市场自动化地址占 55-62% volume；casual/regular 仅 4-5%。</x:v>
      </x:c>
      <x:c r="D9" s="57" t="str">
        <x:v>这支持“短窗口更像衍生品/微结构游戏”的判断。</x:v>
      </x:c>
      <x:c r="E9" s="57" t="str">
        <x:v>https://dune.com/blog/polymarket-fast-markets</x:v>
      </x:c>
      <x:c r="G9" t="str">
        <x:v>LLM/AI Agent</x:v>
      </x:c>
      <x:c r="H9" t="n">
        <x:v>3</x:v>
      </x:c>
    </x:row>
    <x:row r="10">
      <x:c r="A10" s="57" t="str">
        <x:v>生态规模</x:v>
      </x:c>
      <x:c r="B10" s="57" t="str">
        <x:v>整体预测市场</x:v>
      </x:c>
      <x:c r="C10" s="57" t="str">
        <x:v>Pew / The Block：Kalshi + Polymarket 月度 global volume 从 2025-09 少于 $5B 升至 2026-04 约 $24B。</x:v>
      </x:c>
      <x:c r="D10" s="57" t="str">
        <x:v>用 taker notional 口径；Polymarket 指国际站，另列 Polymarket US。</x:v>
      </x:c>
      <x:c r="E10" s="57" t="str">
        <x:v>https://www.pewresearch.org/short-reads/2026/05/27/trading-volume-on-prediction-markets-has-soared-in-recent-months/</x:v>
      </x:c>
      <x:c r="G10" t="str">
        <x:v>纯 Martingale</x:v>
      </x:c>
      <x:c r="H10" t="n">
        <x:v>2</x:v>
      </x:c>
    </x:row>
    <x:row r="11">
      <x:c r="A11" s="57" t="str">
        <x:v>生态规模</x:v>
      </x:c>
      <x:c r="B11" s="57" t="str">
        <x:v>Polymarket / Kalshi</x:v>
      </x:c>
      <x:c r="C11" s="57" t="str">
        <x:v>Pew：2026-04 Polymarket International 约 $9B，Polymarket US 约 $1.3B；Kalshi 可由合计约 $24B 反推为约 $13.7B。</x:v>
      </x:c>
      <x:c r="D11" s="57" t="str">
        <x:v>适合作为市场资金体量的大盘锚点。</x:v>
      </x:c>
      <x:c r="E11" s="57" t="str">
        <x:v>https://www.pewresearch.org/short-reads/2026/05/27/trading-volume-on-prediction-markets-has-soared-in-recent-months/</x:v>
      </x:c>
    </x:row>
    <x:row r="12">
      <x:c r="A12" s="57" t="str">
        <x:v>研究判断</x:v>
      </x:c>
      <x:c r="B12" s="57" t="str">
        <x:v>最重要的观察方式</x:v>
      </x:c>
      <x:c r="C12" s="57" t="str">
        <x:v>把它看成“5 分钟二元结算 + CLOB 微结构 + Oracle 基准 + maker/taker 激励 + 外部 BTC 市场映射”的组合。</x:v>
      </x:c>
      <x:c r="D12" s="57" t="str">
        <x:v>单纯用 TA 指标不够；必须建事件级和秒级数据集。</x:v>
      </x:c>
      <x:c r="E12" s="57" t="str">
        <x:v>https://polymarket.com/event/btc-updown-5m-1777017000
https://dune.com/blog/polymarket-fast-markets</x:v>
      </x:c>
    </x:row>
  </x:sheetData>
  <x:pageMargins left="0.7" right="0.7" top="0.75" bottom="0.75" header="0.3" footer="0.3"/>
  <x:drawing xmlns:r="http://schemas.openxmlformats.org/officeDocument/2006/relationships" r:id="R128abcedc9824a09"/>
  <x:tableParts count="1">
    <x:tablePart xmlns:r="http://schemas.openxmlformats.org/officeDocument/2006/relationships" r:id="R7dfe7a60cd624bc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35" hidden="0" customWidth="1"/>
    <x:col min="5" max="5" width="35" hidden="0" customWidth="1"/>
    <x:col min="6" max="6" width="44" hidden="0" customWidth="1"/>
  </x:cols>
  <x:sheetData>
    <x:row r="1" ht="28" customHeight="1">
      <x:c r="A1" s="56" t="str">
        <x:v>观察维度</x:v>
      </x:c>
      <x:c r="B1" s="56" t="str">
        <x:v>应该怎么看</x:v>
      </x:c>
      <x:c r="C1" s="56" t="str">
        <x:v>为什么重要</x:v>
      </x:c>
      <x:c r="D1" s="56" t="str">
        <x:v>可观测字段</x:v>
      </x:c>
      <x:c r="E1" s="56" t="str">
        <x:v>常见误区</x:v>
      </x:c>
      <x:c r="F1" s="56" t="str">
        <x:v>Source URL</x:v>
      </x:c>
    </x:row>
    <x:row r="2">
      <x:c r="A2" s="57" t="str">
        <x:v>规则层</x:v>
      </x:c>
      <x:c r="B2" s="57" t="str">
        <x:v>Up/Down 只看窗口起点和终点的 Chainlink BTC/USD。</x:v>
      </x:c>
      <x:c r="C2" s="57" t="str">
        <x:v>策略必须围绕官方 resolution source，而不是任意现货交易所。</x:v>
      </x:c>
      <x:c r="D2" s="57" t="str">
        <x:v>window start/end, price to beat, Chainlink value, resolution status</x:v>
      </x:c>
      <x:c r="E2" s="57" t="str">
        <x:v>用 Binance Kline 收盘价直接判定胜负。</x:v>
      </x:c>
      <x:c r="F2" s="57" t="str">
        <x:v>https://polymarket.com/event/btc-updown-5m-1777017000</x:v>
      </x:c>
    </x:row>
    <x:row r="3">
      <x:c r="A3" s="57" t="str">
        <x:v>合约层</x:v>
      </x:c>
      <x:c r="B3" s="57" t="str">
        <x:v>每个 outcome token 到期后 0/1 兑付。</x:v>
      </x:c>
      <x:c r="C3" s="57" t="str">
        <x:v>价格不是线性 BTC 仓位；近结算时 payout discontinuity 极强。</x:v>
      </x:c>
      <x:c r="D3" s="57" t="str">
        <x:v>token IDs, outcome, price, open interest, volume</x:v>
      </x:c>
      <x:c r="E3" s="57" t="str">
        <x:v>把它当成普通 BTC 5m 多空，不考虑二元跳变。</x:v>
      </x:c>
      <x:c r="F3" s="57" t="str">
        <x:v>https://polymarket.com/event/btc-updown-5m-1777017000</x:v>
      </x:c>
    </x:row>
    <x:row r="4">
      <x:c r="A4" s="57" t="str">
        <x:v>盘口层</x:v>
      </x:c>
      <x:c r="B4" s="57" t="str">
        <x:v>CLOB 最优 bid/ask、depth、last trade、成交方向。</x:v>
      </x:c>
      <x:c r="C4" s="57" t="str">
        <x:v>大部分边际来自点差、队列位置和盘口错价。</x:v>
      </x:c>
      <x:c r="D4" s="57" t="str">
        <x:v>best_bid, best_ask, mid, spread, depth levels, trade price</x:v>
      </x:c>
      <x:c r="E4" s="57" t="str">
        <x:v>只看 Polymarket 页面中间价。</x:v>
      </x:c>
      <x:c r="F4" s="57" t="str">
        <x:v>https://docs.polymarket.com/trading/orderbook</x:v>
      </x:c>
    </x:row>
    <x:row r="5">
      <x:c r="A5" s="57" t="str">
        <x:v>外部基准层</x:v>
      </x:c>
      <x:c r="B5" s="57" t="str">
        <x:v>Binance/OKX/Bybit/Coinbase BTCUSDT/BTCUSD 秒级成交和盘口。</x:v>
      </x:c>
      <x:c r="C5" s="57" t="str">
        <x:v>市场价格在多数时间会贴着外部 BTC；偏离会被 bot 迅速修复。</x:v>
      </x:c>
      <x:c r="D5" s="57" t="str">
        <x:v>last, microprice, perp basis, mark price, funding, liquidation feed</x:v>
      </x:c>
      <x:c r="E5" s="57" t="str">
        <x:v>忽略交易所间基准差异和 API 延迟。</x:v>
      </x:c>
      <x:c r="F5" s="57" t="str">
        <x:v>https://github.com/jueweijue/polymarket-range-collector</x:v>
      </x:c>
    </x:row>
    <x:row r="6">
      <x:c r="A6" s="57" t="str">
        <x:v>Oracle 层</x:v>
      </x:c>
      <x:c r="B6" s="57" t="str">
        <x:v>记录 Chainlink stream 更新时间、延迟、最终取值。</x:v>
      </x:c>
      <x:c r="C6" s="57" t="str">
        <x:v>胜负基准是 Chainlink，末秒有 basis/oracle timing 风险。</x:v>
      </x:c>
      <x:c r="D6" s="57" t="str">
        <x:v>stream update timestamp, value, staleness, delta vs CEX</x:v>
      </x:c>
      <x:c r="E6" s="57" t="str">
        <x:v>默认 Chainlink 与 CEX 最新成交完全同步。</x:v>
      </x:c>
      <x:c r="F6" s="57" t="str">
        <x:v>https://polymarket.com/event/btc-updown-5m-1777017000</x:v>
      </x:c>
    </x:row>
    <x:row r="7">
      <x:c r="A7" s="57" t="str">
        <x:v>时间层</x:v>
      </x:c>
      <x:c r="B7" s="57" t="str">
        <x:v>5 分钟拆成开盘 0-30s、中段、收盘前 30s、最后 5s。</x:v>
      </x:c>
      <x:c r="C7" s="57" t="str">
        <x:v>不同阶段的策略完全不同：开盘流动性、末段 sniping、临近结算跳变。</x:v>
      </x:c>
      <x:c r="D7" s="57" t="str">
        <x:v>seconds_to_close, seconds_since_open</x:v>
      </x:c>
      <x:c r="E7" s="57" t="str">
        <x:v>用单一规则覆盖整场。</x:v>
      </x:c>
      <x:c r="F7" s="57" t="str">
        <x:v>https://dune.com/blog/polymarket-fast-markets</x:v>
      </x:c>
    </x:row>
    <x:row r="8">
      <x:c r="A8" s="57" t="str">
        <x:v>参与者层</x:v>
      </x:c>
      <x:c r="B8" s="57" t="str">
        <x:v>区分 bot/heavy/active/frequent/casual 地址。</x:v>
      </x:c>
      <x:c r="C8" s="57" t="str">
        <x:v>自动化占比高，普通手动点击很难在末秒竞争。</x:v>
      </x:c>
      <x:c r="D8" s="57" t="str">
        <x:v>trader address, trade count, active days, hour coverage, size</x:v>
      </x:c>
      <x:c r="E8" s="57" t="str">
        <x:v>把所有成交都当成散户观点。</x:v>
      </x:c>
      <x:c r="F8" s="57" t="str">
        <x:v>https://dune.com/blog/polymarket-fast-markets</x:v>
      </x:c>
    </x:row>
    <x:row r="9">
      <x:c r="A9" s="57" t="str">
        <x:v>费用层</x:v>
      </x:c>
      <x:c r="B9" s="57" t="str">
        <x:v>taker fee、maker rebate、gas/桥接成本、失败订单成本。</x:v>
      </x:c>
      <x:c r="C9" s="57" t="str">
        <x:v>短线策略很容易被费用吃掉；maker 边际收益需估净值。</x:v>
      </x:c>
      <x:c r="D9" s="57" t="str">
        <x:v>fee rate, rebate, maker/taker flag, gas, settlement cost</x:v>
      </x:c>
      <x:c r="E9" s="57" t="str">
        <x:v>只回测毛收益。</x:v>
      </x:c>
      <x:c r="F9" s="57" t="str">
        <x:v>https://docs.polymarket.com/trading/fees</x:v>
      </x:c>
    </x:row>
    <x:row r="10">
      <x:c r="A10" s="57" t="str">
        <x:v>API 层</x:v>
      </x:c>
      <x:c r="B10" s="57" t="str">
        <x:v>Gamma 做市场发现；CLOB / WebSocket 做实时盘口；Data / Dune 做历史复盘。</x:v>
      </x:c>
      <x:c r="C10" s="57" t="str">
        <x:v>需要多源拼接才能做可验证回测。</x:v>
      </x:c>
      <x:c r="D10" s="57" t="str">
        <x:v>slug, market id, event id, token id, orderbook, trades</x:v>
      </x:c>
      <x:c r="E10" s="57" t="str">
        <x:v>只存最终 outcome，不存过程。</x:v>
      </x:c>
      <x:c r="F10" s="57" t="str">
        <x:v>https://docs.polymarket.com/market-data/fetching-markets
https://docs.polymarket.com/trading/orderbook</x:v>
      </x:c>
    </x:row>
    <x:row r="11">
      <x:c r="A11" s="57" t="str">
        <x:v>社交流层</x:v>
      </x:c>
      <x:c r="B11" s="57" t="str">
        <x:v>评论、Discord/Telegram bot、GitHub 项目、HN/Reddit 讨论。</x:v>
      </x:c>
      <x:c r="C11" s="57" t="str">
        <x:v>可以观察策略扩散和 crowdedness，但噪音极高。</x:v>
      </x:c>
      <x:c r="D11" s="57" t="str">
        <x:v>comments count, repo stars, forks, commits, mentions</x:v>
      </x:c>
      <x:c r="E11" s="57" t="str">
        <x:v>把开源 README 当成可盈利证据。</x:v>
      </x:c>
      <x:c r="F11" s="57" t="str">
        <x:v>https://github.com/ThinkEnigmatic/polymarket-bot-arena
https://news.ycombinator.com/item?id=47204740</x:v>
      </x:c>
    </x:row>
    <x:row r="12">
      <x:c r="A12" s="57" t="str">
        <x:v>监管/合规层</x:v>
      </x:c>
      <x:c r="B12" s="57" t="str">
        <x:v>不同司法辖区对 prediction markets 的定义变化很快。</x:v>
      </x:c>
      <x:c r="C12" s="57" t="str">
        <x:v>平台可用性、身份认证、地区限制、合约是否允许交易都会影响策略寿命。</x:v>
      </x:c>
      <x:c r="D12" s="57" t="str">
        <x:v>eligibility, restricted flag, jurisdiction news</x:v>
      </x:c>
      <x:c r="E12" s="57" t="str">
        <x:v>忽略地区访问和合规风险。</x:v>
      </x:c>
      <x:c r="F12" s="57" t="str">
        <x:v>https://www.pewresearch.org/short-reads/2026/05/27/trading-volume-on-prediction-markets-has-soared-in-recent-months/</x:v>
      </x:c>
    </x:row>
  </x:sheetData>
  <x:pageMargins left="0.7" right="0.7" top="0.75" bottom="0.75" header="0.3" footer="0.3"/>
  <x:tableParts count="1">
    <x:tablePart xmlns:r="http://schemas.openxmlformats.org/officeDocument/2006/relationships" r:id="Rda38452959a349e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2" hidden="0" customWidth="1"/>
    <x:col min="3" max="3" width="22" hidden="0" customWidth="1"/>
    <x:col min="4" max="4" width="36" hidden="0" customWidth="1"/>
    <x:col min="5" max="5" width="28" hidden="0" customWidth="1"/>
    <x:col min="6" max="6" width="34" hidden="0" customWidth="1"/>
    <x:col min="7" max="7" width="40" hidden="0" customWidth="1"/>
    <x:col min="8" max="8" width="10" hidden="0" customWidth="1"/>
    <x:col min="9" max="9" width="12" hidden="0" customWidth="1"/>
    <x:col min="10" max="10" width="12" hidden="0" customWidth="1"/>
    <x:col min="11" max="11" width="14" hidden="0" customWidth="1"/>
    <x:col min="12" max="12" width="38" hidden="0" customWidth="1"/>
    <x:col min="13" max="13" width="34" hidden="0" customWidth="1"/>
    <x:col min="14" max="14" width="44" hidden="0" customWidth="1"/>
  </x:cols>
  <x:sheetData>
    <x:row r="1" ht="28" customHeight="1">
      <x:c r="A1" s="56" t="str">
        <x:v>ID</x:v>
      </x:c>
      <x:c r="B1" s="56" t="str">
        <x:v>门派 / 策略族</x:v>
      </x:c>
      <x:c r="C1" s="56" t="str">
        <x:v>典型玩家</x:v>
      </x:c>
      <x:c r="D1" s="56" t="str">
        <x:v>核心做法</x:v>
      </x:c>
      <x:c r="E1" s="56" t="str">
        <x:v>5m BTC 适配</x:v>
      </x:c>
      <x:c r="F1" s="56" t="str">
        <x:v>数据 / 基础设施</x:v>
      </x:c>
      <x:c r="G1" s="56" t="str">
        <x:v>入场 / 退出草图</x:v>
      </x:c>
      <x:c r="H1" s="56" t="str">
        <x:v>热度 1-5</x:v>
      </x:c>
      <x:c r="I1" s="56" t="str">
        <x:v>资金容量 1-5</x:v>
      </x:c>
      <x:c r="J1" s="56" t="str">
        <x:v>拥挤度 1-5</x:v>
      </x:c>
      <x:c r="K1" s="56" t="str">
        <x:v>成熟度</x:v>
      </x:c>
      <x:c r="L1" s="56" t="str">
        <x:v>主要风险 / 失效点</x:v>
      </x:c>
      <x:c r="M1" s="56" t="str">
        <x:v>公开证据 / 论坛线索</x:v>
      </x:c>
      <x:c r="N1" s="56" t="str">
        <x:v>Source URL</x:v>
      </x:c>
    </x:row>
    <x:row r="2">
      <x:c r="A2" s="57" t="n">
        <x:v>1</x:v>
      </x:c>
      <x:c r="B2" s="57" t="str">
        <x:v>Oracle / Chainlink 基准复制</x:v>
      </x:c>
      <x:c r="C2" s="57" t="str">
        <x:v>低延迟 bot、研究员</x:v>
      </x:c>
      <x:c r="D2" s="57" t="str">
        <x:v>用 CEX 秒级价格推断 Chainlink 终值，末段买入被低估一侧。</x:v>
      </x:c>
      <x:c r="E2" s="57" t="str">
        <x:v>非常适配；胜负取决于起终点。</x:v>
      </x:c>
      <x:c r="F2" s="57" t="str">
        <x:v>Chainlink stream + Binance/OKX/Bybit tick + Polymarket WS</x:v>
      </x:c>
      <x:c r="G2" s="57" t="str">
        <x:v>若估计终值远离 price_to_beat 且 outcome token 未到接近 1，扫单；极近收盘不追价。</x:v>
      </x:c>
      <x:c r="H2" s="57" t="n">
        <x:v>5</x:v>
      </x:c>
      <x:c r="I2" s="57" t="n">
        <x:v>2</x:v>
      </x:c>
      <x:c r="J2" s="57" t="n">
        <x:v>5</x:v>
      </x:c>
      <x:c r="K2" s="57" t="str">
        <x:v>新兴/拥挤</x:v>
      </x:c>
      <x:c r="L2" s="57" t="str">
        <x:v>Oracle timing、取样规则、滑点、盘口瞬间消失。</x:v>
      </x:c>
      <x:c r="M2" s="57" t="str">
        <x:v>GitHub/教程常把 Chainlink 与交易所 feed 差异作为核心问题。</x:v>
      </x:c>
      <x:c r="N2" s="57" t="str">
        <x:v>https://polymarket.com/event/btc-updown-5m-1777017000
https://github.com/jueweijue/polymarket-range-collector</x:v>
      </x:c>
    </x:row>
    <x:row r="3">
      <x:c r="A3" s="57" t="n">
        <x:v>2</x:v>
      </x:c>
      <x:c r="B3" s="57" t="str">
        <x:v>近收盘方向 Sniper</x:v>
      </x:c>
      <x:c r="C3" s="57" t="str">
        <x:v>API bot、Telegram bot 用户</x:v>
      </x:c>
      <x:c r="D3" s="57" t="str">
        <x:v>最后 30-5 秒根据 BTC 相对 price_to_beat 的距离买 winner side。</x:v>
      </x:c>
      <x:c r="E3" s="57" t="str">
        <x:v>最直观，最热门。</x:v>
      </x:c>
      <x:c r="F3" s="57" t="str">
        <x:v>CEX tick + Polymarket best ask + seconds_to_close</x:v>
      </x:c>
      <x:c r="G3" s="57" t="str">
        <x:v>距离阈值超过手续费/点差/跳变风险时 taker 进场；收盘或价格反穿退出。</x:v>
      </x:c>
      <x:c r="H3" s="57" t="n">
        <x:v>5</x:v>
      </x:c>
      <x:c r="I3" s="57" t="n">
        <x:v>2</x:v>
      </x:c>
      <x:c r="J3" s="57" t="n">
        <x:v>5</x:v>
      </x:c>
      <x:c r="K3" s="57" t="str">
        <x:v>经典/拥挤</x:v>
      </x:c>
      <x:c r="L3" s="57" t="str">
        <x:v>成交排队、反向跳变、价格已被抬至 0.98-1.00。</x:v>
      </x:c>
      <x:c r="M3" s="57" t="str">
        <x:v>HN/GitHub bot 项目多强调 5m 自动执行。</x:v>
      </x:c>
      <x:c r="N3" s="57" t="str">
        <x:v>https://gist.github.com/Archetapp/7680adabc48f812a561ca79d73cbac69
https://news.ycombinator.com/item?id=47204740</x:v>
      </x:c>
    </x:row>
    <x:row r="4">
      <x:c r="A4" s="57" t="n">
        <x:v>3</x:v>
      </x:c>
      <x:c r="B4" s="57" t="str">
        <x:v>盘口做市 / Maker Rebate</x:v>
      </x:c>
      <x:c r="C4" s="57" t="str">
        <x:v>做市商、半专业 bot</x:v>
      </x:c>
      <x:c r="D4" s="57" t="str">
        <x:v>在 Up/Down 两侧挂限价，靠点差、返佣和短时均值回归赚钱。</x:v>
      </x:c>
      <x:c r="E4" s="57" t="str">
        <x:v>核心门派之一；需要快速撤单和库存控制。</x:v>
      </x:c>
      <x:c r="F4" s="57" t="str">
        <x:v>CLOB WS、订单管理、费率/返佣、库存实时 PnL</x:v>
      </x:c>
      <x:c r="G4" s="57" t="str">
        <x:v>基于 fair value 挂 bid/ask；库存偏向时偏移报价；近结算降低仓位。</x:v>
      </x:c>
      <x:c r="H4" s="57" t="n">
        <x:v>5</x:v>
      </x:c>
      <x:c r="I4" s="57" t="n">
        <x:v>5</x:v>
      </x:c>
      <x:c r="J4" s="57" t="n">
        <x:v>4</x:v>
      </x:c>
      <x:c r="K4" s="57" t="str">
        <x:v>经典/成熟</x:v>
      </x:c>
      <x:c r="L4" s="57" t="str">
        <x:v>逆选择；末段跳变；撤单延迟；手续费规则变化。</x:v>
      </x:c>
      <x:c r="M4" s="57" t="str">
        <x:v>Dune 显示 maker rebates 与短周期市场深度绑定。</x:v>
      </x:c>
      <x:c r="N4" s="57" t="str">
        <x:v>https://dune.com/blog/polymarket-fast-markets
https://docs.polymarket.com/trading/fees</x:v>
      </x:c>
    </x:row>
    <x:row r="5">
      <x:c r="A5" s="57" t="n">
        <x:v>4</x:v>
      </x:c>
      <x:c r="B5" s="57" t="str">
        <x:v>CEX 动量跟随</x:v>
      </x:c>
      <x:c r="C5" s="57" t="str">
        <x:v>技术指标 bot、散户自动化</x:v>
      </x:c>
      <x:c r="D5" s="57" t="str">
        <x:v>用 BTC 1s/5s 动量、成交量冲击、microprice 预测 5m 终点方向。</x:v>
      </x:c>
      <x:c r="E5" s="57" t="str">
        <x:v>适配但易 crowded。</x:v>
      </x:c>
      <x:c r="F5" s="57" t="str">
        <x:v>CEX tick/order book、Polymarket odds</x:v>
      </x:c>
      <x:c r="G5" s="57" t="str">
        <x:v>动量超过阈值且盘口未充分反映时买同向；动量衰减或 odds 达目标退出。</x:v>
      </x:c>
      <x:c r="H5" s="57" t="n">
        <x:v>4</x:v>
      </x:c>
      <x:c r="I5" s="57" t="n">
        <x:v>3</x:v>
      </x:c>
      <x:c r="J5" s="57" t="n">
        <x:v>4</x:v>
      </x:c>
      <x:c r="K5" s="57" t="str">
        <x:v>经典</x:v>
      </x:c>
      <x:c r="L5" s="57" t="str">
        <x:v>手续费后 edge 很薄；数据延迟；伪趋势。</x:v>
      </x:c>
      <x:c r="M5" s="57" t="str">
        <x:v>Bot Arena 明确列出 momentum-v1。</x:v>
      </x:c>
      <x:c r="N5" s="57" t="str">
        <x:v>https://github.com/ThinkEnigmatic/polymarket-bot-arena</x:v>
      </x:c>
    </x:row>
    <x:row r="6">
      <x:c r="A6" s="57" t="n">
        <x:v>5</x:v>
      </x:c>
      <x:c r="B6" s="57" t="str">
        <x:v>CEX 均值回归 / RSI / Z-score</x:v>
      </x:c>
      <x:c r="C6" s="57" t="str">
        <x:v>指标 bot、散户量化</x:v>
      </x:c>
      <x:c r="D6" s="57" t="str">
        <x:v>BTC 短时偏离均值后押反向，尤其在冲击后价格回归。</x:v>
      </x:c>
      <x:c r="E6" s="57" t="str">
        <x:v>中段更适配，末段风险大。</x:v>
      </x:c>
      <x:c r="F6" s="57" t="str">
        <x:v>1s/5s returns、RSI、z-score、vol filter</x:v>
      </x:c>
      <x:c r="G6" s="57" t="str">
        <x:v>z-score 极端且 time_to_close 足够时反向；若继续突破止损。</x:v>
      </x:c>
      <x:c r="H6" s="57" t="n">
        <x:v>4</x:v>
      </x:c>
      <x:c r="I6" s="57" t="n">
        <x:v>3</x:v>
      </x:c>
      <x:c r="J6" s="57" t="n">
        <x:v>4</x:v>
      </x:c>
      <x:c r="K6" s="57" t="str">
        <x:v>经典</x:v>
      </x:c>
      <x:c r="L6" s="57" t="str">
        <x:v>强趋势日连续止损；末段无法等待回归。</x:v>
      </x:c>
      <x:c r="M6" s="57" t="str">
        <x:v>Bot Arena 明确列出 meanrev-v1。</x:v>
      </x:c>
      <x:c r="N6" s="57" t="str">
        <x:v>https://github.com/ThinkEnigmatic/polymarket-bot-arena</x:v>
      </x:c>
    </x:row>
    <x:row r="7">
      <x:c r="A7" s="57" t="n">
        <x:v>6</x:v>
      </x:c>
      <x:c r="B7" s="57" t="str">
        <x:v>外部盘口微结构</x:v>
      </x:c>
      <x:c r="C7" s="57" t="str">
        <x:v>高阶量化、HFT-lite</x:v>
      </x:c>
      <x:c r="D7" s="57" t="str">
        <x:v>用 Binance/OKX order book imbalance、microprice、trade sign 预测未来 5-30 秒。</x:v>
      </x:c>
      <x:c r="E7" s="57" t="str">
        <x:v>非常适配，但需要稳定低延迟。</x:v>
      </x:c>
      <x:c r="F7" s="57" t="str">
        <x:v>多交易所 L2、trade feed、clock sync</x:v>
      </x:c>
      <x:c r="G7" s="57" t="str">
        <x:v>若 microprice 显著高于 mid 且 Polymarket Up 便宜，买 Up；反之买 Down。</x:v>
      </x:c>
      <x:c r="H7" s="57" t="n">
        <x:v>4</x:v>
      </x:c>
      <x:c r="I7" s="57" t="n">
        <x:v>3</x:v>
      </x:c>
      <x:c r="J7" s="57" t="n">
        <x:v>4</x:v>
      </x:c>
      <x:c r="K7" s="57" t="str">
        <x:v>新兴/专业</x:v>
      </x:c>
      <x:c r="L7" s="57" t="str">
        <x:v>跨源同步难；虚假盘口；交易所 API 抖动。</x:v>
      </x:c>
      <x:c r="M7" s="57" t="str">
        <x:v>短周期市场自动化占比高，暗示微结构玩家多。</x:v>
      </x:c>
      <x:c r="N7" s="57" t="str">
        <x:v>https://dune.com/blog/polymarket-fast-markets</x:v>
      </x:c>
    </x:row>
    <x:row r="8">
      <x:c r="A8" s="57" t="n">
        <x:v>7</x:v>
      </x:c>
      <x:c r="B8" s="57" t="str">
        <x:v>跨交易所 BTC 基准差</x:v>
      </x:c>
      <x:c r="C8" s="57" t="str">
        <x:v>基差/套利交易员</x:v>
      </x:c>
      <x:c r="D8" s="57" t="str">
        <x:v>比较 CEX 价格、指数价格、Chainlink oracle 的偏差。</x:v>
      </x:c>
      <x:c r="E8" s="57" t="str">
        <x:v>适配于末段和波动冲击时。</x:v>
      </x:c>
      <x:c r="F8" s="57" t="str">
        <x:v>Chainlink + CEX index + perps mark/index</x:v>
      </x:c>
      <x:c r="G8" s="57" t="str">
        <x:v>当 Chainlink 可能落后/领先现货且 Polymarket 未定价时进场。</x:v>
      </x:c>
      <x:c r="H8" s="57" t="n">
        <x:v>4</x:v>
      </x:c>
      <x:c r="I8" s="57" t="n">
        <x:v>2</x:v>
      </x:c>
      <x:c r="J8" s="57" t="n">
        <x:v>5</x:v>
      </x:c>
      <x:c r="K8" s="57" t="str">
        <x:v>新兴</x:v>
      </x:c>
      <x:c r="L8" s="57" t="str">
        <x:v>规则不透明/变化；误读数据源；被更快 bot 抢跑。</x:v>
      </x:c>
      <x:c r="M8" s="57" t="str">
        <x:v>https://polymarket.com/event/btc-updown-5m-1777017000</x:v>
      </x:c>
      <x:c r="N8" s="57" t="str"/>
    </x:row>
    <x:row r="9">
      <x:c r="A9" s="57" t="n">
        <x:v>8</x:v>
      </x:c>
      <x:c r="B9" s="57" t="str">
        <x:v>Up/Down 互补价差套利</x:v>
      </x:c>
      <x:c r="C9" s="57" t="str">
        <x:v>套利 bot</x:v>
      </x:c>
      <x:c r="D9" s="57" t="str">
        <x:v>同一二元市场 Up+Down 理论接近 1，利用 bid/ask 错位做无方向套利。</x:v>
      </x:c>
      <x:c r="E9" s="57" t="str">
        <x:v>有机会但容量小。</x:v>
      </x:c>
      <x:c r="F9" s="57" t="str">
        <x:v>CLOB best bid/ask 两 outcome、费用</x:v>
      </x:c>
      <x:c r="G9" s="57" t="str">
        <x:v>若 buy Up + buy Down &lt; 1 - fees，买入组合；若 sell sum &gt; 1 + fees，卖组合。</x:v>
      </x:c>
      <x:c r="H9" s="57" t="n">
        <x:v>4</x:v>
      </x:c>
      <x:c r="I9" s="57" t="n">
        <x:v>2</x:v>
      </x:c>
      <x:c r="J9" s="57" t="n">
        <x:v>4</x:v>
      </x:c>
      <x:c r="K9" s="57" t="str">
        <x:v>经典</x:v>
      </x:c>
      <x:c r="L9" s="57" t="str">
        <x:v>成交腿风险、费用、无法同时成交。</x:v>
      </x:c>
      <x:c r="M9" s="57" t="str">
        <x:v>开源项目中有 complement/effective book 诊断。</x:v>
      </x:c>
      <x:c r="N9" s="57" t="str">
        <x:v>https://github.com/ngixcrash/Polybot</x:v>
      </x:c>
    </x:row>
    <x:row r="10">
      <x:c r="A10" s="57" t="n">
        <x:v>9</x:v>
      </x:c>
      <x:c r="B10" s="57" t="str">
        <x:v>跨平台 / Kalshi-Polymarket 对冲</x:v>
      </x:c>
      <x:c r="C10" s="57" t="str">
        <x:v>专业交易员</x:v>
      </x:c>
      <x:c r="D10" s="57" t="str">
        <x:v>同类 BTC up/down 或 crypto event 在不同平台的价格偏离套利。</x:v>
      </x:c>
      <x:c r="E10" s="57" t="str">
        <x:v>受合约规则差异限制。</x:v>
      </x:c>
      <x:c r="F10" s="57" t="str">
        <x:v>Polymarket + Kalshi APIs、规则映射</x:v>
      </x:c>
      <x:c r="G10" s="57" t="str">
        <x:v>同一结算逻辑可比时买便宜概率、卖贵概率；无法卖空时用组合近似。</x:v>
      </x:c>
      <x:c r="H10" s="57" t="n">
        <x:v>4</x:v>
      </x:c>
      <x:c r="I10" s="57" t="n">
        <x:v>3</x:v>
      </x:c>
      <x:c r="J10" s="57" t="n">
        <x:v>3</x:v>
      </x:c>
      <x:c r="K10" s="57" t="str">
        <x:v>新兴</x:v>
      </x:c>
      <x:c r="L10" s="57" t="str">
        <x:v>规则、KYC、司法辖区、结算源不同；资金跨平台效率低。</x:v>
      </x:c>
      <x:c r="M10" s="57" t="str">
        <x:v>https://www.pewresearch.org/short-reads/2026/05/27/trading-volume-on-prediction-markets-has-soared-in-recent-months/</x:v>
      </x:c>
      <x:c r="N10" s="57" t="str"/>
    </x:row>
    <x:row r="11">
      <x:c r="A11" s="57" t="n">
        <x:v>10</x:v>
      </x:c>
      <x:c r="B11" s="57" t="str">
        <x:v>Perp Delta Hedge</x:v>
      </x:c>
      <x:c r="C11" s="57" t="str">
        <x:v>衍生品交易员</x:v>
      </x:c>
      <x:c r="D11" s="57" t="str">
        <x:v>把二元 token 的方向风险用 BTC perp 动态对冲。</x:v>
      </x:c>
      <x:c r="E11" s="57" t="str">
        <x:v>适合做市/大仓位。</x:v>
      </x:c>
      <x:c r="F11" s="57" t="str">
        <x:v>Polymarket odds + BTC perp + vol estimate</x:v>
      </x:c>
      <x:c r="G11" s="57" t="str">
        <x:v>买便宜 outcome，同时用 perp 调整 delta；近结算快速去杠杆。</x:v>
      </x:c>
      <x:c r="H11" s="57" t="n">
        <x:v>3</x:v>
      </x:c>
      <x:c r="I11" s="57" t="n">
        <x:v>4</x:v>
      </x:c>
      <x:c r="J11" s="57" t="n">
        <x:v>3</x:v>
      </x:c>
      <x:c r="K11" s="57" t="str">
        <x:v>专业/新兴</x:v>
      </x:c>
      <x:c r="L11" s="57" t="str">
        <x:v>二元 payoff 非线性；gamma 末段爆炸；hedge 误差。</x:v>
      </x:c>
      <x:c r="M11" s="57" t="str">
        <x:v>https://dune.com/blog/polymarket-fast-markets</x:v>
      </x:c>
      <x:c r="N11" s="57" t="str"/>
    </x:row>
    <x:row r="12">
      <x:c r="A12" s="57" t="n">
        <x:v>11</x:v>
      </x:c>
      <x:c r="B12" s="57" t="str">
        <x:v>Volatility Regime Filter</x:v>
      </x:c>
      <x:c r="C12" s="57" t="str">
        <x:v>所有门派</x:v>
      </x:c>
      <x:c r="D12" s="57" t="str">
        <x:v>只在波动/成交/新闻环境适合时交易，避免无 edge 场次。</x:v>
      </x:c>
      <x:c r="E12" s="57" t="str">
        <x:v>非常重要。</x:v>
      </x:c>
      <x:c r="F12" s="57" t="str">
        <x:v>realized vol、spread、depth、news calendar</x:v>
      </x:c>
      <x:c r="G12" s="57" t="str">
        <x:v>高噪音/低深度/高费率时不做；只在 edge-cost 比达标时做。</x:v>
      </x:c>
      <x:c r="H12" s="57" t="n">
        <x:v>5</x:v>
      </x:c>
      <x:c r="I12" s="57" t="n">
        <x:v>5</x:v>
      </x:c>
      <x:c r="J12" s="57" t="n">
        <x:v>2</x:v>
      </x:c>
      <x:c r="K12" s="57" t="str">
        <x:v>经典</x:v>
      </x:c>
      <x:c r="L12" s="57" t="str">
        <x:v>过滤太严错过机会；过拟合。</x:v>
      </x:c>
      <x:c r="M12" s="57" t="str">
        <x:v>https://dune.com/blog/polymarket-fast-markets</x:v>
      </x:c>
      <x:c r="N12" s="57" t="str"/>
    </x:row>
    <x:row r="13">
      <x:c r="A13" s="57" t="n">
        <x:v>12</x:v>
      </x:c>
      <x:c r="B13" s="57" t="str">
        <x:v>开盘流动性捕捉</x:v>
      </x:c>
      <x:c r="C13" s="57" t="str">
        <x:v>做市/抢跑 bot</x:v>
      </x:c>
      <x:c r="D13" s="57" t="str">
        <x:v>新 5m 窗口刚开时 fair value 尚未稳定，挂价或扫错价。</x:v>
      </x:c>
      <x:c r="E13" s="57" t="str">
        <x:v>适配但窗口极短。</x:v>
      </x:c>
      <x:c r="F13" s="57" t="str">
        <x:v>市场 rollover 监控、slug 预测、WS new_market</x:v>
      </x:c>
      <x:c r="G13" s="57" t="str">
        <x:v>发现新市场 token 后快速估价挂单；若盘口成熟则退出。</x:v>
      </x:c>
      <x:c r="H13" s="57" t="n">
        <x:v>4</x:v>
      </x:c>
      <x:c r="I13" s="57" t="n">
        <x:v>3</x:v>
      </x:c>
      <x:c r="J13" s="57" t="n">
        <x:v>5</x:v>
      </x:c>
      <x:c r="K13" s="57" t="str">
        <x:v>新兴</x:v>
      </x:c>
      <x:c r="L13" s="57" t="str">
        <x:v>市场发现延迟；token ID 错误；开盘盘口稀薄。</x:v>
      </x:c>
      <x:c r="M13" s="57" t="str">
        <x:v>https://docs.polymarket.com/market-data/fetching-markets
https://docs.polymarket.com/trading/orderbook</x:v>
      </x:c>
      <x:c r="N13" s="57" t="str"/>
    </x:row>
    <x:row r="14">
      <x:c r="A14" s="57" t="n">
        <x:v>13</x:v>
      </x:c>
      <x:c r="B14" s="57" t="str">
        <x:v>末秒流动性真空</x:v>
      </x:c>
      <x:c r="C14" s="57" t="str">
        <x:v>sniper、做市商</x:v>
      </x:c>
      <x:c r="D14" s="57" t="str">
        <x:v>最后 5-15 秒做市商撤单，盘口变薄，可能出现极端错价。</x:v>
      </x:c>
      <x:c r="E14" s="57" t="str">
        <x:v>高收益/高风险。</x:v>
      </x:c>
      <x:c r="F14" s="57" t="str">
        <x:v>depth by second、cancel-like signals、CEX ticks</x:v>
      </x:c>
      <x:c r="G14" s="57" t="str">
        <x:v>在深度塌陷但胜负较明确时小仓位扫单；不追无流动性大单。</x:v>
      </x:c>
      <x:c r="H14" s="57" t="n">
        <x:v>4</x:v>
      </x:c>
      <x:c r="I14" s="57" t="n">
        <x:v>2</x:v>
      </x:c>
      <x:c r="J14" s="57" t="n">
        <x:v>5</x:v>
      </x:c>
      <x:c r="K14" s="57" t="str">
        <x:v>新兴</x:v>
      </x:c>
      <x:c r="L14" s="57" t="str">
        <x:v>无法成交或成交在最差价；胜负突然反转。</x:v>
      </x:c>
      <x:c r="M14" s="57" t="str">
        <x:v>https://dune.com/blog/polymarket-fast-markets</x:v>
      </x:c>
      <x:c r="N14" s="57" t="str"/>
    </x:row>
    <x:row r="15">
      <x:c r="A15" s="57" t="n">
        <x:v>14</x:v>
      </x:c>
      <x:c r="B15" s="57" t="str">
        <x:v>盘口深度衰减模型</x:v>
      </x:c>
      <x:c r="C15" s="57" t="str">
        <x:v>微结构研究员</x:v>
      </x:c>
      <x:c r="D15" s="57" t="str">
        <x:v>建模 depth 随 seconds_to_close 的衰减，预测点差和可成交规模。</x:v>
      </x:c>
      <x:c r="E15" s="57" t="str">
        <x:v>适配做市/执行。</x:v>
      </x:c>
      <x:c r="F15" s="57" t="str">
        <x:v>Polymarket L2 snapshots</x:v>
      </x:c>
      <x:c r="G15" s="57" t="str">
        <x:v>根据 depth decay 调整订单大小和报价宽度。</x:v>
      </x:c>
      <x:c r="H15" s="57" t="n">
        <x:v>4</x:v>
      </x:c>
      <x:c r="I15" s="57" t="n">
        <x:v>4</x:v>
      </x:c>
      <x:c r="J15" s="57" t="n">
        <x:v>3</x:v>
      </x:c>
      <x:c r="K15" s="57" t="str">
        <x:v>研究/新兴</x:v>
      </x:c>
      <x:c r="L15" s="57" t="str">
        <x:v>需要高质量历史盘口；盘口 feed 与链上成交方向不一致。</x:v>
      </x:c>
      <x:c r="M15" s="57" t="str">
        <x:v>https://arxiv.org/abs/2604.24366</x:v>
      </x:c>
      <x:c r="N15" s="57" t="str"/>
    </x:row>
    <x:row r="16">
      <x:c r="A16" s="57" t="n">
        <x:v>15</x:v>
      </x:c>
      <x:c r="B16" s="57" t="str">
        <x:v>成交方向 / Order Flow 技能</x:v>
      </x:c>
      <x:c r="C16" s="57" t="str">
        <x:v>微结构量化</x:v>
      </x:c>
      <x:c r="D16" s="57" t="str">
        <x:v>从 taker buy/sell、成交聚集、扫单判断短时信息交易。</x:v>
      </x:c>
      <x:c r="E16" s="57" t="str">
        <x:v>适配，但数据清洗难。</x:v>
      </x:c>
      <x:c r="F16" s="57" t="str">
        <x:v>OrderFilled on-chain + CLOB feed join</x:v>
      </x:c>
      <x:c r="G16" s="57" t="str">
        <x:v>检测连续 sweeps 且 CEX 同向时跟随；反之 fade。</x:v>
      </x:c>
      <x:c r="H16" s="57" t="n">
        <x:v>4</x:v>
      </x:c>
      <x:c r="I16" s="57" t="n">
        <x:v>3</x:v>
      </x:c>
      <x:c r="J16" s="57" t="n">
        <x:v>4</x:v>
      </x:c>
      <x:c r="K16" s="57" t="str">
        <x:v>新兴</x:v>
      </x:c>
      <x:c r="L16" s="57" t="str">
        <x:v>公开 feed 推断成交方向可能有偏差，需链上 join。</x:v>
      </x:c>
      <x:c r="M16" s="57" t="str">
        <x:v>https://arxiv.org/abs/2604.24366</x:v>
      </x:c>
      <x:c r="N16" s="57" t="str"/>
    </x:row>
    <x:row r="17">
      <x:c r="A17" s="57" t="n">
        <x:v>16</x:v>
      </x:c>
      <x:c r="B17" s="57" t="str">
        <x:v>鲸鱼 / 钱包跟随</x:v>
      </x:c>
      <x:c r="C17" s="57" t="str">
        <x:v>链上分析师、copy trader</x:v>
      </x:c>
      <x:c r="D17" s="57" t="str">
        <x:v>跟踪高胜率/大额地址、builder 或 bot 钱包的行为。</x:v>
      </x:c>
      <x:c r="E17" s="57" t="str">
        <x:v>对 5m 容量有限，但可做信号。</x:v>
      </x:c>
      <x:c r="F17" s="57" t="str">
        <x:v>Polygon wallet, Dune, Data API</x:v>
      </x:c>
      <x:c r="G17" s="57" t="str">
        <x:v>高技能地址短时间集中买某侧时跟随，设严格时效。</x:v>
      </x:c>
      <x:c r="H17" s="57" t="n">
        <x:v>3</x:v>
      </x:c>
      <x:c r="I17" s="57" t="n">
        <x:v>2</x:v>
      </x:c>
      <x:c r="J17" s="57" t="n">
        <x:v>4</x:v>
      </x:c>
      <x:c r="K17" s="57" t="str">
        <x:v>新兴</x:v>
      </x:c>
      <x:c r="L17" s="57" t="str">
        <x:v>地址归因错误；跟单延迟；对手方可能诱导。</x:v>
      </x:c>
      <x:c r="M17" s="57" t="str">
        <x:v>https://arxiv.org/abs/2605.11640</x:v>
      </x:c>
      <x:c r="N17" s="57" t="str"/>
    </x:row>
    <x:row r="18">
      <x:c r="A18" s="57" t="n">
        <x:v>17</x:v>
      </x:c>
      <x:c r="B18" s="57" t="str">
        <x:v>Builder / Telegram Bot 一键流</x:v>
      </x:c>
      <x:c r="C18" s="57" t="str">
        <x:v>第三方工具、散户自动化</x:v>
      </x:c>
      <x:c r="D18" s="57" t="str">
        <x:v>通过 Telegram/Discord/builder 前端降低下单摩擦，形成高频小额流。</x:v>
      </x:c>
      <x:c r="E18" s="57" t="str">
        <x:v>影响交易流，不一定有预测 edge。</x:v>
      </x:c>
      <x:c r="F18" s="57" t="str">
        <x:v>Builder routing, referrer, wallet activity</x:v>
      </x:c>
      <x:c r="G18" s="57" t="str">
        <x:v>观察 builder-driven flow 是否有可 fade 的情绪偏差。</x:v>
      </x:c>
      <x:c r="H18" s="57" t="n">
        <x:v>3</x:v>
      </x:c>
      <x:c r="I18" s="57" t="n">
        <x:v>3</x:v>
      </x:c>
      <x:c r="J18" s="57" t="n">
        <x:v>3</x:v>
      </x:c>
      <x:c r="K18" s="57" t="str">
        <x:v>新兴</x:v>
      </x:c>
      <x:c r="L18" s="57" t="str">
        <x:v>难拿完整 attribution；流量变化快。</x:v>
      </x:c>
      <x:c r="M18" s="57" t="str">
        <x:v>https://dune.com/blog/polymarket-fast-markets</x:v>
      </x:c>
      <x:c r="N18" s="57" t="str"/>
    </x:row>
    <x:row r="19">
      <x:c r="A19" s="57" t="n">
        <x:v>18</x:v>
      </x:c>
      <x:c r="B19" s="57" t="str">
        <x:v>AI Agent / LLM 决策</x:v>
      </x:c>
      <x:c r="C19" s="57" t="str">
        <x:v>实验者、研究员</x:v>
      </x:c>
      <x:c r="D19" s="57" t="str">
        <x:v>让 LLM 读取盘口/新闻/指标后输出买卖动作。</x:v>
      </x:c>
      <x:c r="E19" s="57" t="str">
        <x:v>5m BTC 对语言 edge 依赖弱，但可做策略控制器。</x:v>
      </x:c>
      <x:c r="F19" s="57" t="str">
        <x:v>LLM + structured market state + execution sim</x:v>
      </x:c>
      <x:c r="G19" s="57" t="str">
        <x:v>LLM 只做 regime/风险过滤；执行逻辑硬编码。</x:v>
      </x:c>
      <x:c r="H19" s="57" t="n">
        <x:v>3</x:v>
      </x:c>
      <x:c r="I19" s="57" t="n">
        <x:v>2</x:v>
      </x:c>
      <x:c r="J19" s="57" t="n">
        <x:v>3</x:v>
      </x:c>
      <x:c r="K19" s="57" t="str">
        <x:v>新兴/实验</x:v>
      </x:c>
      <x:c r="L19" s="57" t="str">
        <x:v>幻觉、延迟、过度自信、成本。</x:v>
      </x:c>
      <x:c r="M19" s="57" t="str">
        <x:v>PolyBench / Prediction Arena 测试了 live prediction market trading。</x:v>
      </x:c>
      <x:c r="N19" s="57" t="str">
        <x:v>https://arxiv.org/abs/2604.14199</x:v>
      </x:c>
    </x:row>
    <x:row r="20">
      <x:c r="A20" s="57" t="n">
        <x:v>19</x:v>
      </x:c>
      <x:c r="B20" s="57" t="str">
        <x:v>强化学习 / 多臂老虎机</x:v>
      </x:c>
      <x:c r="C20" s="57" t="str">
        <x:v>研究员、bot arena</x:v>
      </x:c>
      <x:c r="D20" s="57" t="str">
        <x:v>根据历史场次胜率动态切换 momentum/meanrev/maker/sniper。</x:v>
      </x:c>
      <x:c r="E20" s="57" t="str">
        <x:v>适配，但样本漂移大。</x:v>
      </x:c>
      <x:c r="F20" s="57" t="str">
        <x:v>feature store + resolved outcomes + Bayesian update</x:v>
      </x:c>
      <x:c r="G20" s="57" t="str">
        <x:v>按时段、波动、价差桶更新策略权重；连续亏损降杠杆。</x:v>
      </x:c>
      <x:c r="H20" s="57" t="n">
        <x:v>3</x:v>
      </x:c>
      <x:c r="I20" s="57" t="n">
        <x:v>3</x:v>
      </x:c>
      <x:c r="J20" s="57" t="n">
        <x:v>3</x:v>
      </x:c>
      <x:c r="K20" s="57" t="str">
        <x:v>新兴</x:v>
      </x:c>
      <x:c r="L20" s="57" t="str">
        <x:v>非平稳；回测污染；奖励稀疏。</x:v>
      </x:c>
      <x:c r="M20" s="57" t="str">
        <x:v>https://github.com/ThinkEnigmatic/polymarket-bot-arena</x:v>
      </x:c>
      <x:c r="N20" s="57" t="str"/>
    </x:row>
    <x:row r="21">
      <x:c r="A21" s="57" t="n">
        <x:v>20</x:v>
      </x:c>
      <x:c r="B21" s="57" t="str">
        <x:v>遗传/进化 bot</x:v>
      </x:c>
      <x:c r="C21" s="57" t="str">
        <x:v>开源 bot 实验者</x:v>
      </x:c>
      <x:c r="D21" s="57" t="str">
        <x:v>让多个策略竞争，定期保留赢家、突变参数。</x:v>
      </x:c>
      <x:c r="E21" s="57" t="str">
        <x:v>适合作为研究框架。</x:v>
      </x:c>
      <x:c r="F21" s="57" t="str">
        <x:v>paper trading logs, PnL, win rate</x:v>
      </x:c>
      <x:c r="G21" s="57" t="str">
        <x:v>每 12h/每日评估策略 PnL，替换底部策略。</x:v>
      </x:c>
      <x:c r="H21" s="57" t="n">
        <x:v>3</x:v>
      </x:c>
      <x:c r="I21" s="57" t="n">
        <x:v>2</x:v>
      </x:c>
      <x:c r="J21" s="57" t="n">
        <x:v>3</x:v>
      </x:c>
      <x:c r="K21" s="57" t="str">
        <x:v>新兴</x:v>
      </x:c>
      <x:c r="L21" s="57" t="str">
        <x:v>过拟合最近市场；实盘交易成本。</x:v>
      </x:c>
      <x:c r="M21" s="57" t="str">
        <x:v>https://github.com/ThinkEnigmatic/polymarket-bot-arena</x:v>
      </x:c>
      <x:c r="N21" s="57" t="str"/>
    </x:row>
    <x:row r="22">
      <x:c r="A22" s="57" t="n">
        <x:v>21</x:v>
      </x:c>
      <x:c r="B22" s="57" t="str">
        <x:v>高频小额手续费套利</x:v>
      </x:c>
      <x:c r="C22" s="57" t="str">
        <x:v>maker/rebate 玩家</x:v>
      </x:c>
      <x:c r="D22" s="57" t="str">
        <x:v>用极小单高频参与，赚 maker rebate 或流动性激励。</x:v>
      </x:c>
      <x:c r="E22" s="57" t="str">
        <x:v>若返佣充足则适配。</x:v>
      </x:c>
      <x:c r="F22" s="57" t="str">
        <x:v>fees/rebates, queue position, fill rates</x:v>
      </x:c>
      <x:c r="G22" s="57" t="str">
        <x:v>只在 rebate-adjusted expected value &gt; 0 时挂单；控制自成交风险。</x:v>
      </x:c>
      <x:c r="H22" s="57" t="n">
        <x:v>4</x:v>
      </x:c>
      <x:c r="I22" s="57" t="n">
        <x:v>4</x:v>
      </x:c>
      <x:c r="J22" s="57" t="n">
        <x:v>4</x:v>
      </x:c>
      <x:c r="K22" s="57" t="str">
        <x:v>专业</x:v>
      </x:c>
      <x:c r="L22" s="57" t="str">
        <x:v>规则调整、反洗交易监控、逆选择。</x:v>
      </x:c>
      <x:c r="M22" s="57" t="str">
        <x:v>https://dune.com/blog/polymarket-fast-markets
https://docs.polymarket.com/trading/fees</x:v>
      </x:c>
      <x:c r="N22" s="57" t="str"/>
    </x:row>
    <x:row r="23">
      <x:c r="A23" s="57" t="n">
        <x:v>22</x:v>
      </x:c>
      <x:c r="B23" s="57" t="str">
        <x:v>Martingale / 加仓赌徒系统</x:v>
      </x:c>
      <x:c r="C23" s="57" t="str">
        <x:v>散户、低质量 bot</x:v>
      </x:c>
      <x:c r="D23" s="57" t="str">
        <x:v>亏损后加倍押下一场，追求高胜率错觉。</x:v>
      </x:c>
      <x:c r="E23" s="57" t="str">
        <x:v>论坛常见但不是真正 edge。</x:v>
      </x:c>
      <x:c r="F23" s="57" t="str">
        <x:v>结果序列、资金上限</x:v>
      </x:c>
      <x:c r="G23" s="57" t="str">
        <x:v>不建议；只可作为反面样本识别。</x:v>
      </x:c>
      <x:c r="H23" s="57" t="n">
        <x:v>2</x:v>
      </x:c>
      <x:c r="I23" s="57" t="n">
        <x:v>1</x:v>
      </x:c>
      <x:c r="J23" s="57" t="n">
        <x:v>5</x:v>
      </x:c>
      <x:c r="K23" s="57" t="str">
        <x:v>非量化/高风险</x:v>
      </x:c>
      <x:c r="L23" s="57" t="str">
        <x:v>爆仓概率高；独立场次不保证回归。</x:v>
      </x:c>
      <x:c r="M23" s="57" t="str">
        <x:v>https://gist.github.com/Archetapp/7680adabc48f812a561ca79d73cbac69</x:v>
      </x:c>
      <x:c r="N23" s="57" t="str"/>
    </x:row>
    <x:row r="24">
      <x:c r="A24" s="57" t="n">
        <x:v>23</x:v>
      </x:c>
      <x:c r="B24" s="57" t="str">
        <x:v>固定阈值 “便宜 favorite”</x:v>
      </x:c>
      <x:c r="C24" s="57" t="str">
        <x:v>新手 bot</x:v>
      </x:c>
      <x:c r="D24" s="57" t="str">
        <x:v>买价格较低但方向已明显的一侧，期待收敛至 1。</x:v>
      </x:c>
      <x:c r="E24" s="57" t="str">
        <x:v>可能在末段有效。</x:v>
      </x:c>
      <x:c r="F24" s="57" t="str">
        <x:v>price_to_beat distance, odds</x:v>
      </x:c>
      <x:c r="G24" s="57" t="str">
        <x:v>若 BTC 离阈值足够远且 outcome ask &lt; 0.95，则小仓买入。</x:v>
      </x:c>
      <x:c r="H24" s="57" t="n">
        <x:v>3</x:v>
      </x:c>
      <x:c r="I24" s="57" t="n">
        <x:v>2</x:v>
      </x:c>
      <x:c r="J24" s="57" t="n">
        <x:v>4</x:v>
      </x:c>
      <x:c r="K24" s="57" t="str">
        <x:v>入门</x:v>
      </x:c>
      <x:c r="L24" s="57" t="str">
        <x:v>价格便宜通常意味着未明风险；反转损失大。</x:v>
      </x:c>
      <x:c r="M24" s="57" t="str">
        <x:v>https://gist.github.com/Archetapp/7680adabc48f812a561ca79d73cbac69</x:v>
      </x:c>
      <x:c r="N24" s="57" t="str"/>
    </x:row>
    <x:row r="25">
      <x:c r="A25" s="57" t="n">
        <x:v>24</x:v>
      </x:c>
      <x:c r="B25" s="57" t="str">
        <x:v>新闻/事件过滤</x:v>
      </x:c>
      <x:c r="C25" s="57" t="str">
        <x:v>宏观交易员</x:v>
      </x:c>
      <x:c r="D25" s="57" t="str">
        <x:v>CPI/FOMC/ETF/监管新闻前后关闭或切换策略。</x:v>
      </x:c>
      <x:c r="E25" s="57" t="str">
        <x:v>对 BTC 突发波动重要。</x:v>
      </x:c>
      <x:c r="F25" s="57" t="str">
        <x:v>economic calendar, X/news, vol</x:v>
      </x:c>
      <x:c r="G25" s="57" t="str">
        <x:v>重大事件前降低做市；事件后只做 momentum。</x:v>
      </x:c>
      <x:c r="H25" s="57" t="n">
        <x:v>3</x:v>
      </x:c>
      <x:c r="I25" s="57" t="n">
        <x:v>4</x:v>
      </x:c>
      <x:c r="J25" s="57" t="n">
        <x:v>2</x:v>
      </x:c>
      <x:c r="K25" s="57" t="str">
        <x:v>经典</x:v>
      </x:c>
      <x:c r="L25" s="57" t="str">
        <x:v>新闻滞后；误报。</x:v>
      </x:c>
      <x:c r="M25" s="57" t="str">
        <x:v>https://dune.com/blog/polymarket-fast-markets</x:v>
      </x:c>
      <x:c r="N25" s="57" t="str"/>
    </x:row>
    <x:row r="26">
      <x:c r="A26" s="57" t="n">
        <x:v>25</x:v>
      </x:c>
      <x:c r="B26" s="57" t="str">
        <x:v>Perp Funding/Basis 信号</x:v>
      </x:c>
      <x:c r="C26" s="57" t="str">
        <x:v>crypto 衍生品量化</x:v>
      </x:c>
      <x:c r="D26" s="57" t="str">
        <x:v>用 BTC perp funding、basis、open interest 和清算数据预测短时方向。</x:v>
      </x:c>
      <x:c r="E26" s="57" t="str">
        <x:v>适配中段，末段需小心。</x:v>
      </x:c>
      <x:c r="F26" s="57" t="str">
        <x:v>funding, mark-index basis, liquidations</x:v>
      </x:c>
      <x:c r="G26" s="57" t="str">
        <x:v>basis 急升且 spot 跟涨时买 Up；挤压结束退出。</x:v>
      </x:c>
      <x:c r="H26" s="57" t="n">
        <x:v>3</x:v>
      </x:c>
      <x:c r="I26" s="57" t="n">
        <x:v>4</x:v>
      </x:c>
      <x:c r="J26" s="57" t="n">
        <x:v>3</x:v>
      </x:c>
      <x:c r="K26" s="57" t="str">
        <x:v>经典</x:v>
      </x:c>
      <x:c r="L26" s="57" t="str">
        <x:v>perp 信号到 Polymarket 映射不稳定。</x:v>
      </x:c>
      <x:c r="M26" s="57" t="str">
        <x:v>https://dune.com/blog/polymarket-fast-markets</x:v>
      </x:c>
      <x:c r="N26" s="57" t="str"/>
    </x:row>
    <x:row r="27">
      <x:c r="A27" s="57" t="n">
        <x:v>26</x:v>
      </x:c>
      <x:c r="B27" s="57" t="str">
        <x:v>大单冲击 / Sweep Detector</x:v>
      </x:c>
      <x:c r="C27" s="57" t="str">
        <x:v>order-flow trader</x:v>
      </x:c>
      <x:c r="D27" s="57" t="str">
        <x:v>检测 CEX 或 Polymarket 连续大单扫单后的短时延续或反转。</x:v>
      </x:c>
      <x:c r="E27" s="57" t="str">
        <x:v>适配。</x:v>
      </x:c>
      <x:c r="F27" s="57" t="str">
        <x:v>trade size, sweep count, book imbalance</x:v>
      </x:c>
      <x:c r="G27" s="57" t="str">
        <x:v>扫单后 5-20s 跟随；若无后续成交 fade。</x:v>
      </x:c>
      <x:c r="H27" s="57" t="n">
        <x:v>4</x:v>
      </x:c>
      <x:c r="I27" s="57" t="n">
        <x:v>3</x:v>
      </x:c>
      <x:c r="J27" s="57" t="n">
        <x:v>4</x:v>
      </x:c>
      <x:c r="K27" s="57" t="str">
        <x:v>经典/新兴</x:v>
      </x:c>
      <x:c r="L27" s="57" t="str">
        <x:v>假突破；成交方向识别错误。</x:v>
      </x:c>
      <x:c r="M27" s="57" t="str">
        <x:v>https://docs.polymarket.com/trading/orderbook
https://arxiv.org/abs/2604.24366</x:v>
      </x:c>
      <x:c r="N27" s="57" t="str"/>
    </x:row>
    <x:row r="28">
      <x:c r="A28" s="57" t="n">
        <x:v>27</x:v>
      </x:c>
      <x:c r="B28" s="57" t="str">
        <x:v>盘口挂单诱导 / Spoof Guard</x:v>
      </x:c>
      <x:c r="C28" s="57" t="str">
        <x:v>风控模块</x:v>
      </x:c>
      <x:c r="D28" s="57" t="str">
        <x:v>识别虚假深度，不把可撤挂单当真实信息。</x:v>
      </x:c>
      <x:c r="E28" s="57" t="str">
        <x:v>对做市和 sniping 重要。</x:v>
      </x:c>
      <x:c r="F28" s="57" t="str">
        <x:v>book update rate, cancellation proxy, depth persistence</x:v>
      </x:c>
      <x:c r="G28" s="57" t="str">
        <x:v>只有持续存在的深度才计入 fair value；短寿命大单降权。</x:v>
      </x:c>
      <x:c r="H28" s="57" t="n">
        <x:v>3</x:v>
      </x:c>
      <x:c r="I28" s="57" t="n">
        <x:v>3</x:v>
      </x:c>
      <x:c r="J28" s="57" t="n">
        <x:v>3</x:v>
      </x:c>
      <x:c r="K28" s="57" t="str">
        <x:v>专业</x:v>
      </x:c>
      <x:c r="L28" s="57" t="str">
        <x:v>Polymarket quote lifecycle 公开属性有限。</x:v>
      </x:c>
      <x:c r="M28" s="57" t="str">
        <x:v>https://arxiv.org/abs/2605.11640</x:v>
      </x:c>
      <x:c r="N28" s="57" t="str"/>
    </x:row>
    <x:row r="29">
      <x:c r="A29" s="57" t="n">
        <x:v>28</x:v>
      </x:c>
      <x:c r="B29" s="57" t="str">
        <x:v>成交后冲击衰减</x:v>
      </x:c>
      <x:c r="C29" s="57" t="str">
        <x:v>微结构量化</x:v>
      </x:c>
      <x:c r="D29" s="57" t="str">
        <x:v>成交后价格影响短时衰减，提供 fade 机会。</x:v>
      </x:c>
      <x:c r="E29" s="57" t="str">
        <x:v>可用于中段。</x:v>
      </x:c>
      <x:c r="F29" s="57" t="str">
        <x:v>trade impact, subsequent returns</x:v>
      </x:c>
      <x:c r="G29" s="57" t="str">
        <x:v>若 Polymarket odds 过度反应而 CEX 未确认，反向。</x:v>
      </x:c>
      <x:c r="H29" s="57" t="n">
        <x:v>3</x:v>
      </x:c>
      <x:c r="I29" s="57" t="n">
        <x:v>3</x:v>
      </x:c>
      <x:c r="J29" s="57" t="n">
        <x:v>3</x:v>
      </x:c>
      <x:c r="K29" s="57" t="str">
        <x:v>研究</x:v>
      </x:c>
      <x:c r="L29" s="57" t="str">
        <x:v>样本外不稳；费用。</x:v>
      </x:c>
      <x:c r="M29" s="57" t="str">
        <x:v>https://arxiv.org/abs/2604.24366</x:v>
      </x:c>
      <x:c r="N29" s="57" t="str"/>
    </x:row>
    <x:row r="30">
      <x:c r="A30" s="57" t="n">
        <x:v>29</x:v>
      </x:c>
      <x:c r="B30" s="57" t="str">
        <x:v>分段时间模型</x:v>
      </x:c>
      <x:c r="C30" s="57" t="str">
        <x:v>时间序列量化</x:v>
      </x:c>
      <x:c r="D30" s="57" t="str">
        <x:v>分别训练开盘、中段、尾段模型。</x:v>
      </x:c>
      <x:c r="E30" s="57" t="str">
        <x:v>必要。</x:v>
      </x:c>
      <x:c r="F30" s="57" t="str">
        <x:v>seconds_to_close + all features</x:v>
      </x:c>
      <x:c r="G30" s="57" t="str">
        <x:v>模型按时间段切换，尾段更重 CEX/Oracle，中段更重趋势/反转。</x:v>
      </x:c>
      <x:c r="H30" s="57" t="n">
        <x:v>4</x:v>
      </x:c>
      <x:c r="I30" s="57" t="n">
        <x:v>4</x:v>
      </x:c>
      <x:c r="J30" s="57" t="n">
        <x:v>2</x:v>
      </x:c>
      <x:c r="K30" s="57" t="str">
        <x:v>成熟框架</x:v>
      </x:c>
      <x:c r="L30" s="57" t="str">
        <x:v>样本量分散；状态切换错误。</x:v>
      </x:c>
      <x:c r="M30" s="57" t="str">
        <x:v>https://github.com/jueweijue/polymarket-range-collector</x:v>
      </x:c>
      <x:c r="N30" s="57" t="str"/>
    </x:row>
    <x:row r="31">
      <x:c r="A31" s="57" t="n">
        <x:v>30</x:v>
      </x:c>
      <x:c r="B31" s="57" t="str">
        <x:v>场次级历史回放</x:v>
      </x:c>
      <x:c r="C31" s="57" t="str">
        <x:v>研究员</x:v>
      </x:c>
      <x:c r="D31" s="57" t="str">
        <x:v>重建每个 5m 窗口的逐秒 BTC 和 outcome 价格。</x:v>
      </x:c>
      <x:c r="E31" s="57" t="str">
        <x:v>做所有策略的基础。</x:v>
      </x:c>
      <x:c r="F31" s="57" t="str">
        <x:v>Gamma/Data API + Binance aggTrades + Excel/Parquet</x:v>
      </x:c>
      <x:c r="G31" s="57" t="str">
        <x:v>先重建数据，再做 event-level backtest。</x:v>
      </x:c>
      <x:c r="H31" s="57" t="n">
        <x:v>5</x:v>
      </x:c>
      <x:c r="I31" s="57" t="n">
        <x:v>5</x:v>
      </x:c>
      <x:c r="J31" s="57" t="n">
        <x:v>1</x:v>
      </x:c>
      <x:c r="K31" s="57" t="str">
        <x:v>基础设施</x:v>
      </x:c>
      <x:c r="L31" s="57" t="str">
        <x:v>数据截断、分页遗漏、时间戳错配。</x:v>
      </x:c>
      <x:c r="M31" s="57" t="str">
        <x:v>https://github.com/jueweijue/polymarket-range-collector</x:v>
      </x:c>
      <x:c r="N31" s="57" t="str"/>
    </x:row>
    <x:row r="32">
      <x:c r="A32" s="57" t="n">
        <x:v>31</x:v>
      </x:c>
      <x:c r="B32" s="57" t="str">
        <x:v>Polymarket 评论情绪</x:v>
      </x:c>
      <x:c r="C32" s="57" t="str">
        <x:v>散户情绪研究</x:v>
      </x:c>
      <x:c r="D32" s="57" t="str">
        <x:v>用评论数量/情绪作为反向或热度指标。</x:v>
      </x:c>
      <x:c r="E32" s="57" t="str">
        <x:v>可能有用但噪音大。</x:v>
      </x:c>
      <x:c r="F32" s="57" t="str">
        <x:v>comments count/text, timing</x:v>
      </x:c>
      <x:c r="G32" s="57" t="str">
        <x:v>评论突然爆发且价格未动时观望；过热时降低仓位。</x:v>
      </x:c>
      <x:c r="H32" s="57" t="n">
        <x:v>2</x:v>
      </x:c>
      <x:c r="I32" s="57" t="n">
        <x:v>2</x:v>
      </x:c>
      <x:c r="J32" s="57" t="n">
        <x:v>2</x:v>
      </x:c>
      <x:c r="K32" s="57" t="str">
        <x:v>实验</x:v>
      </x:c>
      <x:c r="L32" s="57" t="str">
        <x:v>噪音、外链诈骗、样本偏差。</x:v>
      </x:c>
      <x:c r="M32" s="57" t="str">
        <x:v>https://polymarket.com/event/btc-updown-5m-1777017000</x:v>
      </x:c>
      <x:c r="N32" s="57" t="str"/>
    </x:row>
    <x:row r="33">
      <x:c r="A33" s="57" t="n">
        <x:v>32</x:v>
      </x:c>
      <x:c r="B33" s="57" t="str">
        <x:v>YouTube/教程跟风反向</x:v>
      </x:c>
      <x:c r="C33" s="57" t="str">
        <x:v>crowdedness trader</x:v>
      </x:c>
      <x:c r="D33" s="57" t="str">
        <x:v>当某个开源策略/视频热起来，寻找其失败模式。</x:v>
      </x:c>
      <x:c r="E33" s="57" t="str">
        <x:v>可作为 crowdedness 信号。</x:v>
      </x:c>
      <x:c r="F33" s="57" t="str">
        <x:v>YouTube/HN/GitHub mentions</x:v>
      </x:c>
      <x:c r="G33" s="57" t="str">
        <x:v>热度暴涨后测试同策略收益是否衰减，必要时反向或避开。</x:v>
      </x:c>
      <x:c r="H33" s="57" t="n">
        <x:v>2</x:v>
      </x:c>
      <x:c r="I33" s="57" t="n">
        <x:v>2</x:v>
      </x:c>
      <x:c r="J33" s="57" t="n">
        <x:v>2</x:v>
      </x:c>
      <x:c r="K33" s="57" t="str">
        <x:v>实验</x:v>
      </x:c>
      <x:c r="L33" s="57" t="str">
        <x:v>信息质量不稳定；发布时间滞后。</x:v>
      </x:c>
      <x:c r="M33" s="57" t="str">
        <x:v>https://news.ycombinator.com/item?id=47204740</x:v>
      </x:c>
      <x:c r="N33" s="57" t="str"/>
    </x:row>
    <x:row r="34">
      <x:c r="A34" s="57" t="n">
        <x:v>33</x:v>
      </x:c>
      <x:c r="B34" s="57" t="str">
        <x:v>成交成本优化 / Smart Order Routing</x:v>
      </x:c>
      <x:c r="C34" s="57" t="str">
        <x:v>执行量化</x:v>
      </x:c>
      <x:c r="D34" s="57" t="str">
        <x:v>决定 maker/taker、分单、限价、FOK 等，降低冲击。</x:v>
      </x:c>
      <x:c r="E34" s="57" t="str">
        <x:v>非常重要。</x:v>
      </x:c>
      <x:c r="F34" s="57" t="str">
        <x:v>orderbook depth, fill probability, fees</x:v>
      </x:c>
      <x:c r="G34" s="57" t="str">
        <x:v>小单 taker，较大单分层限价；临近关闭不挂远端。</x:v>
      </x:c>
      <x:c r="H34" s="57" t="n">
        <x:v>4</x:v>
      </x:c>
      <x:c r="I34" s="57" t="n">
        <x:v>5</x:v>
      </x:c>
      <x:c r="J34" s="57" t="n">
        <x:v>3</x:v>
      </x:c>
      <x:c r="K34" s="57" t="str">
        <x:v>成熟</x:v>
      </x:c>
      <x:c r="L34" s="57" t="str">
        <x:v>错过成交；订单残留。</x:v>
      </x:c>
      <x:c r="M34" s="57" t="str">
        <x:v>https://docs.polymarket.com/trading/orderbook</x:v>
      </x:c>
      <x:c r="N34" s="57" t="str"/>
    </x:row>
    <x:row r="35">
      <x:c r="A35" s="57" t="n">
        <x:v>34</x:v>
      </x:c>
      <x:c r="B35" s="57" t="str">
        <x:v>概率校准 / Fair Value 模型</x:v>
      </x:c>
      <x:c r="C35" s="57" t="str">
        <x:v>研究员</x:v>
      </x:c>
      <x:c r="D35" s="57" t="str">
        <x:v>把外部 BTC 路径模型转成 P(close &gt;= start) 的 fair probability。</x:v>
      </x:c>
      <x:c r="E35" s="57" t="str">
        <x:v>核心理论框架。</x:v>
      </x:c>
      <x:c r="F35" s="57" t="str">
        <x:v>realized vol, drift, time_left, barrier distance</x:v>
      </x:c>
      <x:c r="G35" s="57" t="str">
        <x:v>若 market odds &lt; fair - cost 买 Up；若 &gt; fair + cost 买 Down。</x:v>
      </x:c>
      <x:c r="H35" s="57" t="n">
        <x:v>4</x:v>
      </x:c>
      <x:c r="I35" s="57" t="n">
        <x:v>4</x:v>
      </x:c>
      <x:c r="J35" s="57" t="n">
        <x:v>3</x:v>
      </x:c>
      <x:c r="K35" s="57" t="str">
        <x:v>经典</x:v>
      </x:c>
      <x:c r="L35" s="57" t="str">
        <x:v>布朗假设失效；跳跃和微结构噪音。</x:v>
      </x:c>
      <x:c r="M35" s="57" t="str">
        <x:v>https://polymarket.com/event/btc-updown-5m-1777017000</x:v>
      </x:c>
      <x:c r="N35" s="57" t="str"/>
    </x:row>
    <x:row r="36">
      <x:c r="A36" s="57" t="n">
        <x:v>35</x:v>
      </x:c>
      <x:c r="B36" s="57" t="str">
        <x:v>短波动二元期权近似</x:v>
      </x:c>
      <x:c r="C36" s="57" t="str">
        <x:v>期权量化</x:v>
      </x:c>
      <x:c r="D36" s="57" t="str">
        <x:v>把 5m up/down 近似为数字期权，估 gamma/delta 和 hedge。</x:v>
      </x:c>
      <x:c r="E36" s="57" t="str">
        <x:v>适合专业资金。</x:v>
      </x:c>
      <x:c r="F36" s="57" t="str">
        <x:v>vol surface proxy, BTC perp hedge</x:v>
      </x:c>
      <x:c r="G36" s="57" t="str">
        <x:v>用数字期权 fair value + hedge cost 定价；超阈值才交易。</x:v>
      </x:c>
      <x:c r="H36" s="57" t="n">
        <x:v>3</x:v>
      </x:c>
      <x:c r="I36" s="57" t="n">
        <x:v>4</x:v>
      </x:c>
      <x:c r="J36" s="57" t="n">
        <x:v>2</x:v>
      </x:c>
      <x:c r="K36" s="57" t="str">
        <x:v>专业</x:v>
      </x:c>
      <x:c r="L36" s="57" t="str">
        <x:v>波动估计误差；到期不连续。</x:v>
      </x:c>
      <x:c r="M36" s="57" t="str">
        <x:v>https://dune.com/blog/polymarket-fast-markets</x:v>
      </x:c>
      <x:c r="N36" s="57" t="str"/>
    </x:row>
    <x:row r="37">
      <x:c r="A37" s="57" t="n">
        <x:v>36</x:v>
      </x:c>
      <x:c r="B37" s="57" t="str">
        <x:v>市场间期限结构</x:v>
      </x:c>
      <x:c r="C37" s="57" t="str">
        <x:v>跨期限交易员</x:v>
      </x:c>
      <x:c r="D37" s="57" t="str">
        <x:v>比较 5m/15m/1h/4h up-down 的价格和流量。</x:v>
      </x:c>
      <x:c r="E37" s="57" t="str">
        <x:v>可做信号与资金切换。</x:v>
      </x:c>
      <x:c r="F37" s="57" t="str">
        <x:v>multi-duration markets, volumes, fees</x:v>
      </x:c>
      <x:c r="G37" s="57" t="str">
        <x:v>5m 极端拥挤时转向 15m/1h；用较长期 trend 做 5m prior。</x:v>
      </x:c>
      <x:c r="H37" s="57" t="n">
        <x:v>3</x:v>
      </x:c>
      <x:c r="I37" s="57" t="n">
        <x:v>4</x:v>
      </x:c>
      <x:c r="J37" s="57" t="n">
        <x:v>2</x:v>
      </x:c>
      <x:c r="K37" s="57" t="str">
        <x:v>新兴</x:v>
      </x:c>
      <x:c r="L37" s="57" t="str">
        <x:v>不同期限独立事件，不是严格可复制。</x:v>
      </x:c>
      <x:c r="M37" s="57" t="str">
        <x:v>https://dune.com/blog/polymarket-fast-markets</x:v>
      </x:c>
      <x:c r="N37" s="57" t="str"/>
    </x:row>
    <x:row r="38">
      <x:c r="A38" s="57" t="n">
        <x:v>37</x:v>
      </x:c>
      <x:c r="B38" s="57" t="str">
        <x:v>Sports / mention markets 迁移策略</x:v>
      </x:c>
      <x:c r="C38" s="57" t="str">
        <x:v>跨品类做市商</x:v>
      </x:c>
      <x:c r="D38" s="57" t="str">
        <x:v>把 fast crypto 的做市/费率经验迁移到高频体育/文化市场。</x:v>
      </x:c>
      <x:c r="E38" s="57" t="str">
        <x:v>不是 BTC 本体，但与平台资金体量有关。</x:v>
      </x:c>
      <x:c r="F38" s="57" t="str">
        <x:v>market tags, fees, velocity</x:v>
      </x:c>
      <x:c r="G38" s="57" t="str">
        <x:v>寻找费率扩张后高速度新市场的 early maker edge。</x:v>
      </x:c>
      <x:c r="H38" s="57" t="n">
        <x:v>3</x:v>
      </x:c>
      <x:c r="I38" s="57" t="n">
        <x:v>4</x:v>
      </x:c>
      <x:c r="J38" s="57" t="n">
        <x:v>2</x:v>
      </x:c>
      <x:c r="K38" s="57" t="str">
        <x:v>新兴</x:v>
      </x:c>
      <x:c r="L38" s="57" t="str">
        <x:v>品类规则差异大；信息 edge 不同。</x:v>
      </x:c>
      <x:c r="M38" s="57" t="str">
        <x:v>https://dune.com/blog/polymarket-fast-markets</x:v>
      </x:c>
      <x:c r="N38" s="57" t="str"/>
    </x:row>
    <x:row r="39">
      <x:c r="A39" s="57" t="n">
        <x:v>38</x:v>
      </x:c>
      <x:c r="B39" s="57" t="str">
        <x:v>反洗交易 / 异常流过滤</x:v>
      </x:c>
      <x:c r="C39" s="57" t="str">
        <x:v>风控/研究</x:v>
      </x:c>
      <x:c r="D39" s="57" t="str">
        <x:v>识别自成交、wash-like 流，避免训练污染。</x:v>
      </x:c>
      <x:c r="E39" s="57" t="str">
        <x:v>回测必须做。</x:v>
      </x:c>
      <x:c r="F39" s="57" t="str">
        <x:v>on-chain events, address pairs, self-counterparty</x:v>
      </x:c>
      <x:c r="G39" s="57" t="str">
        <x:v>异常成交从训练集中降权或剔除。</x:v>
      </x:c>
      <x:c r="H39" s="57" t="n">
        <x:v>3</x:v>
      </x:c>
      <x:c r="I39" s="57" t="n">
        <x:v>5</x:v>
      </x:c>
      <x:c r="J39" s="57" t="n">
        <x:v>1</x:v>
      </x:c>
      <x:c r="K39" s="57" t="str">
        <x:v>基础设施</x:v>
      </x:c>
      <x:c r="L39" s="57" t="str">
        <x:v>误判真实成交；公开数据不完整。</x:v>
      </x:c>
      <x:c r="M39" s="57" t="str">
        <x:v>https://arxiv.org/abs/2604.24366</x:v>
      </x:c>
      <x:c r="N39" s="57" t="str"/>
    </x:row>
    <x:row r="40">
      <x:c r="A40" s="57" t="n">
        <x:v>39</x:v>
      </x:c>
      <x:c r="B40" s="57" t="str">
        <x:v>监管/可用性事件交易</x:v>
      </x:c>
      <x:c r="C40" s="57" t="str">
        <x:v>事件交易员</x:v>
      </x:c>
      <x:c r="D40" s="57" t="str">
        <x:v>围绕平台合规、地区限制、手续费变化做策略风险管理。</x:v>
      </x:c>
      <x:c r="E40" s="57" t="str">
        <x:v>间接影响流动性和费用。</x:v>
      </x:c>
      <x:c r="F40" s="57" t="str">
        <x:v>policy/news, platform announcements</x:v>
      </x:c>
      <x:c r="G40" s="57" t="str">
        <x:v>合规新闻前降低跨平台库存；费用变化后重新估 EV。</x:v>
      </x:c>
      <x:c r="H40" s="57" t="n">
        <x:v>2</x:v>
      </x:c>
      <x:c r="I40" s="57" t="n">
        <x:v>3</x:v>
      </x:c>
      <x:c r="J40" s="57" t="n">
        <x:v>2</x:v>
      </x:c>
      <x:c r="K40" s="57" t="str">
        <x:v>宏观/平台风险</x:v>
      </x:c>
      <x:c r="L40" s="57" t="str">
        <x:v>新闻本身不可交易或不可对冲。</x:v>
      </x:c>
      <x:c r="M40" s="57" t="str">
        <x:v>https://www.pewresearch.org/short-reads/2026/05/27/trading-volume-on-prediction-markets-has-soared-in-recent-months/</x:v>
      </x:c>
      <x:c r="N40" s="57" t="str"/>
    </x:row>
    <x:row r="41">
      <x:c r="A41" s="57" t="n">
        <x:v>40</x:v>
      </x:c>
      <x:c r="B41" s="57" t="str">
        <x:v>组合化策略栈</x:v>
      </x:c>
      <x:c r="C41" s="57" t="str">
        <x:v>专业团队</x:v>
      </x:c>
      <x:c r="D41" s="57" t="str">
        <x:v>不是单策略，而是数据、做市、sniping、risk、execution 的组合。</x:v>
      </x:c>
      <x:c r="E41" s="57" t="str">
        <x:v>最接近实盘形态。</x:v>
      </x:c>
      <x:c r="F41" s="57" t="str">
        <x:v>全量数据栈 + monitoring + kill-switch</x:v>
      </x:c>
      <x:c r="G41" s="57" t="str">
        <x:v>每场先判断 regime，再决定 maker/taker/观望；所有订单有 max loss。</x:v>
      </x:c>
      <x:c r="H41" s="57" t="n">
        <x:v>5</x:v>
      </x:c>
      <x:c r="I41" s="57" t="n">
        <x:v>5</x:v>
      </x:c>
      <x:c r="J41" s="57" t="n">
        <x:v>4</x:v>
      </x:c>
      <x:c r="K41" s="57" t="str">
        <x:v>成熟方向</x:v>
      </x:c>
      <x:c r="L41" s="57" t="str">
        <x:v>工程复杂；模型冲突；延迟。</x:v>
      </x:c>
      <x:c r="M41" s="57" t="str">
        <x:v>https://github.com/warbot-ai/Polymarket-BTC-5-Minute-Trading-Bot
https://github.com/ThinkEnigmatic/polymarket-bot-arena</x:v>
      </x:c>
      <x:c r="N41" s="57" t="str"/>
    </x:row>
  </x:sheetData>
  <x:conditionalFormatting sqref="H2:H41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I2:I41">
    <x:cfRule type="colorScale" priority="2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J2:J41">
    <x:cfRule type="colorScale" priority="3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999994f193f462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8" hidden="0" customWidth="1"/>
    <x:col min="3" max="3" width="38" hidden="0" customWidth="1"/>
    <x:col min="4" max="4" width="10" hidden="0" customWidth="1"/>
    <x:col min="5" max="5" width="10" hidden="0" customWidth="1"/>
    <x:col min="6" max="6" width="38" hidden="0" customWidth="1"/>
    <x:col min="7" max="7" width="44" hidden="0" customWidth="1"/>
  </x:cols>
  <x:sheetData>
    <x:row r="1" ht="28" customHeight="1">
      <x:c r="A1" s="56" t="str">
        <x:v>渠道 / 社区</x:v>
      </x:c>
      <x:c r="B1" s="56" t="str">
        <x:v>你能看到什么</x:v>
      </x:c>
      <x:c r="C1" s="56" t="str">
        <x:v>代表线索</x:v>
      </x:c>
      <x:c r="D1" s="56" t="str">
        <x:v>热度 1-5</x:v>
      </x:c>
      <x:c r="E1" s="56" t="str">
        <x:v>噪音 1-5</x:v>
      </x:c>
      <x:c r="F1" s="56" t="str">
        <x:v>建议用法</x:v>
      </x:c>
      <x:c r="G1" s="56" t="str">
        <x:v>Source URL</x:v>
      </x:c>
    </x:row>
    <x:row r="2">
      <x:c r="A2" s="57" t="str">
        <x:v>Polymarket 页面评论</x:v>
      </x:c>
      <x:c r="B2" s="57" t="str">
        <x:v>每个 5m 市场的实时评论、情绪、外链、交易者喊单。</x:v>
      </x:c>
      <x:c r="C2" s="57" t="str">
        <x:v>单个 BTC 5m 示例页显示评论数超过 8 万。</x:v>
      </x:c>
      <x:c r="D2" s="57" t="n">
        <x:v>4</x:v>
      </x:c>
      <x:c r="E2" s="57" t="n">
        <x:v>5</x:v>
      </x:c>
      <x:c r="F2" s="57" t="str">
        <x:v>只作为热度/情绪指标；不要直接照单。</x:v>
      </x:c>
      <x:c r="G2" s="57" t="str">
        <x:v>https://polymarket.com/event/btc-updown-5m-1777017000</x:v>
      </x:c>
    </x:row>
    <x:row r="3">
      <x:c r="A3" s="57" t="str">
        <x:v>Polymarket Activity / Top Holders</x:v>
      </x:c>
      <x:c r="B3" s="57" t="str">
        <x:v>成交流、持仓集中度、大额地址。</x:v>
      </x:c>
      <x:c r="C3" s="57" t="str">
        <x:v>适合识别尾段大单和异常钱包。</x:v>
      </x:c>
      <x:c r="D3" s="57" t="n">
        <x:v>4</x:v>
      </x:c>
      <x:c r="E3" s="57" t="n">
        <x:v>3</x:v>
      </x:c>
      <x:c r="F3" s="57" t="str">
        <x:v>记录 wallet、side、price、size、time_to_close。</x:v>
      </x:c>
      <x:c r="G3" s="57" t="str">
        <x:v>https://polymarket.com/event/btc-updown-5m-1777017000</x:v>
      </x:c>
    </x:row>
    <x:row r="4">
      <x:c r="A4" s="57" t="str">
        <x:v>Dune blog / dashboards</x:v>
      </x:c>
      <x:c r="B4" s="57" t="str">
        <x:v>链上成交、bot 分类、volume、fee、market tags。</x:v>
      </x:c>
      <x:c r="C4" s="57" t="str">
        <x:v>5m 市场 $2.3B notional、自动化 55-62% 等关键锚点。</x:v>
      </x:c>
      <x:c r="D4" s="57" t="n">
        <x:v>5</x:v>
      </x:c>
      <x:c r="E4" s="57" t="n">
        <x:v>2</x:v>
      </x:c>
      <x:c r="F4" s="57" t="str">
        <x:v>做资金体量和参与者结构估算的首选公开数据源。</x:v>
      </x:c>
      <x:c r="G4" s="57" t="str">
        <x:v>https://dune.com/blog/polymarket-fast-markets</x:v>
      </x:c>
    </x:row>
    <x:row r="5">
      <x:c r="A5" s="57" t="str">
        <x:v>Polymarket 官方 API 文档</x:v>
      </x:c>
      <x:c r="B5" s="57" t="str">
        <x:v>Gamma/CLOB/Orderbook/WebSocket/Fees。</x:v>
      </x:c>
      <x:c r="C5" s="57" t="str">
        <x:v>市场发现、实时盘口、下单和费用的官方入口。</x:v>
      </x:c>
      <x:c r="D5" s="57" t="n">
        <x:v>5</x:v>
      </x:c>
      <x:c r="E5" s="57" t="n">
        <x:v>1</x:v>
      </x:c>
      <x:c r="F5" s="57" t="str">
        <x:v>所有实盘/回测字段先按官方数据模型对齐。</x:v>
      </x:c>
      <x:c r="G5" s="57" t="str">
        <x:v>https://docs.polymarket.com/market-data/fetching-markets
https://docs.polymarket.com/trading/orderbook
https://docs.polymarket.com/trading/fees</x:v>
      </x:c>
    </x:row>
    <x:row r="6">
      <x:c r="A6" s="57" t="str">
        <x:v>GitHub: Bot Arena</x:v>
      </x:c>
      <x:c r="B6" s="57" t="str">
        <x:v>多策略 bot、momentum/mean-reversion/sentiment/hybrid、学习框架。</x:v>
      </x:c>
      <x:c r="C6" s="57" t="str">
        <x:v>README 明确说 4 个 bot 竞争交易 BTC 5m。</x:v>
      </x:c>
      <x:c r="D6" s="57" t="n">
        <x:v>4</x:v>
      </x:c>
      <x:c r="E6" s="57" t="n">
        <x:v>3</x:v>
      </x:c>
      <x:c r="F6" s="57" t="str">
        <x:v>用作策略门派观察，不当作收益证明。</x:v>
      </x:c>
      <x:c r="G6" s="57" t="str">
        <x:v>https://github.com/ThinkEnigmatic/polymarket-bot-arena</x:v>
      </x:c>
    </x:row>
    <x:row r="7">
      <x:c r="A7" s="57" t="str">
        <x:v>GitHub: warbot-ai</x:v>
      </x:c>
      <x:c r="B7" s="57" t="str">
        <x:v>多信号、风控、监控、5m 迁移架构。</x:v>
      </x:c>
      <x:c r="C7" s="57" t="str">
        <x:v>强调 7-phase architecture、real-time signal fusion。</x:v>
      </x:c>
      <x:c r="D7" s="57" t="n">
        <x:v>3</x:v>
      </x:c>
      <x:c r="E7" s="57" t="n">
        <x:v>3</x:v>
      </x:c>
      <x:c r="F7" s="57" t="str">
        <x:v>观察工程栈和模块划分。</x:v>
      </x:c>
      <x:c r="G7" s="57" t="str">
        <x:v>https://github.com/warbot-ai/Polymarket-BTC-5-Minute-Trading-Bot</x:v>
      </x:c>
    </x:row>
    <x:row r="8">
      <x:c r="A8" s="57" t="str">
        <x:v>GitHub: Polybot</x:v>
      </x:c>
      <x:c r="B8" s="57" t="str">
        <x:v>hybrid maker + directional sniper、effective book / complement 诊断。</x:v>
      </x:c>
      <x:c r="C8" s="57" t="str">
        <x:v>README 提到 adaptive signal weighting。</x:v>
      </x:c>
      <x:c r="D8" s="57" t="n">
        <x:v>3</x:v>
      </x:c>
      <x:c r="E8" s="57" t="n">
        <x:v>4</x:v>
      </x:c>
      <x:c r="F8" s="57" t="str">
        <x:v>观察小型开源 bot 的常见设计。</x:v>
      </x:c>
      <x:c r="G8" s="57" t="str">
        <x:v>https://github.com/ngixcrash/Polybot</x:v>
      </x:c>
    </x:row>
    <x:row r="9">
      <x:c r="A9" s="57" t="str">
        <x:v>GitHub Gist: PolymarketBot guide</x:v>
      </x:c>
      <x:c r="B9" s="57" t="str">
        <x:v>从零搭建 5m Up/Down bot 的教程式写法。</x:v>
      </x:c>
      <x:c r="C9" s="57" t="str">
        <x:v>说明每 5 分钟交易 Up/Down token。</x:v>
      </x:c>
      <x:c r="D9" s="57" t="n">
        <x:v>3</x:v>
      </x:c>
      <x:c r="E9" s="57" t="n">
        <x:v>4</x:v>
      </x:c>
      <x:c r="F9" s="57" t="str">
        <x:v>适合理解散户/入门 bot 思路。</x:v>
      </x:c>
      <x:c r="G9" s="57" t="str">
        <x:v>https://gist.github.com/Archetapp/7680adabc48f812a561ca79d73cbac69</x:v>
      </x:c>
    </x:row>
    <x:row r="10">
      <x:c r="A10" s="57" t="str">
        <x:v>GitHub: range collector</x:v>
      </x:c>
      <x:c r="B10" s="57" t="str">
        <x:v>历史场次逐秒重建、Binance 回补、Excel 导出。</x:v>
      </x:c>
      <x:c r="C10" s="57" t="str">
        <x:v>适合做回测数据集。</x:v>
      </x:c>
      <x:c r="D10" s="57" t="n">
        <x:v>4</x:v>
      </x:c>
      <x:c r="E10" s="57" t="n">
        <x:v>2</x:v>
      </x:c>
      <x:c r="F10" s="57" t="str">
        <x:v>优先用作复盘工具模板。</x:v>
      </x:c>
      <x:c r="G10" s="57" t="str">
        <x:v>https://github.com/jueweijue/polymarket-range-collector</x:v>
      </x:c>
    </x:row>
    <x:row r="11">
      <x:c r="A11" s="57" t="str">
        <x:v>Hacker News: 5min bot</x:v>
      </x:c>
      <x:c r="B11" s="57" t="str">
        <x:v>工程师社区对 5m bot 的讨论入口。</x:v>
      </x:c>
      <x:c r="C11" s="57" t="str">
        <x:v>帖子介绍“execution speed、structured strategy、risk management”。</x:v>
      </x:c>
      <x:c r="D11" s="57" t="n">
        <x:v>2</x:v>
      </x:c>
      <x:c r="E11" s="57" t="n">
        <x:v>4</x:v>
      </x:c>
      <x:c r="F11" s="57" t="str">
        <x:v>看工程/风险讨论，不看作市场主流。</x:v>
      </x:c>
      <x:c r="G11" s="57" t="str">
        <x:v>https://news.ycombinator.com/item?id=47204740</x:v>
      </x:c>
    </x:row>
    <x:row r="12">
      <x:c r="A12" s="57" t="str">
        <x:v>Hacker News: prediction market algorithms</x:v>
      </x:c>
      <x:c r="B12" s="57" t="str">
        <x:v>预测市场机制和做市算法的通用讨论。</x:v>
      </x:c>
      <x:c r="C12" s="57" t="str">
        <x:v>讨论是否像 options / sports betting / market making。</x:v>
      </x:c>
      <x:c r="D12" s="57" t="n">
        <x:v>2</x:v>
      </x:c>
      <x:c r="E12" s="57" t="n">
        <x:v>4</x:v>
      </x:c>
      <x:c r="F12" s="57" t="str">
        <x:v>用于概念梳理。</x:v>
      </x:c>
      <x:c r="G12" s="57" t="str">
        <x:v>https://news.ycombinator.com/item?id=41950192</x:v>
      </x:c>
    </x:row>
    <x:row r="13">
      <x:c r="A13" s="57" t="str">
        <x:v>YouTube / 个人教程</x:v>
      </x:c>
      <x:c r="B13" s="57" t="str">
        <x:v>策略讲解、bot 项目、收益展示。</x:v>
      </x:c>
      <x:c r="C13" s="57" t="str">
        <x:v>搜索到多个 BTC 5m strategy research 视频。</x:v>
      </x:c>
      <x:c r="D13" s="57" t="n">
        <x:v>3</x:v>
      </x:c>
      <x:c r="E13" s="57" t="n">
        <x:v>5</x:v>
      </x:c>
      <x:c r="F13" s="57" t="str">
        <x:v>只提取思路和代码结构；收益截图需忽略。</x:v>
      </x:c>
      <x:c r="G13" s="57" t="str">
        <x:v>https://news.ycombinator.com/item?id=47204740</x:v>
      </x:c>
    </x:row>
    <x:row r="14">
      <x:c r="A14" s="57" t="str">
        <x:v>poly-sim</x:v>
      </x:c>
      <x:c r="B14" s="57" t="str">
        <x:v>实时算法模拟器、多个策略 live PnL/胜率。</x:v>
      </x:c>
      <x:c r="C14" s="57" t="str">
        <x:v>自称对 60+ 算法做 live simulator。</x:v>
      </x:c>
      <x:c r="D14" s="57" t="n">
        <x:v>3</x:v>
      </x:c>
      <x:c r="E14" s="57" t="n">
        <x:v>4</x:v>
      </x:c>
      <x:c r="F14" s="57" t="str">
        <x:v>用于找策略名字，需独立验证数据质量。</x:v>
      </x:c>
      <x:c r="G14" s="57" t="str">
        <x:v>https://poly-sim.com/bitcoin_up_or_down_5_minutes_strategy.html</x:v>
      </x:c>
    </x:row>
    <x:row r="15">
      <x:c r="A15" s="57" t="str">
        <x:v>polyfun.space</x:v>
      </x:c>
      <x:c r="B15" s="57" t="str">
        <x:v>5 分钟市场历史快照数据。</x:v>
      </x:c>
      <x:c r="C15" s="57" t="str">
        <x:v>提供 Up/Down 价格、剩余分钟等快照。</x:v>
      </x:c>
      <x:c r="D15" s="57" t="n">
        <x:v>3</x:v>
      </x:c>
      <x:c r="E15" s="57" t="n">
        <x:v>3</x:v>
      </x:c>
      <x:c r="F15" s="57" t="str">
        <x:v>可做快速探索，实盘前需核对原始源。</x:v>
      </x:c>
      <x:c r="G15" s="57" t="str">
        <x:v>https://polyfun.space/</x:v>
      </x:c>
    </x:row>
    <x:row r="16">
      <x:c r="A16" s="57" t="str">
        <x:v>arXiv: Polymarket microstructure</x:v>
      </x:c>
      <x:c r="B16" s="57" t="str">
        <x:v>订单簿、链上成交、trade direction、有效点差等学术分析。</x:v>
      </x:c>
      <x:c r="C16" s="57" t="str">
        <x:v>指出公开 feed 推断成交方向准确性问题。</x:v>
      </x:c>
      <x:c r="D16" s="57" t="n">
        <x:v>4</x:v>
      </x:c>
      <x:c r="E16" s="57" t="n">
        <x:v>2</x:v>
      </x:c>
      <x:c r="F16" s="57" t="str">
        <x:v>做严谨回测方法论。</x:v>
      </x:c>
      <x:c r="G16" s="57" t="str">
        <x:v>https://arxiv.org/abs/2604.24366</x:v>
      </x:c>
    </x:row>
    <x:row r="17">
      <x:c r="A17" s="57" t="str">
        <x:v>arXiv: non-retail tiers</x:v>
      </x:c>
      <x:c r="B17" s="57" t="str">
        <x:v>地址级行为分层、whale/HF/power trader 的 notional 占比。</x:v>
      </x:c>
      <x:c r="C17" s="57" t="str">
        <x:v>研究称 12.6% 地址贡献 81.4% notional。</x:v>
      </x:c>
      <x:c r="D17" s="57" t="n">
        <x:v>4</x:v>
      </x:c>
      <x:c r="E17" s="57" t="n">
        <x:v>2</x:v>
      </x:c>
      <x:c r="F17" s="57" t="str">
        <x:v>用于估算非散户资金主导程度。</x:v>
      </x:c>
      <x:c r="G17" s="57" t="str">
        <x:v>https://arxiv.org/abs/2605.11640</x:v>
      </x:c>
    </x:row>
    <x:row r="18">
      <x:c r="A18" s="57" t="str">
        <x:v>arXiv: PolyBench / AI trading</x:v>
      </x:c>
      <x:c r="B18" s="57" t="str">
        <x:v>LLM 在 prediction markets 上的基准测试。</x:v>
      </x:c>
      <x:c r="C18" s="57" t="str">
        <x:v>将 CLOB、新闻和市场状态组合成 benchmark。</x:v>
      </x:c>
      <x:c r="D18" s="57" t="n">
        <x:v>3</x:v>
      </x:c>
      <x:c r="E18" s="57" t="n">
        <x:v>2</x:v>
      </x:c>
      <x:c r="F18" s="57" t="str">
        <x:v>观察 AI agent 门派热度。</x:v>
      </x:c>
      <x:c r="G18" s="57" t="str">
        <x:v>https://arxiv.org/abs/2604.14199</x:v>
      </x:c>
    </x:row>
    <x:row r="19">
      <x:c r="A19" s="57" t="str">
        <x:v>Reddit / r/Polymarket / r/algotrading</x:v>
      </x:c>
      <x:c r="B19" s="57" t="str">
        <x:v>散户经验、亏损帖、bot 想法。</x:v>
      </x:c>
      <x:c r="C19" s="57" t="str">
        <x:v>公开搜索信噪比较低；具体帖子需要逐条验证。</x:v>
      </x:c>
      <x:c r="D19" s="57" t="n">
        <x:v>2</x:v>
      </x:c>
      <x:c r="E19" s="57" t="n">
        <x:v>5</x:v>
      </x:c>
      <x:c r="F19" s="57" t="str">
        <x:v>只用作问题清单和反面样本。</x:v>
      </x:c>
      <x:c r="G19" s="57" t="str">
        <x:v>https://www.reddit.com/r/Polymarket/</x:v>
      </x:c>
    </x:row>
    <x:row r="20">
      <x:c r="A20" s="57" t="str">
        <x:v>Discord / Telegram bot 社群</x:v>
      </x:c>
      <x:c r="B20" s="57" t="str">
        <x:v>builder 工具、喊单、脚本分享、one-tap trading。</x:v>
      </x:c>
      <x:c r="C20" s="57" t="str">
        <x:v>Dune 提到 Telegram/Discord integrations 影响高频小额流。</x:v>
      </x:c>
      <x:c r="D20" s="57" t="n">
        <x:v>4</x:v>
      </x:c>
      <x:c r="E20" s="57" t="n">
        <x:v>5</x:v>
      </x:c>
      <x:c r="F20" s="57" t="str">
        <x:v>关注 flow/crowding，不盲目跟单。</x:v>
      </x:c>
      <x:c r="G20" s="57" t="str">
        <x:v>https://dune.com/blog/polymarket-fast-markets</x:v>
      </x:c>
    </x:row>
    <x:row r="21">
      <x:c r="A21" s="57" t="str">
        <x:v>X / Twitter</x:v>
      </x:c>
      <x:c r="B21" s="57" t="str">
        <x:v>机器人、builder、策略片段、高手钱包传播。</x:v>
      </x:c>
      <x:c r="C21" s="57" t="str">
        <x:v>热度扩散最快，也最容易过拟合。</x:v>
      </x:c>
      <x:c r="D21" s="57" t="n">
        <x:v>3</x:v>
      </x:c>
      <x:c r="E21" s="57" t="n">
        <x:v>5</x:v>
      </x:c>
      <x:c r="F21" s="57" t="str">
        <x:v>用关键词告警；不要把推文当证据。</x:v>
      </x:c>
      <x:c r="G21" s="57" t="str">
        <x:v>https://x.com/search?q=polymarket%20btc%205m%20bot</x:v>
      </x:c>
    </x:row>
    <x:row r="22">
      <x:c r="A22" s="57" t="str">
        <x:v>MarketMath / fee explainers</x:v>
      </x:c>
      <x:c r="B22" s="57" t="str">
        <x:v>手续费、类别费率、maker/taker 解释。</x:v>
      </x:c>
      <x:c r="C22" s="57" t="str">
        <x:v>有助于算净 EV。</x:v>
      </x:c>
      <x:c r="D22" s="57" t="n">
        <x:v>3</x:v>
      </x:c>
      <x:c r="E22" s="57" t="n">
        <x:v>3</x:v>
      </x:c>
      <x:c r="F22" s="57" t="str">
        <x:v>以官方 fees 文档为准，第三方做交叉检查。</x:v>
      </x:c>
      <x:c r="G22" s="57" t="str">
        <x:v>https://marketmath.io/blog/polymarket-fees-explained
https://docs.polymarket.com/trading/fees</x:v>
      </x:c>
    </x:row>
    <x:row r="23">
      <x:c r="A23" s="57" t="str">
        <x:v>pm.wiki / Polyblock guides</x:v>
      </x:c>
      <x:c r="B23" s="57" t="str">
        <x:v>API 教程、CLOB/Gamma/Data API 入门。</x:v>
      </x:c>
      <x:c r="C23" s="57" t="str">
        <x:v>适合快速上手。</x:v>
      </x:c>
      <x:c r="D23" s="57" t="n">
        <x:v>3</x:v>
      </x:c>
      <x:c r="E23" s="57" t="n">
        <x:v>3</x:v>
      </x:c>
      <x:c r="F23" s="57" t="str">
        <x:v>查接口入口，字段仍以官方文档为准。</x:v>
      </x:c>
      <x:c r="G23" s="57" t="str">
        <x:v>https://pm.wiki/learn/polymarket-api</x:v>
      </x:c>
    </x:row>
  </x:sheetData>
  <x:pageMargins left="0.7" right="0.7" top="0.75" bottom="0.75" header="0.3" footer="0.3"/>
  <x:tableParts count="1">
    <x:tablePart xmlns:r="http://schemas.openxmlformats.org/officeDocument/2006/relationships" r:id="R3757b68898704ff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42" hidden="0" customWidth="1"/>
    <x:col min="4" max="4" width="18" hidden="0" customWidth="1"/>
    <x:col min="5" max="5" width="20" hidden="0" customWidth="1"/>
    <x:col min="6" max="6" width="20" hidden="0" customWidth="1"/>
    <x:col min="7" max="7" width="16" hidden="0" customWidth="1"/>
    <x:col min="8" max="8" width="16" hidden="0" customWidth="1"/>
    <x:col min="9" max="9" width="16" hidden="0" customWidth="1"/>
    <x:col min="10" max="10" width="10" hidden="0" customWidth="1"/>
    <x:col min="11" max="11" width="14" hidden="0" customWidth="1"/>
    <x:col min="12" max="12" width="44" hidden="0" customWidth="1"/>
    <x:col min="13" max="13" width="44" hidden="0" customWidth="1"/>
  </x:cols>
  <x:sheetData>
    <x:row r="1" ht="28" customHeight="1">
      <x:c r="A1" s="56" t="str">
        <x:v>市场 / 策略资金池</x:v>
      </x:c>
      <x:c r="B1" s="56" t="str">
        <x:v>口径</x:v>
      </x:c>
      <x:c r="C1" s="56" t="str">
        <x:v>证据锚点</x:v>
      </x:c>
      <x:c r="D1" s="56" t="str">
        <x:v>Low 月度 notional/资金</x:v>
      </x:c>
      <x:c r="E1" s="56" t="str">
        <x:v>Base 月度 notional/资金</x:v>
      </x:c>
      <x:c r="F1" s="56" t="str">
        <x:v>High 月度 notional/资金</x:v>
      </x:c>
      <x:c r="G1" s="56" t="str">
        <x:v>Low 日均</x:v>
      </x:c>
      <x:c r="H1" s="56" t="str">
        <x:v>Base 日均</x:v>
      </x:c>
      <x:c r="I1" s="56" t="str">
        <x:v>High 日均</x:v>
      </x:c>
      <x:c r="J1" s="56" t="str">
        <x:v>Heat 1-5</x:v>
      </x:c>
      <x:c r="K1" s="56" t="str">
        <x:v>Confidence</x:v>
      </x:c>
      <x:c r="L1" s="56" t="str">
        <x:v>估算方法 / 备注</x:v>
      </x:c>
      <x:c r="M1" s="56" t="str">
        <x:v>Source URL</x:v>
      </x:c>
    </x:row>
    <x:row r="2">
      <x:c r="A2" s="57" t="str">
        <x:v>Kalshi + Polymarket 总预测市场</x:v>
      </x:c>
      <x:c r="B2" s="57" t="str">
        <x:v>月度 taker notional</x:v>
      </x:c>
      <x:c r="C2" s="57" t="str">
        <x:v>2026-04 约 $24B combined global volume。</x:v>
      </x:c>
      <x:c r="D2" s="61" t="n">
        <x:v>20000000000</x:v>
      </x:c>
      <x:c r="E2" s="61" t="n">
        <x:v>24000000000</x:v>
      </x:c>
      <x:c r="F2" s="61" t="n">
        <x:v>30000000000</x:v>
      </x:c>
      <x:c r="G2" s="61" t="n">
        <x:f>D2/30</x:f>
        <x:v>666666666.6666666</x:v>
      </x:c>
      <x:c r="H2" s="61" t="n">
        <x:f>E2/30</x:f>
        <x:v>800000000</x:v>
      </x:c>
      <x:c r="I2" s="61" t="n">
        <x:f>F2/30</x:f>
        <x:v>1000000000</x:v>
      </x:c>
      <x:c r="J2" s="57" t="n">
        <x:v>5</x:v>
      </x:c>
      <x:c r="K2" s="57" t="str">
        <x:v>High</x:v>
      </x:c>
      <x:c r="L2" s="57" t="str">
        <x:v>Pew/The Block 口径；不是 AUM，是交易额。</x:v>
      </x:c>
      <x:c r="M2" s="57" t="str">
        <x:v>https://www.pewresearch.org/short-reads/2026/05/27/trading-volume-on-prediction-markets-has-soared-in-recent-months/</x:v>
      </x:c>
    </x:row>
    <x:row r="3">
      <x:c r="A3" s="57" t="str">
        <x:v>Kalshi</x:v>
      </x:c>
      <x:c r="B3" s="57" t="str">
        <x:v>月度 taker notional</x:v>
      </x:c>
      <x:c r="C3" s="57" t="str">
        <x:v>由合计 $24B、Polymarket Intl $9B、Polymarket US $1.3B 粗略反推。</x:v>
      </x:c>
      <x:c r="D3" s="61" t="n">
        <x:v>12500000000</x:v>
      </x:c>
      <x:c r="E3" s="61" t="n">
        <x:v>13700000000</x:v>
      </x:c>
      <x:c r="F3" s="61" t="n">
        <x:v>15500000000</x:v>
      </x:c>
      <x:c r="G3" s="61" t="n">
        <x:f>D3/30</x:f>
        <x:v>416666666.6666667</x:v>
      </x:c>
      <x:c r="H3" s="61" t="n">
        <x:f>E3/30</x:f>
        <x:v>456666666.6666667</x:v>
      </x:c>
      <x:c r="I3" s="61" t="n">
        <x:f>F3/30</x:f>
        <x:v>516666666.6666667</x:v>
      </x:c>
      <x:c r="J3" s="57" t="n">
        <x:v>5</x:v>
      </x:c>
      <x:c r="K3" s="57" t="str">
        <x:v>Medium</x:v>
      </x:c>
      <x:c r="L3" s="57" t="str">
        <x:v>反推值，需用 The Block 原始数据定期更新。</x:v>
      </x:c>
      <x:c r="M3" s="57" t="str">
        <x:v>https://www.pewresearch.org/short-reads/2026/05/27/trading-volume-on-prediction-markets-has-soared-in-recent-months/</x:v>
      </x:c>
    </x:row>
    <x:row r="4">
      <x:c r="A4" s="57" t="str">
        <x:v>Polymarket International</x:v>
      </x:c>
      <x:c r="B4" s="57" t="str">
        <x:v>月度 taker notional</x:v>
      </x:c>
      <x:c r="C4" s="57" t="str">
        <x:v>Pew：2026-04 约 $9B。</x:v>
      </x:c>
      <x:c r="D4" s="61" t="n">
        <x:v>8500000000</x:v>
      </x:c>
      <x:c r="E4" s="61" t="n">
        <x:v>9000000000</x:v>
      </x:c>
      <x:c r="F4" s="61" t="n">
        <x:v>9500000000</x:v>
      </x:c>
      <x:c r="G4" s="61" t="n">
        <x:f>D4/30</x:f>
        <x:v>283333333.3333333</x:v>
      </x:c>
      <x:c r="H4" s="61" t="n">
        <x:f>E4/30</x:f>
        <x:v>300000000</x:v>
      </x:c>
      <x:c r="I4" s="61" t="n">
        <x:f>F4/30</x:f>
        <x:v>316666666.6666667</x:v>
      </x:c>
      <x:c r="J4" s="57" t="n">
        <x:v>5</x:v>
      </x:c>
      <x:c r="K4" s="57" t="str">
        <x:v>High</x:v>
      </x:c>
      <x:c r="L4" s="57" t="str">
        <x:v>国际站，不含 Polymarket US。</x:v>
      </x:c>
      <x:c r="M4" s="57" t="str">
        <x:v>https://www.pewresearch.org/short-reads/2026/05/27/trading-volume-on-prediction-markets-has-soared-in-recent-months/</x:v>
      </x:c>
    </x:row>
    <x:row r="5">
      <x:c r="A5" s="57" t="str">
        <x:v>Polymarket US</x:v>
      </x:c>
      <x:c r="B5" s="57" t="str">
        <x:v>月度 taker notional</x:v>
      </x:c>
      <x:c r="C5" s="57" t="str">
        <x:v>Pew：2026-04 约 $1.3B。</x:v>
      </x:c>
      <x:c r="D5" s="61" t="n">
        <x:v>1000000000</x:v>
      </x:c>
      <x:c r="E5" s="61" t="n">
        <x:v>1300000000</x:v>
      </x:c>
      <x:c r="F5" s="61" t="n">
        <x:v>1600000000</x:v>
      </x:c>
      <x:c r="G5" s="61" t="n">
        <x:f>D5/30</x:f>
        <x:v>33333333.333333332</x:v>
      </x:c>
      <x:c r="H5" s="61" t="n">
        <x:f>E5/30</x:f>
        <x:v>43333333.333333336</x:v>
      </x:c>
      <x:c r="I5" s="61" t="n">
        <x:f>F5/30</x:f>
        <x:v>53333333.333333336</x:v>
      </x:c>
      <x:c r="J5" s="57" t="n">
        <x:v>4</x:v>
      </x:c>
      <x:c r="K5" s="57" t="str">
        <x:v>High</x:v>
      </x:c>
      <x:c r="L5" s="57" t="str">
        <x:v>CFTC-regulated US venue；规模小于国际站。</x:v>
      </x:c>
      <x:c r="M5" s="57" t="str">
        <x:v>https://www.pewresearch.org/short-reads/2026/05/27/trading-volume-on-prediction-markets-has-soared-in-recent-months/</x:v>
      </x:c>
    </x:row>
    <x:row r="6">
      <x:c r="A6" s="57" t="str">
        <x:v>Polymarket Crypto 全部</x:v>
      </x:c>
      <x:c r="B6" s="57" t="str">
        <x:v>月度 taker notional</x:v>
      </x:c>
      <x:c r="C6" s="57" t="str">
        <x:v>Pew：自 2024-07 以来 crypto 约占 Polymarket 20% volume；以 2026-04 $9B 乘 20% 做锚。</x:v>
      </x:c>
      <x:c r="D6" s="61" t="n">
        <x:v>1200000000</x:v>
      </x:c>
      <x:c r="E6" s="61" t="n">
        <x:v>1800000000</x:v>
      </x:c>
      <x:c r="F6" s="61" t="n">
        <x:v>2700000000</x:v>
      </x:c>
      <x:c r="G6" s="61" t="n">
        <x:f>D6/30</x:f>
        <x:v>40000000</x:v>
      </x:c>
      <x:c r="H6" s="61" t="n">
        <x:f>E6/30</x:f>
        <x:v>60000000</x:v>
      </x:c>
      <x:c r="I6" s="61" t="n">
        <x:f>F6/30</x:f>
        <x:v>90000000</x:v>
      </x:c>
      <x:c r="J6" s="57" t="n">
        <x:v>5</x:v>
      </x:c>
      <x:c r="K6" s="57" t="str">
        <x:v>Medium</x:v>
      </x:c>
      <x:c r="L6" s="57" t="str">
        <x:v>类别占比是历史累计，不一定等于当月；故给宽区间。</x:v>
      </x:c>
      <x:c r="M6" s="57" t="str">
        <x:v>https://www.pewresearch.org/short-reads/2026/05/27/trading-volume-on-prediction-markets-has-soared-in-recent-months/</x:v>
      </x:c>
    </x:row>
    <x:row r="7">
      <x:c r="A7" s="57" t="str">
        <x:v>Polymarket Fast Crypto</x:v>
      </x:c>
      <x:c r="B7" s="57" t="str">
        <x:v>月度 taker notional</x:v>
      </x:c>
      <x:c r="C7" s="57" t="str">
        <x:v>Dune：fast markets 到 2026-03 已超 crypto volume 80%。</x:v>
      </x:c>
      <x:c r="D7" s="61" t="n">
        <x:v>900000000</x:v>
      </x:c>
      <x:c r="E7" s="61" t="n">
        <x:v>1400000000</x:v>
      </x:c>
      <x:c r="F7" s="61" t="n">
        <x:v>2300000000</x:v>
      </x:c>
      <x:c r="G7" s="61" t="n">
        <x:f>D7/30</x:f>
        <x:v>30000000</x:v>
      </x:c>
      <x:c r="H7" s="61" t="n">
        <x:f>E7/30</x:f>
        <x:v>46666666.666666664</x:v>
      </x:c>
      <x:c r="I7" s="61" t="n">
        <x:f>F7/30</x:f>
        <x:v>76666666.66666667</x:v>
      </x:c>
      <x:c r="J7" s="57" t="n">
        <x:v>5</x:v>
      </x:c>
      <x:c r="K7" s="57" t="str">
        <x:v>Medium</x:v>
      </x:c>
      <x:c r="L7" s="57" t="str">
        <x:v>用 crypto 月度估算 * 80%+，并与 Dune 5m/15m 周度峰值交叉。</x:v>
      </x:c>
      <x:c r="M7" s="57" t="str">
        <x:v>https://dune.com/blog/polymarket-fast-markets</x:v>
      </x:c>
    </x:row>
    <x:row r="8">
      <x:c r="A8" s="57" t="str">
        <x:v>Polymarket 5m 全资产</x:v>
      </x:c>
      <x:c r="B8" s="57" t="str">
        <x:v>月度 taker notional</x:v>
      </x:c>
      <x:c r="C8" s="57" t="str">
        <x:v>Dune：Feb15-Mar30 5m markets $2.3B；周峰值 $385M。</x:v>
      </x:c>
      <x:c r="D8" s="61" t="n">
        <x:v>1500000000</x:v>
      </x:c>
      <x:c r="E8" s="61" t="n">
        <x:v>2300000000</x:v>
      </x:c>
      <x:c r="F8" s="61" t="n">
        <x:v>4600000000</x:v>
      </x:c>
      <x:c r="G8" s="61" t="n">
        <x:f>D8/30</x:f>
        <x:v>50000000</x:v>
      </x:c>
      <x:c r="H8" s="61" t="n">
        <x:f>E8/30</x:f>
        <x:v>76666666.66666667</x:v>
      </x:c>
      <x:c r="I8" s="61" t="n">
        <x:f>F8/30</x:f>
        <x:v>153333333.33333334</x:v>
      </x:c>
      <x:c r="J8" s="57" t="n">
        <x:v>5</x:v>
      </x:c>
      <x:c r="K8" s="57" t="str">
        <x:v>Medium</x:v>
      </x:c>
      <x:c r="L8" s="57" t="str">
        <x:v>Base 近似 Dune 45 天累计；High 用周峰值年化/月化近似。</x:v>
      </x:c>
      <x:c r="M8" s="57" t="str">
        <x:v>https://dune.com/blog/polymarket-fast-markets</x:v>
      </x:c>
    </x:row>
    <x:row r="9">
      <x:c r="A9" s="57" t="str">
        <x:v>Polymarket BTC 5m</x:v>
      </x:c>
      <x:c r="B9" s="57" t="str">
        <x:v>月度 taker notional</x:v>
      </x:c>
      <x:c r="C9" s="57" t="str">
        <x:v>Dune：BTC 约占 fast market turnover 77%；单场例子 volume $96.9K。</x:v>
      </x:c>
      <x:c r="D9" s="61" t="n">
        <x:v>1000000000</x:v>
      </x:c>
      <x:c r="E9" s="61" t="n">
        <x:v>1770000000</x:v>
      </x:c>
      <x:c r="F9" s="61" t="n">
        <x:v>3500000000</x:v>
      </x:c>
      <x:c r="G9" s="61" t="n">
        <x:f>D9/30</x:f>
        <x:v>33333333.333333332</x:v>
      </x:c>
      <x:c r="H9" s="61" t="n">
        <x:f>E9/30</x:f>
        <x:v>59000000</x:v>
      </x:c>
      <x:c r="I9" s="61" t="n">
        <x:f>F9/30</x:f>
        <x:v>116666666.66666667</x:v>
      </x:c>
      <x:c r="J9" s="57" t="n">
        <x:v>5</x:v>
      </x:c>
      <x:c r="K9" s="57" t="str">
        <x:v>Medium</x:v>
      </x:c>
      <x:c r="L9" s="57" t="str">
        <x:v>Base = 5m 全资产 Base * 77%；High 反映波动日/后续增长。</x:v>
      </x:c>
      <x:c r="M9" s="57" t="str">
        <x:v>https://dune.com/blog/polymarket-fast-markets
https://polymarket.com/event/btc-updown-5m-1777017000</x:v>
      </x:c>
    </x:row>
    <x:row r="10">
      <x:c r="A10" s="57" t="str">
        <x:v>BTC 5m 单场窗口</x:v>
      </x:c>
      <x:c r="B10" s="57" t="str">
        <x:v>单窗口 notional</x:v>
      </x:c>
      <x:c r="C10" s="57" t="str">
        <x:v>Polymarket 示例页某已结束 5m 窗口 $96.9K volume。</x:v>
      </x:c>
      <x:c r="D10" s="61" t="n">
        <x:v>50000</x:v>
      </x:c>
      <x:c r="E10" s="61" t="n">
        <x:v>100000</x:v>
      </x:c>
      <x:c r="F10" s="61" t="n">
        <x:v>250000</x:v>
      </x:c>
      <x:c r="G10" s="61" t="n">
        <x:f>D10*288</x:f>
        <x:v>14400000</x:v>
      </x:c>
      <x:c r="H10" s="61" t="n">
        <x:f>E10*288</x:f>
        <x:v>28800000</x:v>
      </x:c>
      <x:c r="I10" s="61" t="n">
        <x:f>F10*288</x:f>
        <x:v>72000000</x:v>
      </x:c>
      <x:c r="J10" s="57" t="n">
        <x:v>5</x:v>
      </x:c>
      <x:c r="K10" s="57" t="str">
        <x:v>Medium</x:v>
      </x:c>
      <x:c r="L10" s="57" t="str">
        <x:v>这里 D/E/F 是单场；G/H/I 是按每天 288 场估算的日额。</x:v>
      </x:c>
      <x:c r="M10" s="57" t="str">
        <x:v>https://polymarket.com/event/btc-updown-5m-1777017000</x:v>
      </x:c>
    </x:row>
    <x:row r="11">
      <x:c r="A11" s="57" t="str">
        <x:v>BTC 5m 可吃盘口容量</x:v>
      </x:c>
      <x:c r="B11" s="57" t="str">
        <x:v>单笔/单层流动性</x:v>
      </x:c>
      <x:c r="C11" s="57" t="str">
        <x:v>从公开页面无法稳定读取；由单场 volume、bot trade size $6-7 与常见深度推断。</x:v>
      </x:c>
      <x:c r="D11" s="61" t="n">
        <x:v>1000</x:v>
      </x:c>
      <x:c r="E11" s="61" t="n">
        <x:v>5000</x:v>
      </x:c>
      <x:c r="F11" s="61" t="n">
        <x:v>25000</x:v>
      </x:c>
      <x:c r="G11" s="61" t="n">
        <x:f>D11*288</x:f>
        <x:v>288000</x:v>
      </x:c>
      <x:c r="H11" s="61" t="n">
        <x:f>E11*288</x:f>
        <x:v>1440000</x:v>
      </x:c>
      <x:c r="I11" s="61" t="n">
        <x:f>F11*288</x:f>
        <x:v>7200000</x:v>
      </x:c>
      <x:c r="J11" s="57" t="n">
        <x:v>4</x:v>
      </x:c>
      <x:c r="K11" s="57" t="str">
        <x:v>Low</x:v>
      </x:c>
      <x:c r="L11" s="57" t="str">
        <x:v>实际需用 CLOB snapshot 计算 depth_to_1% 和 slippage curve。</x:v>
      </x:c>
      <x:c r="M11" s="57" t="str">
        <x:v>https://dune.com/blog/polymarket-fast-markets
https://docs.polymarket.com/trading/orderbook</x:v>
      </x:c>
    </x:row>
    <x:row r="12">
      <x:c r="A12" s="57" t="str">
        <x:v>个人 sniper bot 资金</x:v>
      </x:c>
      <x:c r="B12" s="57" t="str">
        <x:v>可运营资金，不是市场总量</x:v>
      </x:c>
      <x:c r="C12" s="57" t="str">
        <x:v>容量受点差/末段深度限制。</x:v>
      </x:c>
      <x:c r="D12" s="61" t="n">
        <x:v>1000</x:v>
      </x:c>
      <x:c r="E12" s="61" t="n">
        <x:v>10000</x:v>
      </x:c>
      <x:c r="F12" s="61" t="n">
        <x:v>100000</x:v>
      </x:c>
      <x:c r="G12" s="61" t="str"/>
      <x:c r="H12" s="61" t="str"/>
      <x:c r="I12" s="61" t="str"/>
      <x:c r="J12" s="57" t="n">
        <x:v>4</x:v>
      </x:c>
      <x:c r="K12" s="57" t="str">
        <x:v>Low</x:v>
      </x:c>
      <x:c r="L12" s="57" t="str">
        <x:v>超过容量会自我冲击；建议按每场最大风险而非总资金看。</x:v>
      </x:c>
      <x:c r="M12" s="57" t="str">
        <x:v>https://docs.polymarket.com/trading/orderbook</x:v>
      </x:c>
    </x:row>
    <x:row r="13">
      <x:c r="A13" s="57" t="str">
        <x:v>Maker / rebate 库存池</x:v>
      </x:c>
      <x:c r="B13" s="57" t="str">
        <x:v>策略可承载资金</x:v>
      </x:c>
      <x:c r="C13" s="57" t="str">
        <x:v>maker rebates + 深度激励形成资金池。</x:v>
      </x:c>
      <x:c r="D13" s="61" t="n">
        <x:v>50000</x:v>
      </x:c>
      <x:c r="E13" s="61" t="n">
        <x:v>500000</x:v>
      </x:c>
      <x:c r="F13" s="61" t="n">
        <x:v>5000000</x:v>
      </x:c>
      <x:c r="G13" s="61" t="str"/>
      <x:c r="H13" s="61" t="str"/>
      <x:c r="I13" s="61" t="str"/>
      <x:c r="J13" s="57" t="n">
        <x:v>5</x:v>
      </x:c>
      <x:c r="K13" s="57" t="str">
        <x:v>Low-Medium</x:v>
      </x:c>
      <x:c r="L13" s="57" t="str">
        <x:v>大资金必须分散 across outcomes/durations/venues。</x:v>
      </x:c>
      <x:c r="M13" s="57" t="str">
        <x:v>https://dune.com/blog/polymarket-fast-markets
https://docs.polymarket.com/trading/fees</x:v>
      </x:c>
    </x:row>
    <x:row r="14">
      <x:c r="A14" s="57" t="str">
        <x:v>跨平台 / hedged desks</x:v>
      </x:c>
      <x:c r="B14" s="57" t="str">
        <x:v>策略可承载资金</x:v>
      </x:c>
      <x:c r="C14" s="57" t="str">
        <x:v>Polymarket/Kalshi/Perp 对冲提高容量。</x:v>
      </x:c>
      <x:c r="D14" s="61" t="n">
        <x:v>100000</x:v>
      </x:c>
      <x:c r="E14" s="61" t="n">
        <x:v>1000000</x:v>
      </x:c>
      <x:c r="F14" s="61" t="n">
        <x:v>10000000</x:v>
      </x:c>
      <x:c r="G14" s="61" t="str"/>
      <x:c r="H14" s="61" t="str"/>
      <x:c r="I14" s="61" t="str"/>
      <x:c r="J14" s="57" t="n">
        <x:v>4</x:v>
      </x:c>
      <x:c r="K14" s="57" t="str">
        <x:v>Low</x:v>
      </x:c>
      <x:c r="L14" s="57" t="str">
        <x:v>规则差异与资金跨平台摩擦大。</x:v>
      </x:c>
      <x:c r="M14" s="57" t="str">
        <x:v>https://www.pewresearch.org/short-reads/2026/05/27/trading-volume-on-prediction-markets-has-soared-in-recent-months/</x:v>
      </x:c>
    </x:row>
    <x:row r="15">
      <x:c r="A15" s="57" t="str">
        <x:v>LLM / AI agent 策略资金</x:v>
      </x:c>
      <x:c r="B15" s="57" t="str">
        <x:v>实验资金</x:v>
      </x:c>
      <x:c r="C15" s="57" t="str">
        <x:v>PolyBench/Prediction Arena 表明研究热，但实盘盈利不稳定。</x:v>
      </x:c>
      <x:c r="D15" s="61" t="n">
        <x:v>1000</x:v>
      </x:c>
      <x:c r="E15" s="61" t="n">
        <x:v>10000</x:v>
      </x:c>
      <x:c r="F15" s="61" t="n">
        <x:v>100000</x:v>
      </x:c>
      <x:c r="G15" s="61" t="str"/>
      <x:c r="H15" s="61" t="str"/>
      <x:c r="I15" s="61" t="str"/>
      <x:c r="J15" s="57" t="n">
        <x:v>3</x:v>
      </x:c>
      <x:c r="K15" s="57" t="str">
        <x:v>Low</x:v>
      </x:c>
      <x:c r="L15" s="57" t="str">
        <x:v>更适合做决策辅助/筛选器，而非裸执行。</x:v>
      </x:c>
      <x:c r="M15" s="57" t="str">
        <x:v>https://arxiv.org/abs/2604.14199</x:v>
      </x:c>
    </x:row>
    <x:row r="16">
      <x:c r="A16" s="57" t="str">
        <x:v>散户/手动点击资金</x:v>
      </x:c>
      <x:c r="B16" s="57" t="str">
        <x:v>参与者 bankroll</x:v>
      </x:c>
      <x:c r="C16" s="57" t="str">
        <x:v>Dune：fast markets casual/regular volume 占比 4-5%。</x:v>
      </x:c>
      <x:c r="D16" s="61" t="n">
        <x:v>20</x:v>
      </x:c>
      <x:c r="E16" s="61" t="n">
        <x:v>200</x:v>
      </x:c>
      <x:c r="F16" s="61" t="n">
        <x:v>2000</x:v>
      </x:c>
      <x:c r="G16" s="61" t="str"/>
      <x:c r="H16" s="61" t="str"/>
      <x:c r="I16" s="61" t="str"/>
      <x:c r="J16" s="57" t="n">
        <x:v>2</x:v>
      </x:c>
      <x:c r="K16" s="57" t="str">
        <x:v>Medium</x:v>
      </x:c>
      <x:c r="L16" s="57" t="str">
        <x:v>手动点击在 5m 尾段很难与 bot 竞争。</x:v>
      </x:c>
      <x:c r="M16" s="57" t="str">
        <x:v>https://dune.com/blog/polymarket-fast-markets</x:v>
      </x:c>
    </x:row>
  </x:sheetData>
  <x:conditionalFormatting sqref="J2:J16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fa1035dbe614f57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38" hidden="0" customWidth="1"/>
    <x:col min="4" max="4" width="14" hidden="0" customWidth="1"/>
    <x:col min="5" max="5" width="18" hidden="0" customWidth="1"/>
    <x:col min="6" max="6" width="26" hidden="0" customWidth="1"/>
    <x:col min="7" max="7" width="36" hidden="0" customWidth="1"/>
    <x:col min="8" max="8" width="44" hidden="0" customWidth="1"/>
  </x:cols>
  <x:sheetData>
    <x:row r="1" ht="28" customHeight="1">
      <x:c r="A1" s="56" t="str">
        <x:v>数据模块</x:v>
      </x:c>
      <x:c r="B1" s="56" t="str">
        <x:v>字段 / 指标</x:v>
      </x:c>
      <x:c r="C1" s="56" t="str">
        <x:v>用途</x:v>
      </x:c>
      <x:c r="D1" s="56" t="str">
        <x:v>频率</x:v>
      </x:c>
      <x:c r="E1" s="56" t="str">
        <x:v>存储粒度</x:v>
      </x:c>
      <x:c r="F1" s="56" t="str">
        <x:v>数据源</x:v>
      </x:c>
      <x:c r="G1" s="56" t="str">
        <x:v>质量检查</x:v>
      </x:c>
      <x:c r="H1" s="56" t="str">
        <x:v>Source URL</x:v>
      </x:c>
    </x:row>
    <x:row r="2">
      <x:c r="A2" s="57" t="str">
        <x:v>Market discovery</x:v>
      </x:c>
      <x:c r="B2" s="57" t="str">
        <x:v>event slug, market slug, conditionId, tokenIds, start/end time</x:v>
      </x:c>
      <x:c r="C2" s="57" t="str">
        <x:v>知道当前和未来窗口；回测按场次 join。</x:v>
      </x:c>
      <x:c r="D2" s="57" t="str">
        <x:v>每 5-30s</x:v>
      </x:c>
      <x:c r="E2" s="57" t="str">
        <x:v>event-level</x:v>
      </x:c>
      <x:c r="F2" s="57" t="str">
        <x:v>Gamma events/markets</x:v>
      </x:c>
      <x:c r="G2" s="57" t="str">
        <x:v>active/closed/restricted 标记是否合理。</x:v>
      </x:c>
      <x:c r="H2" s="57" t="str">
        <x:v>https://docs.polymarket.com/market-data/fetching-markets</x:v>
      </x:c>
    </x:row>
    <x:row r="3">
      <x:c r="A3" s="57" t="str">
        <x:v>Resolution rule</x:v>
      </x:c>
      <x:c r="B3" s="57" t="str">
        <x:v>price_to_beat, Chainlink start value, Chainlink end value</x:v>
      </x:c>
      <x:c r="C3" s="57" t="str">
        <x:v>胜负标签和末段 fair value。</x:v>
      </x:c>
      <x:c r="D3" s="57" t="str">
        <x:v>每场 + 末段秒级</x:v>
      </x:c>
      <x:c r="E3" s="57" t="str">
        <x:v>event/second</x:v>
      </x:c>
      <x:c r="F3" s="57" t="str">
        <x:v>Polymarket page + Chainlink</x:v>
      </x:c>
      <x:c r="G3" s="57" t="str">
        <x:v>核对最终 outcome 是否与规则一致。</x:v>
      </x:c>
      <x:c r="H3" s="57" t="str">
        <x:v>https://polymarket.com/event/btc-updown-5m-1777017000</x:v>
      </x:c>
    </x:row>
    <x:row r="4">
      <x:c r="A4" s="57" t="str">
        <x:v>Order book L1</x:v>
      </x:c>
      <x:c r="B4" s="57" t="str">
        <x:v>best bid/ask for Up and Down, mid, spread</x:v>
      </x:c>
      <x:c r="C4" s="57" t="str">
        <x:v>执行、点差、fair value 偏离。</x:v>
      </x:c>
      <x:c r="D4" s="57" t="str">
        <x:v>实时 WS</x:v>
      </x:c>
      <x:c r="E4" s="57" t="str">
        <x:v>second/tick</x:v>
      </x:c>
      <x:c r="F4" s="57" t="str">
        <x:v>CLOB WS market channel</x:v>
      </x:c>
      <x:c r="G4" s="57" t="str">
        <x:v>bid &lt;= ask；Up+Down 合理区间。</x:v>
      </x:c>
      <x:c r="H4" s="57" t="str">
        <x:v>https://docs.polymarket.com/trading/orderbook</x:v>
      </x:c>
    </x:row>
    <x:row r="5">
      <x:c r="A5" s="57" t="str">
        <x:v>Order book L2</x:v>
      </x:c>
      <x:c r="B5" s="57" t="str">
        <x:v>depth by level, depth_to_1%, depth_to_5%</x:v>
      </x:c>
      <x:c r="C5" s="57" t="str">
        <x:v>估算 slippage 和容量。</x:v>
      </x:c>
      <x:c r="D5" s="57" t="str">
        <x:v>实时 WS</x:v>
      </x:c>
      <x:c r="E5" s="57" t="str">
        <x:v>second/tick</x:v>
      </x:c>
      <x:c r="F5" s="57" t="str">
        <x:v>CLOB orderbook</x:v>
      </x:c>
      <x:c r="G5" s="57" t="str">
        <x:v>异常深度/短寿命挂单降权。</x:v>
      </x:c>
      <x:c r="H5" s="57" t="str">
        <x:v>https://docs.polymarket.com/trading/orderbook</x:v>
      </x:c>
    </x:row>
    <x:row r="6">
      <x:c r="A6" s="57" t="str">
        <x:v>Trades</x:v>
      </x:c>
      <x:c r="B6" s="57" t="str">
        <x:v>price, side, size, timestamp, maker/taker if available</x:v>
      </x:c>
      <x:c r="C6" s="57" t="str">
        <x:v>成交方向、冲击、PnL、VWAP。</x:v>
      </x:c>
      <x:c r="D6" s="57" t="str">
        <x:v>实时 + 历史</x:v>
      </x:c>
      <x:c r="E6" s="57" t="str">
        <x:v>trade-level</x:v>
      </x:c>
      <x:c r="F6" s="57" t="str">
        <x:v>CLOB/Data API/Dune/on-chain</x:v>
      </x:c>
      <x:c r="G6" s="57" t="str">
        <x:v>公开 feed 成交方向需小心，用 on-chain join 复核。</x:v>
      </x:c>
      <x:c r="H6" s="57" t="str">
        <x:v>https://arxiv.org/abs/2604.24366</x:v>
      </x:c>
    </x:row>
    <x:row r="7">
      <x:c r="A7" s="57" t="str">
        <x:v>External BTC price</x:v>
      </x:c>
      <x:c r="B7" s="57" t="str">
        <x:v>Binance/OKX/Bybit/Coinbase last, bid/ask, aggTrades</x:v>
      </x:c>
      <x:c r="C7" s="57" t="str">
        <x:v>估算 BTC 是否高于 price_to_beat。</x:v>
      </x:c>
      <x:c r="D7" s="57" t="str">
        <x:v>100ms-1s</x:v>
      </x:c>
      <x:c r="E7" s="57" t="str">
        <x:v>tick/second</x:v>
      </x:c>
      <x:c r="F7" s="57" t="str">
        <x:v>CEX APIs</x:v>
      </x:c>
      <x:c r="G7" s="57" t="str">
        <x:v>时钟同步；交易所间价差。</x:v>
      </x:c>
      <x:c r="H7" s="57" t="str">
        <x:v>https://github.com/jueweijue/polymarket-range-collector</x:v>
      </x:c>
    </x:row>
    <x:row r="8">
      <x:c r="A8" s="57" t="str">
        <x:v>Perp data</x:v>
      </x:c>
      <x:c r="B8" s="57" t="str">
        <x:v>mark/index, funding, OI, liquidation</x:v>
      </x:c>
      <x:c r="C8" s="57" t="str">
        <x:v>短时冲击和情绪。</x:v>
      </x:c>
      <x:c r="D8" s="57" t="str">
        <x:v>1s-1m</x:v>
      </x:c>
      <x:c r="E8" s="57" t="str">
        <x:v>second/minute</x:v>
      </x:c>
      <x:c r="F8" s="57" t="str">
        <x:v>CEX perps APIs</x:v>
      </x:c>
      <x:c r="G8" s="57" t="str">
        <x:v>mark 与 last 区分。</x:v>
      </x:c>
      <x:c r="H8" s="57" t="str">
        <x:v>https://dune.com/blog/polymarket-fast-markets</x:v>
      </x:c>
    </x:row>
    <x:row r="9">
      <x:c r="A9" s="57" t="str">
        <x:v>Oracle staleness</x:v>
      </x:c>
      <x:c r="B9" s="57" t="str">
        <x:v>stream update time, age, value difference vs CEX</x:v>
      </x:c>
      <x:c r="C9" s="57" t="str">
        <x:v>末段 winner 判断。</x:v>
      </x:c>
      <x:c r="D9" s="57" t="str">
        <x:v>1s</x:v>
      </x:c>
      <x:c r="E9" s="57" t="str">
        <x:v>second</x:v>
      </x:c>
      <x:c r="F9" s="57" t="str">
        <x:v>Chainlink stream</x:v>
      </x:c>
      <x:c r="G9" s="57" t="str">
        <x:v>记录是否 stale；不要回填未来。</x:v>
      </x:c>
      <x:c r="H9" s="57" t="str">
        <x:v>https://polymarket.com/event/btc-updown-5m-1777017000</x:v>
      </x:c>
    </x:row>
    <x:row r="10">
      <x:c r="A10" s="57" t="str">
        <x:v>Fees / rebates</x:v>
      </x:c>
      <x:c r="B10" s="57" t="str">
        <x:v>taker fee, maker rebate, gas/bridge cost</x:v>
      </x:c>
      <x:c r="C10" s="57" t="str">
        <x:v>净 EV 计算。</x:v>
      </x:c>
      <x:c r="D10" s="57" t="str">
        <x:v>日级 + 交易级</x:v>
      </x:c>
      <x:c r="E10" s="57" t="str">
        <x:v>trade/day</x:v>
      </x:c>
      <x:c r="F10" s="57" t="str">
        <x:v>official fees + Dune fee tables</x:v>
      </x:c>
      <x:c r="G10" s="57" t="str">
        <x:v>回测必须使用当时费率。</x:v>
      </x:c>
      <x:c r="H10" s="57" t="str">
        <x:v>https://docs.polymarket.com/trading/fees
https://dune.com/blog/polymarket-fast-markets</x:v>
      </x:c>
    </x:row>
    <x:row r="11">
      <x:c r="A11" s="57" t="str">
        <x:v>Participant classification</x:v>
      </x:c>
      <x:c r="B11" s="57" t="str">
        <x:v>address trade count, active days, hour coverage</x:v>
      </x:c>
      <x:c r="C11" s="57" t="str">
        <x:v>识别 bot/casual/frequent traders。</x:v>
      </x:c>
      <x:c r="D11" s="57" t="str">
        <x:v>日级/周级</x:v>
      </x:c>
      <x:c r="E11" s="57" t="str">
        <x:v>address-level</x:v>
      </x:c>
      <x:c r="F11" s="57" t="str">
        <x:v>Dune/on-chain</x:v>
      </x:c>
      <x:c r="G11" s="57" t="str">
        <x:v>排除系统合约。</x:v>
      </x:c>
      <x:c r="H11" s="57" t="str">
        <x:v>https://dune.com/blog/polymarket-fast-markets</x:v>
      </x:c>
    </x:row>
    <x:row r="12">
      <x:c r="A12" s="57" t="str">
        <x:v>Crowding indicators</x:v>
      </x:c>
      <x:c r="B12" s="57" t="str">
        <x:v>repo stars, Discord/Telegram mentions, comments count</x:v>
      </x:c>
      <x:c r="C12" s="57" t="str">
        <x:v>估计策略扩散和拥挤度。</x:v>
      </x:c>
      <x:c r="D12" s="57" t="str">
        <x:v>日级</x:v>
      </x:c>
      <x:c r="E12" s="57" t="str">
        <x:v>source/day</x:v>
      </x:c>
      <x:c r="F12" s="57" t="str">
        <x:v>GitHub, Polymarket comments, HN, X</x:v>
      </x:c>
      <x:c r="G12" s="57" t="str">
        <x:v>噪音高，只作辅助。</x:v>
      </x:c>
      <x:c r="H12" s="57" t="str">
        <x:v>https://github.com/ThinkEnigmatic/polymarket-bot-arena
https://news.ycombinator.com/item?id=47204740</x:v>
      </x:c>
    </x:row>
    <x:row r="13">
      <x:c r="A13" s="57" t="str">
        <x:v>Outcome labels</x:v>
      </x:c>
      <x:c r="B13" s="57" t="str">
        <x:v>resolved outcome, payout, claim time</x:v>
      </x:c>
      <x:c r="C13" s="57" t="str">
        <x:v>监督学习标签与 PnL。</x:v>
      </x:c>
      <x:c r="D13" s="57" t="str">
        <x:v>每场</x:v>
      </x:c>
      <x:c r="E13" s="57" t="str">
        <x:v>event-level</x:v>
      </x:c>
      <x:c r="F13" s="57" t="str">
        <x:v>Polymarket/Gamma/Data</x:v>
      </x:c>
      <x:c r="G13" s="57" t="str">
        <x:v>避免 survivorship bias 和 closed market遗漏。</x:v>
      </x:c>
      <x:c r="H13" s="57" t="str">
        <x:v>https://docs.polymarket.com/market-data/fetching-markets</x:v>
      </x:c>
    </x:row>
    <x:row r="14">
      <x:c r="A14" s="57" t="str">
        <x:v>Backtest execution</x:v>
      </x:c>
      <x:c r="B14" s="57" t="str">
        <x:v>best executable price, queue assumption, partial fill</x:v>
      </x:c>
      <x:c r="C14" s="57" t="str">
        <x:v>从信号转实际 PnL。</x:v>
      </x:c>
      <x:c r="D14" s="57" t="str">
        <x:v>tick/second</x:v>
      </x:c>
      <x:c r="E14" s="57" t="str">
        <x:v>trade simulation</x:v>
      </x:c>
      <x:c r="F14" s="57" t="str">
        <x:v>orderbook snapshots</x:v>
      </x:c>
      <x:c r="G14" s="57" t="str">
        <x:v>必须加 slippage/fees/latency。</x:v>
      </x:c>
      <x:c r="H14" s="57" t="str">
        <x:v>https://docs.polymarket.com/trading/orderbook</x:v>
      </x:c>
    </x:row>
    <x:row r="15">
      <x:c r="A15" s="57" t="str">
        <x:v>Risk logs</x:v>
      </x:c>
      <x:c r="B15" s="57" t="str">
        <x:v>max drawdown, reject orders, API errors, clock drift</x:v>
      </x:c>
      <x:c r="C15" s="57" t="str">
        <x:v>实盘监控和 kill switch。</x:v>
      </x:c>
      <x:c r="D15" s="57" t="str">
        <x:v>实时</x:v>
      </x:c>
      <x:c r="E15" s="57" t="str">
        <x:v>event/order</x:v>
      </x:c>
      <x:c r="F15" s="57" t="str">
        <x:v>internal logs</x:v>
      </x:c>
      <x:c r="G15" s="57" t="str">
        <x:v>任何 API 错误都不能静默忽略。</x:v>
      </x:c>
      <x:c r="H15" s="57" t="str">
        <x:v>https://github.com/warbot-ai/Polymarket-BTC-5-Minute-Trading-Bot</x:v>
      </x:c>
    </x:row>
  </x:sheetData>
  <x:pageMargins left="0.7" right="0.7" top="0.75" bottom="0.75" header="0.3" footer="0.3"/>
  <x:tableParts count="1">
    <x:tablePart xmlns:r="http://schemas.openxmlformats.org/officeDocument/2006/relationships" r:id="R26ba0981a87d4d9e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24" hidden="0" customWidth="1"/>
    <x:col min="4" max="4" width="34" hidden="0" customWidth="1"/>
    <x:col min="5" max="5" width="38" hidden="0" customWidth="1"/>
    <x:col min="6" max="6" width="12" hidden="0" customWidth="1"/>
    <x:col min="7" max="7" width="44" hidden="0" customWidth="1"/>
  </x:cols>
  <x:sheetData>
    <x:row r="1" ht="28" customHeight="1">
      <x:c r="A1" s="56" t="str">
        <x:v>风险</x:v>
      </x:c>
      <x:c r="B1" s="56" t="str">
        <x:v>触发方式</x:v>
      </x:c>
      <x:c r="C1" s="56" t="str">
        <x:v>影响门派</x:v>
      </x:c>
      <x:c r="D1" s="56" t="str">
        <x:v>监控指标</x:v>
      </x:c>
      <x:c r="E1" s="56" t="str">
        <x:v>缓解办法</x:v>
      </x:c>
      <x:c r="F1" s="56" t="str">
        <x:v>Severity 1-5</x:v>
      </x:c>
      <x:c r="G1" s="56" t="str">
        <x:v>Source URL</x:v>
      </x:c>
    </x:row>
    <x:row r="2">
      <x:c r="A2" s="57" t="str">
        <x:v>Chainlink 与 CEX 价格不同步</x:v>
      </x:c>
      <x:c r="B2" s="57" t="str">
        <x:v>末秒 CEX 已变但 Chainlink stream 未更新或更新时间不同。</x:v>
      </x:c>
      <x:c r="C2" s="57" t="str">
        <x:v>Oracle/sniper/动量</x:v>
      </x:c>
      <x:c r="D2" s="57" t="str">
        <x:v>oracle age, delta_vs_cex, last update time</x:v>
      </x:c>
      <x:c r="E2" s="57" t="str">
        <x:v>用官方源建标签；交易前估 staleness 风险。</x:v>
      </x:c>
      <x:c r="F2" s="57" t="n">
        <x:v>5</x:v>
      </x:c>
      <x:c r="G2" s="57" t="str">
        <x:v>https://polymarket.com/event/btc-updown-5m-1777017000</x:v>
      </x:c>
    </x:row>
    <x:row r="3">
      <x:c r="A3" s="57" t="str">
        <x:v>手续费吞噬 edge</x:v>
      </x:c>
      <x:c r="B3" s="57" t="str">
        <x:v>短线胜率略高但平均盈利小。</x:v>
      </x:c>
      <x:c r="C3" s="57" t="str">
        <x:v>所有 taker 策略</x:v>
      </x:c>
      <x:c r="D3" s="57" t="str">
        <x:v>gross EV vs fee+spread+slippage</x:v>
      </x:c>
      <x:c r="E3" s="57" t="str">
        <x:v>只看净 EV；分 maker/taker 回测。</x:v>
      </x:c>
      <x:c r="F3" s="57" t="n">
        <x:v>5</x:v>
      </x:c>
      <x:c r="G3" s="57" t="str">
        <x:v>https://docs.polymarket.com/trading/fees</x:v>
      </x:c>
    </x:row>
    <x:row r="4">
      <x:c r="A4" s="57" t="str">
        <x:v>逆选择</x:v>
      </x:c>
      <x:c r="B4" s="57" t="str">
        <x:v>做市挂单被信息优势 trader 吃掉。</x:v>
      </x:c>
      <x:c r="C4" s="57" t="str">
        <x:v>maker/rebate</x:v>
      </x:c>
      <x:c r="D4" s="57" t="str">
        <x:v>adverse selection loss, fill-to-markout</x:v>
      </x:c>
      <x:c r="E4" s="57" t="str">
        <x:v>动态加宽价差；尾段撤深度。</x:v>
      </x:c>
      <x:c r="F4" s="57" t="n">
        <x:v>5</x:v>
      </x:c>
      <x:c r="G4" s="57" t="str">
        <x:v>https://dune.com/blog/polymarket-fast-markets</x:v>
      </x:c>
    </x:row>
    <x:row r="5">
      <x:c r="A5" s="57" t="str">
        <x:v>盘口瞬间消失</x:v>
      </x:c>
      <x:c r="B5" s="57" t="str">
        <x:v>临近结算 maker 撤单，taker 大单滑点爆炸。</x:v>
      </x:c>
      <x:c r="C5" s="57" t="str">
        <x:v>sniper/执行</x:v>
      </x:c>
      <x:c r="D5" s="57" t="str">
        <x:v>depth_to_1%, depth decay, failed FOK</x:v>
      </x:c>
      <x:c r="E5" s="57" t="str">
        <x:v>限制每场最大下单；用 FOK/限价。</x:v>
      </x:c>
      <x:c r="F5" s="57" t="n">
        <x:v>5</x:v>
      </x:c>
      <x:c r="G5" s="57" t="str">
        <x:v>https://docs.polymarket.com/trading/orderbook</x:v>
      </x:c>
    </x:row>
    <x:row r="6">
      <x:c r="A6" s="57" t="str">
        <x:v>数据泄漏 / lookahead</x:v>
      </x:c>
      <x:c r="B6" s="57" t="str">
        <x:v>用最终 Chainlink/收盘价训练或回测。</x:v>
      </x:c>
      <x:c r="C6" s="57" t="str">
        <x:v>所有模型</x:v>
      </x:c>
      <x:c r="D6" s="57" t="str">
        <x:v>feature timestamp &lt;= decision timestamp</x:v>
      </x:c>
      <x:c r="E6" s="57" t="str">
        <x:v>严格 point-in-time 数据。</x:v>
      </x:c>
      <x:c r="F6" s="57" t="n">
        <x:v>5</x:v>
      </x:c>
      <x:c r="G6" s="57" t="str">
        <x:v>https://github.com/jueweijue/polymarket-range-collector</x:v>
      </x:c>
    </x:row>
    <x:row r="7">
      <x:c r="A7" s="57" t="str">
        <x:v>成交方向误判</x:v>
      </x:c>
      <x:c r="B7" s="57" t="str">
        <x:v>公开 feed 推断 side 不准。</x:v>
      </x:c>
      <x:c r="C7" s="57" t="str">
        <x:v>order-flow 模型</x:v>
      </x:c>
      <x:c r="D7" s="57" t="str">
        <x:v>feed side vs on-chain OrderFilled comparison</x:v>
      </x:c>
      <x:c r="E7" s="57" t="str">
        <x:v>使用链上 join 或降低 side 权重。</x:v>
      </x:c>
      <x:c r="F7" s="57" t="n">
        <x:v>4</x:v>
      </x:c>
      <x:c r="G7" s="57" t="str">
        <x:v>https://arxiv.org/abs/2604.24366</x:v>
      </x:c>
    </x:row>
    <x:row r="8">
      <x:c r="A8" s="57" t="str">
        <x:v>样本非平稳</x:v>
      </x:c>
      <x:c r="B8" s="57" t="str">
        <x:v>规则、费率、参与者、波动 regime 改变。</x:v>
      </x:c>
      <x:c r="C8" s="57" t="str">
        <x:v>ML/RL/统计套利</x:v>
      </x:c>
      <x:c r="D8" s="57" t="str">
        <x:v>rolling Sharpe, hit rate by month</x:v>
      </x:c>
      <x:c r="E8" s="57" t="str">
        <x:v>滚动再训练；小仓试运行。</x:v>
      </x:c>
      <x:c r="F8" s="57" t="n">
        <x:v>4</x:v>
      </x:c>
      <x:c r="G8" s="57" t="str">
        <x:v>https://dune.com/blog/polymarket-fast-markets</x:v>
      </x:c>
    </x:row>
    <x:row r="9">
      <x:c r="A9" s="57" t="str">
        <x:v>API rate limit / 延迟</x:v>
      </x:c>
      <x:c r="B9" s="57" t="str">
        <x:v>市场发现或下单慢于竞争者。</x:v>
      </x:c>
      <x:c r="C9" s="57" t="str">
        <x:v>sniper/开盘/做市</x:v>
      </x:c>
      <x:c r="D9" s="57" t="str">
        <x:v>API error, latency p50/p99, clock drift</x:v>
      </x:c>
      <x:c r="E9" s="57" t="str">
        <x:v>WebSocket 优先；重试和 kill switch。</x:v>
      </x:c>
      <x:c r="F9" s="57" t="n">
        <x:v>4</x:v>
      </x:c>
      <x:c r="G9" s="57" t="str">
        <x:v>https://docs.polymarket.com/trading/orderbook</x:v>
      </x:c>
    </x:row>
    <x:row r="10">
      <x:c r="A10" s="57" t="str">
        <x:v>过度拥挤</x:v>
      </x:c>
      <x:c r="B10" s="57" t="str">
        <x:v>热门开源策略传播后收益衰减。</x:v>
      </x:c>
      <x:c r="C10" s="57" t="str">
        <x:v>momentum/meanrev/sniper</x:v>
      </x:c>
      <x:c r="D10" s="57" t="str">
        <x:v>repo mentions, spread compression, pnl decay</x:v>
      </x:c>
      <x:c r="E10" s="57" t="str">
        <x:v>监控 alpha decay；保留 no-trade。</x:v>
      </x:c>
      <x:c r="F10" s="57" t="n">
        <x:v>4</x:v>
      </x:c>
      <x:c r="G10" s="57" t="str">
        <x:v>https://github.com/ThinkEnigmatic/polymarket-bot-arena</x:v>
      </x:c>
    </x:row>
    <x:row r="11">
      <x:c r="A11" s="57" t="str">
        <x:v>自我冲击</x:v>
      </x:c>
      <x:c r="B11" s="57" t="str">
        <x:v>资金太大吃掉自己的 edge。</x:v>
      </x:c>
      <x:c r="C11" s="57" t="str">
        <x:v>大资金/扫单</x:v>
      </x:c>
      <x:c r="D11" s="57" t="str">
        <x:v>slippage per order, book depth</x:v>
      </x:c>
      <x:c r="E11" s="57" t="str">
        <x:v>按 depth 分层 sizing；分散场次。</x:v>
      </x:c>
      <x:c r="F11" s="57" t="n">
        <x:v>4</x:v>
      </x:c>
      <x:c r="G11" s="57" t="str">
        <x:v>https://docs.polymarket.com/trading/orderbook</x:v>
      </x:c>
    </x:row>
    <x:row r="12">
      <x:c r="A12" s="57" t="str">
        <x:v>监管/地区限制</x:v>
      </x:c>
      <x:c r="B12" s="57" t="str">
        <x:v>平台限制、KYC、市场下架。</x:v>
      </x:c>
      <x:c r="C12" s="57" t="str">
        <x:v>所有策略</x:v>
      </x:c>
      <x:c r="D12" s="57" t="str">
        <x:v>eligibility, restricted flag, policy news</x:v>
      </x:c>
      <x:c r="E12" s="57" t="str">
        <x:v>合规审查；不要绕过地区限制。</x:v>
      </x:c>
      <x:c r="F12" s="57" t="n">
        <x:v>5</x:v>
      </x:c>
      <x:c r="G12" s="57" t="str">
        <x:v>https://www.pewresearch.org/short-reads/2026/05/27/trading-volume-on-prediction-markets-has-soared-in-recent-months/</x:v>
      </x:c>
    </x:row>
    <x:row r="13">
      <x:c r="A13" s="57" t="str">
        <x:v>洗量/异常成交污染</x:v>
      </x:c>
      <x:c r="B13" s="57" t="str">
        <x:v>自成交或异常 wallet 扰动统计。</x:v>
      </x:c>
      <x:c r="C13" s="57" t="str">
        <x:v>研究/回测</x:v>
      </x:c>
      <x:c r="D13" s="57" t="str">
        <x:v>self-counterparty proxy, outlier addresses</x:v>
      </x:c>
      <x:c r="E13" s="57" t="str">
        <x:v>异常地址降权；复核链上。</x:v>
      </x:c>
      <x:c r="F13" s="57" t="n">
        <x:v>3</x:v>
      </x:c>
      <x:c r="G13" s="57" t="str">
        <x:v>https://arxiv.org/abs/2604.24366</x:v>
      </x:c>
    </x:row>
    <x:row r="14">
      <x:c r="A14" s="57" t="str">
        <x:v>论坛/教程误导</x:v>
      </x:c>
      <x:c r="B14" s="57" t="str">
        <x:v>收益截图、马丁格尔、无费用回测。</x:v>
      </x:c>
      <x:c r="C14" s="57" t="str">
        <x:v>新手</x:v>
      </x:c>
      <x:c r="D14" s="57" t="str">
        <x:v>source quality, code reproducibility</x:v>
      </x:c>
      <x:c r="E14" s="57" t="str">
        <x:v>只提取思路；独立复现。</x:v>
      </x:c>
      <x:c r="F14" s="57" t="n">
        <x:v>3</x:v>
      </x:c>
      <x:c r="G14" s="57" t="str">
        <x:v>https://gist.github.com/Archetapp/7680adabc48f812a561ca79d73cbac69</x:v>
      </x:c>
    </x:row>
    <x:row r="15">
      <x:c r="A15" s="57" t="str">
        <x:v>跨平台规则差异</x:v>
      </x:c>
      <x:c r="B15" s="57" t="str">
        <x:v>Kalshi/Polymarket 合约标题相似但结算不同。</x:v>
      </x:c>
      <x:c r="C15" s="57" t="str">
        <x:v>跨平台套利</x:v>
      </x:c>
      <x:c r="D15" s="57" t="str">
        <x:v>rule text diff, source diff</x:v>
      </x:c>
      <x:c r="E15" s="57" t="str">
        <x:v>逐合约规则映射，不做名称匹配套利。</x:v>
      </x:c>
      <x:c r="F15" s="57" t="n">
        <x:v>4</x:v>
      </x:c>
      <x:c r="G15" s="57" t="str">
        <x:v>https://www.pewresearch.org/short-reads/2026/05/27/trading-volume-on-prediction-markets-has-soared-in-recent-months/</x:v>
      </x:c>
    </x:row>
    <x:row r="16">
      <x:c r="A16" s="57" t="str">
        <x:v>AI Agent 幻觉</x:v>
      </x:c>
      <x:c r="B16" s="57" t="str">
        <x:v>LLM 输出不符合盘口/规则的交易建议。</x:v>
      </x:c>
      <x:c r="C16" s="57" t="str">
        <x:v>AI/LLM</x:v>
      </x:c>
      <x:c r="D16" s="57" t="str">
        <x:v>invalid action rate, latency, confidence calibration</x:v>
      </x:c>
      <x:c r="E16" s="57" t="str">
        <x:v>LLM 仅做辅助，执行层硬约束。</x:v>
      </x:c>
      <x:c r="F16" s="57" t="n">
        <x:v>3</x:v>
      </x:c>
      <x:c r="G16" s="57" t="str">
        <x:v>https://arxiv.org/abs/2604.14199</x:v>
      </x:c>
    </x:row>
  </x:sheetData>
  <x:conditionalFormatting sqref="F2:F16">
    <x:cfRule type="colorScale" priority="1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bfd011e65494191"/>
  </x:tableParts>
</x:worksheet>
</file>