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8.xml" ContentType="application/vnd.openxmlformats-officedocument.spreadsheetml.table+xml"/>
  <Override PartName="/xl/worksheets/sheet15.xml" ContentType="application/vnd.openxmlformats-officedocument.spreadsheetml.worksheet+xml"/>
  <Override PartName="/xl/tables/table9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8959882c0e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Executive_Summary" sheetId="1" r:id="R42037b79c2bb49d4"/>
    <x:sheet xmlns:r="http://schemas.openxmlformats.org/officeDocument/2006/relationships" name="01_Method_Map" sheetId="2" r:id="R381c45a23b504db1"/>
    <x:sheet xmlns:r="http://schemas.openxmlformats.org/officeDocument/2006/relationships" name="02_Game_Features" sheetId="3" r:id="Rfb64213adf1e40d3"/>
    <x:sheet xmlns:r="http://schemas.openxmlformats.org/officeDocument/2006/relationships" name="03_Paper_Library" sheetId="4" r:id="R931a75171fc54a49"/>
    <x:sheet xmlns:r="http://schemas.openxmlformats.org/officeDocument/2006/relationships" name="04_Model_Blueprints" sheetId="5" r:id="R6a777f1825894dca"/>
    <x:sheet xmlns:r="http://schemas.openxmlformats.org/officeDocument/2006/relationships" name="05_Experiment_Plan" sheetId="6" r:id="R91da5ee0df594129"/>
    <x:sheet xmlns:r="http://schemas.openxmlformats.org/officeDocument/2006/relationships" name="06_Source_Index" sheetId="7" r:id="R3094bc7a9cf04e53"/>
    <x:sheet xmlns:r="http://schemas.openxmlformats.org/officeDocument/2006/relationships" name="07_Poly_Strategy_Map" sheetId="8" r:id="R21b090a5b025467e"/>
    <x:sheet xmlns:r="http://schemas.openxmlformats.org/officeDocument/2006/relationships" name="08_Bet_Calculator" sheetId="9" r:id="R9cd1980fd37c4777"/>
    <x:sheet xmlns:r="http://schemas.openxmlformats.org/officeDocument/2006/relationships" name="09_High_Conviction" sheetId="10" r:id="Rd538122e24564cad"/>
    <x:sheet xmlns:r="http://schemas.openxmlformats.org/officeDocument/2006/relationships" name="10_Odds_Kelly" sheetId="11" r:id="Rb57d744fe2d24e42"/>
    <x:sheet xmlns:r="http://schemas.openxmlformats.org/officeDocument/2006/relationships" name="11_Event_State" sheetId="12" r:id="R4d9904fe7a9b4e24"/>
    <x:sheet xmlns:r="http://schemas.openxmlformats.org/officeDocument/2006/relationships" name="12_Backtest_Log" sheetId="13" r:id="R028ab2d7e67f4460"/>
    <x:sheet xmlns:r="http://schemas.openxmlformats.org/officeDocument/2006/relationships" name="13_Poly_Sources" sheetId="14" r:id="R62e2a64b44fb4fdb"/>
    <x:sheet xmlns:r="http://schemas.openxmlformats.org/officeDocument/2006/relationships" name="14_PM_Literature" sheetId="15" r:id="Rda60c6e3bc58412c"/>
    <x:sheet xmlns:r="http://schemas.openxmlformats.org/officeDocument/2006/relationships" name="15_Settlement_Risk" sheetId="16" r:id="R179a4cb69bc1451f"/>
    <x:sheet xmlns:r="http://schemas.openxmlformats.org/officeDocument/2006/relationships" name="16_Whale_Herding" sheetId="17" r:id="R9369b4e38b3e40a0"/>
    <x:sheet xmlns:r="http://schemas.openxmlformats.org/officeDocument/2006/relationships" name="17_Lit_Coverage" sheetId="18" r:id="Rea29e13356fa45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"/>
    <x:numFmt numFmtId="201" formatCode="0"/>
    <x:numFmt numFmtId="202" formatCode="0.0%"/>
    <x:numFmt numFmtId="203" formatCode="0.000"/>
    <x:numFmt numFmtId="204" formatCode="$#,##0;[Red]($#,##0);-"/>
    <x:numFmt numFmtId="205" formatCode="0.00x"/>
    <x:numFmt numFmtId="206" formatCode="$#,##0.00;[Red]($#,##0.00);-"/>
    <x:numFmt numFmtId="207" formatCode="$0.000;[Red]($0.000);-"/>
    <x:numFmt numFmtId="208" formatCode="0.00"/>
    <x:numFmt numFmtId="209" formatCode="0%"/>
    <x:numFmt numFmtId="210" formatCode="+0.0%;[Red]-0.0%;-"/>
  </x:numFmts>
  <x:fonts count="1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1F3A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9"/>
      <x:color rgb="FF0B1F3A"/>
      <x:name val="Carlito"/>
    </x:font>
    <x:font>
      <x:sz val="10"/>
      <x:color rgb="FF0B1F3A"/>
      <x:name val="Carlito"/>
    </x:font>
    <x:font>
      <x:b/>
      <x:sz val="9"/>
      <x:color rgb="FF1F1F1F"/>
      <x:name val="Carlito"/>
    </x:font>
    <x:font>
      <x:b/>
      <x:sz val="10"/>
      <x:color rgb="FF0B1F3A"/>
      <x:name val="Carlito"/>
    </x:font>
    <x:font>
      <x:i/>
      <x:sz val="9"/>
      <x:color rgb="FF0B1F3A"/>
      <x:name val="Carlito"/>
    </x:font>
    <x:font>
      <x:sz val="10"/>
      <x:color rgb="FF0000FF"/>
      <x:name val="Carlito"/>
    </x:font>
    <x:font>
      <x:i/>
      <x:sz val="8"/>
      <x:color rgb="FF666666"/>
      <x:name val="Carlito"/>
    </x:font>
    <x:font>
      <x:sz val="10"/>
      <x:color rgb="FF000000"/>
      <x:name val="Carlito"/>
    </x:font>
    <x:font>
      <x:sz val="10"/>
      <x:color rgb="FF008000"/>
      <x:name val="Carlito"/>
    </x:font>
    <x:font>
      <x:b/>
      <x:sz val="10"/>
      <x:color rgb="FF000000"/>
      <x:name val="Carlito"/>
    </x:font>
    <x:font>
      <x:b/>
      <x:sz val="10"/>
      <x:color rgb="FF9C0006"/>
      <x:name val="Carlito"/>
    </x:font>
    <x:font>
      <x:b/>
      <x:sz val="10"/>
      <x:color rgb="FF0000FF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3F7FB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8FBFF"/>
      </x:patternFill>
    </x:fill>
    <x:fill>
      <x:patternFill patternType="solid">
        <x:fgColor rgb="FF0B1F3A"/>
      </x:patternFill>
    </x:fill>
    <x:fill>
      <x:patternFill patternType="solid">
        <x:fgColor rgb="FFF3F7FB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0B1F3A"/>
      </x:patternFill>
    </x:fill>
    <x:fill>
      <x:patternFill patternType="solid">
        <x:fgColor rgb="FFF3F7FB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0">
    <x:border/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bottom style="hair">
        <x:color rgb="FFD9E1F2"/>
      </x:bottom>
    </x:border>
    <x:border>
      <x:bottom style="hair">
        <x:color rgb="FFD9E1F2"/>
      </x:bottom>
    </x:border>
  </x:borders>
  <x:cellStyleXfs count="1">
    <x:xf numFmtId="0" fontId="0" fillId="0" borderId="0"/>
  </x:cellStyleXfs>
  <x:cellXfs count="3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5" xfId="0" applyNumberFormat="1" applyFont="1" applyFill="1" applyBorder="1"/>
    <x:xf numFmtId="0" fontId="2" fillId="4" borderId="6" xfId="0" applyNumberFormat="1" applyFont="1" applyFill="1" applyBorder="1"/>
    <x:xf numFmtId="0" fontId="2" fillId="4" borderId="7" xfId="0" applyNumberFormat="1" applyFont="1" applyFill="1" applyBorder="1"/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5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6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2" fillId="4" borderId="8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4" xfId="0" applyNumberFormat="1" applyFont="1" applyFill="1" applyBorder="1" applyAlignment="1">
      <x:alignment horizontal="center" wrapText="1"/>
    </x:xf>
    <x:xf numFmtId="0" fontId="2" fillId="4" borderId="5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6" xfId="0" applyNumberFormat="1" applyFont="1" applyFill="1" applyBorder="1" applyAlignment="1">
      <x:alignment horizontal="center" wrapText="1"/>
    </x:xf>
    <x:xf numFmtId="0" fontId="2" fillId="4" borderId="7" xfId="0" applyNumberFormat="1" applyFont="1" applyFill="1" applyBorder="1" applyAlignment="1">
      <x:alignment horizontal="center" wrapText="1"/>
    </x:xf>
    <x:xf numFmtId="0" fontId="2" fillId="4" borderId="8" xfId="0" applyNumberFormat="1" applyFont="1" applyFill="1" applyBorder="1" applyAlignment="1">
      <x:alignment horizontal="center" wrapText="1"/>
    </x:xf>
    <x:xf numFmtId="0" fontId="2" fillId="4" borderId="9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6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 applyAlignment="1">
      <x:alignment horizontal="center" vertical="center"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17" xfId="0" applyNumberFormat="1" applyFont="1" applyFill="1" applyBorder="1"/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17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horizontal="center" wrapText="1"/>
    </x:xf>
    <x:xf numFmtId="0" fontId="2" fillId="4" borderId="11" xfId="0" applyNumberFormat="1" applyFont="1" applyFill="1" applyBorder="1" applyAlignment="1">
      <x:alignment horizontal="center" wrapText="1"/>
    </x:xf>
    <x:xf numFmtId="0" fontId="2" fillId="4" borderId="12" xfId="0" applyNumberFormat="1" applyFont="1" applyFill="1" applyBorder="1" applyAlignment="1">
      <x:alignment horizontal="center" wrapText="1"/>
    </x:xf>
    <x:xf numFmtId="0" fontId="2" fillId="4" borderId="13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4" xfId="0" applyNumberFormat="1" applyFont="1" applyFill="1" applyBorder="1" applyAlignment="1">
      <x:alignment horizontal="center" wrapText="1"/>
    </x:xf>
    <x:xf numFmtId="0" fontId="2" fillId="4" borderId="15" xfId="0" applyNumberFormat="1" applyFont="1" applyFill="1" applyBorder="1" applyAlignment="1">
      <x:alignment horizontal="center" wrapText="1"/>
    </x:xf>
    <x:xf numFmtId="0" fontId="2" fillId="4" borderId="16" xfId="0" applyNumberFormat="1" applyFont="1" applyFill="1" applyBorder="1" applyAlignment="1">
      <x:alignment horizontal="center" wrapText="1"/>
    </x:xf>
    <x:xf numFmtId="0" fontId="2" fillId="4" borderId="17" xfId="0" applyNumberFormat="1" applyFont="1" applyFill="1" applyBorder="1" applyAlignment="1">
      <x:alignment horizontal="center" wrapText="1"/>
    </x:xf>
    <x:xf numFmtId="0" fontId="2" fillId="4" borderId="10" xfId="0" applyNumberFormat="1" applyFont="1" applyFill="1" applyBorder="1" applyAlignment="1">
      <x:alignment horizontal="center" vertical="center" wrapText="1"/>
    </x:xf>
    <x:xf numFmtId="0" fontId="2" fillId="4" borderId="11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  <x:xf numFmtId="0" fontId="2" fillId="4" borderId="13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2" fillId="4" borderId="16" xfId="0" applyNumberFormat="1" applyFont="1" applyFill="1" applyBorder="1" applyAlignment="1">
      <x:alignment horizontal="center" vertical="center" wrapText="1"/>
    </x:xf>
    <x:xf numFmtId="0" fontId="2" fillId="4" borderId="1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6" fillId="0" borderId="19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200" fontId="5" fillId="0" borderId="0" xfId="0" applyNumberFormat="1" applyFont="1" applyFill="1" applyBorder="1" applyAlignment="1">
      <x:alignment horizontal="center" vertical="top" wrapText="1"/>
    </x:xf>
    <x:xf numFmtId="200" fontId="5" fillId="0" borderId="1" xfId="0" applyNumberFormat="1" applyFont="1" applyFill="1" applyBorder="1" applyAlignment="1">
      <x:alignment horizontal="center" vertical="top" wrapText="1"/>
    </x:xf>
    <x:xf numFmtId="201" fontId="5" fillId="0" borderId="0" xfId="0" applyNumberFormat="1" applyFont="1" applyFill="1" applyBorder="1" applyAlignment="1">
      <x:alignment horizontal="center" vertical="top" wrapText="1"/>
    </x:xf>
    <x:xf numFmtId="201" fontId="5" fillId="0" borderId="1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201" fontId="5" fillId="7" borderId="0" xfId="0" applyNumberFormat="1" applyFont="1" applyFill="1" applyBorder="1" applyAlignment="1">
      <x:alignment horizontal="center" vertical="top" wrapText="1"/>
    </x:xf>
    <x:xf numFmtId="200" fontId="5" fillId="7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201" fontId="5" fillId="7" borderId="1" xfId="0" applyNumberFormat="1" applyFont="1" applyFill="1" applyBorder="1" applyAlignment="1">
      <x:alignment horizontal="center" vertical="top" wrapText="1"/>
    </x:xf>
    <x:xf numFmtId="200" fontId="5" fillId="7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 vertical="center"/>
    </x:xf>
    <x:xf numFmtId="0" fontId="2" fillId="9" borderId="0" xfId="0" applyNumberFormat="1" applyFont="1" applyFill="1" applyBorder="1" applyAlignment="1">
      <x:alignment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2" fillId="10" borderId="3" xfId="0" applyNumberFormat="1" applyFont="1" applyFill="1" applyBorder="1" applyAlignment="1">
      <x:alignment horizontal="center" vertic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2" fillId="10" borderId="6" xfId="0" applyNumberFormat="1" applyFont="1" applyFill="1" applyBorder="1" applyAlignment="1">
      <x:alignment horizontal="center" vertical="center" wrapText="1"/>
    </x:xf>
    <x:xf numFmtId="0" fontId="2" fillId="10" borderId="7" xfId="0" applyNumberFormat="1" applyFont="1" applyFill="1" applyBorder="1" applyAlignment="1">
      <x:alignment horizontal="center" vertical="center" wrapText="1"/>
    </x:xf>
    <x:xf numFmtId="0" fontId="2" fillId="10" borderId="8" xfId="0" applyNumberFormat="1" applyFont="1" applyFill="1" applyBorder="1" applyAlignment="1">
      <x:alignment horizontal="center" vertical="center" wrapText="1"/>
    </x:xf>
    <x:xf numFmtId="0" fontId="2" fillId="10" borderId="9" xfId="0" applyNumberFormat="1" applyFont="1" applyFill="1" applyBorder="1" applyAlignment="1">
      <x:alignment horizontal="center" vertical="center" wrapText="1"/>
    </x:xf>
    <x:xf numFmtId="0" fontId="2" fillId="10" xfId="0" applyNumberFormat="1" applyFont="1" applyFill="1" applyBorder="0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left" vertical="center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8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3" fillId="9" borderId="0" xfId="0" applyNumberFormat="1" applyFont="1" applyFill="1" applyBorder="1" applyAlignment="1">
      <x:alignment horizontal="left" vertical="center"/>
    </x:xf>
    <x:xf numFmtId="0" fontId="7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horizontal="left" vertical="center"/>
    </x:xf>
    <x:xf numFmtId="0" fontId="9" fillId="9" borderId="0" xfId="0" applyNumberFormat="1" applyFont="1" applyFill="1" applyBorder="1" applyAlignment="1">
      <x:alignment horizontal="left" vertical="center" wrapText="1"/>
    </x:xf>
    <x:xf numFmtId="0" fontId="7" fillId="11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horizontal="left" vertical="center" wrapText="1"/>
    </x:xf>
    <x:xf numFmtId="0" fontId="8" fillId="5" borderId="0" xfId="0" applyNumberFormat="1" applyFont="1" applyFill="1" applyBorder="1" applyAlignment="1">
      <x:alignment horizontal="left" vertical="center"/>
    </x:xf>
    <x:xf numFmtId="0" fontId="8" fillId="5" borderId="0" xfId="0" applyNumberFormat="1" applyFont="1" applyFill="1" applyBorder="1" applyAlignment="1">
      <x:alignment horizontal="left" vertical="center" wrapText="1"/>
    </x:xf>
    <x:xf numFmtId="0" fontId="8" fillId="5" borderId="0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top" wrapText="1"/>
    </x:xf>
    <x:xf numFmtId="202" fontId="11" fillId="13" borderId="0" xfId="0" applyNumberFormat="1" applyFont="1" applyFill="1" applyBorder="1" applyAlignment="1">
      <x:alignment vertical="center" wrapText="1"/>
    </x:xf>
    <x:xf numFmtId="203" fontId="11" fillId="13" borderId="0" xfId="0" applyNumberFormat="1" applyFont="1" applyFill="1" applyBorder="1" applyAlignment="1">
      <x:alignment vertical="center" wrapText="1"/>
    </x:xf>
    <x:xf numFmtId="204" fontId="11" fillId="1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center" wrapText="1"/>
    </x:xf>
    <x:xf numFmtId="202" fontId="13" fillId="0" borderId="0" xfId="0" applyNumberFormat="1" applyFont="1" applyFill="1" applyBorder="1" applyAlignment="1">
      <x:alignment vertical="center" wrapText="1"/>
    </x:xf>
    <x:xf numFmtId="203" fontId="13" fillId="0" borderId="0" xfId="0" applyNumberFormat="1" applyFont="1" applyFill="1" applyBorder="1" applyAlignment="1">
      <x:alignment vertical="center" wrapText="1"/>
    </x:xf>
    <x:xf numFmtId="205" fontId="13" fillId="0" borderId="0" xfId="0" applyNumberFormat="1" applyFont="1" applyFill="1" applyBorder="1" applyAlignment="1">
      <x:alignment vertical="center" wrapText="1"/>
    </x:xf>
    <x:xf numFmtId="206" fontId="13" fillId="0" borderId="0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vertical="center" wrapText="1"/>
    </x:xf>
    <x:xf numFmtId="0" fontId="9" fillId="14" borderId="0" xfId="0" applyNumberFormat="1" applyFont="1" applyFill="1" applyBorder="1" applyAlignment="1">
      <x:alignment vertical="center" wrapText="1"/>
    </x:xf>
    <x:xf numFmtId="207" fontId="13" fillId="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202" fontId="14" fillId="0" borderId="0" xfId="0" applyNumberFormat="1" applyFont="1" applyFill="1" applyBorder="1" applyAlignment="1">
      <x:alignment vertical="center" wrapText="1"/>
    </x:xf>
    <x:xf numFmtId="201" fontId="13" fillId="0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206" fontId="13" fillId="11" borderId="0" xfId="0" applyNumberFormat="1" applyFont="1" applyFill="1" applyBorder="1" applyAlignment="1">
      <x:alignment vertical="center" wrapText="1"/>
    </x:xf>
    <x:xf numFmtId="206" fontId="3" fillId="11" borderId="0" xfId="0" applyNumberFormat="1" applyFont="1" applyFill="1" applyBorder="1" applyAlignment="1">
      <x:alignment vertical="center" wrapText="1"/>
    </x:xf>
    <x:xf numFmtId="206" fontId="3" fillId="11" borderId="0" xfId="0" applyNumberFormat="1" applyFont="1" applyFill="1" applyBorder="1" applyAlignment="1">
      <x:alignment horizontal="left" vertical="center" wrapText="1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208" fontId="13" fillId="0" borderId="0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206" fontId="11" fillId="13" borderId="0" xfId="0" applyNumberFormat="1" applyFont="1" applyFill="1" applyBorder="1" applyAlignment="1">
      <x:alignment vertical="center" wrapText="1"/>
    </x:xf>
    <x:xf numFmtId="200" fontId="13" fillId="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horizontal="left" vertical="center" wrapText="1"/>
    </x:xf>
    <x:xf numFmtId="0" fontId="9" fillId="10" borderId="0" xfId="0" applyNumberFormat="1" applyFont="1" applyFill="1" applyBorder="1" applyAlignment="1">
      <x:alignment horizontal="left" vertical="center" wrapText="1"/>
    </x:xf>
    <x:xf numFmtId="206" fontId="15" fillId="11" borderId="0" xfId="0" applyNumberFormat="1" applyFont="1" applyFill="1" applyBorder="1" applyAlignment="1">
      <x:alignment horizontal="left" vertical="center" wrapText="1"/>
    </x:xf>
    <x:xf numFmtId="0" fontId="5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horizontal="left"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horizontal="center" vertical="top" wrapText="1"/>
    </x:xf>
    <x:xf numFmtId="0" fontId="2" fillId="4" xfId="0" applyNumberFormat="1" applyFont="1" applyFill="1" applyBorder="0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left"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206" fontId="13" fillId="5" borderId="0" xfId="0" applyNumberFormat="1" applyFont="1" applyFill="1" applyBorder="1" applyAlignment="1">
      <x:alignment vertical="center" wrapText="1"/>
    </x:xf>
    <x:xf numFmtId="206" fontId="3" fillId="5" borderId="0" xfId="0" applyNumberFormat="1" applyFont="1" applyFill="1" applyBorder="1" applyAlignment="1">
      <x:alignment vertical="center" wrapText="1"/>
    </x:xf>
    <x:xf numFmtId="206" fontId="3" fillId="5" borderId="0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9" fillId="4" borderId="0" xfId="0" applyNumberFormat="1" applyFont="1" applyFill="1" applyBorder="1" applyAlignment="1">
      <x:alignment horizontal="left" vertical="center" wrapText="1"/>
    </x:xf>
    <x:xf numFmtId="206" fontId="15" fillId="5" borderId="0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horizontal="left"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left"/>
    </x:xf>
    <x:xf numFmtId="0" fontId="1" fillId="15" borderId="0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6" fillId="18" borderId="0" xfId="0" applyNumberFormat="1" applyFont="1" applyFill="1" applyBorder="1"/>
    <x:xf numFmtId="0" fontId="16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horizontal="left"/>
    </x:xf>
    <x:xf numFmtId="0" fontId="3" fillId="19" borderId="0" xfId="0" applyNumberFormat="1" applyFont="1" applyFill="1" applyBorder="1" applyAlignment="1">
      <x:alignment horizontal="left" vertical="center"/>
    </x:xf>
    <x:xf numFmtId="0" fontId="0" fillId="20" borderId="0" xfId="0" applyNumberFormat="1" applyFont="1" applyFill="1" applyBorder="1"/>
    <x:xf numFmtId="0" fontId="9" fillId="20" borderId="0" xfId="0" applyNumberFormat="1" applyFont="1" applyFill="1" applyBorder="1"/>
    <x:xf numFmtId="0" fontId="9" fillId="20" borderId="0" xfId="0" applyNumberFormat="1" applyFont="1" applyFill="1" applyBorder="1" applyAlignment="1">
      <x:alignment wrapText="1"/>
    </x:xf>
    <x:xf numFmtId="0" fontId="9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vertical="center" wrapText="1"/>
    </x:xf>
    <x:xf numFmtId="202" fontId="11" fillId="21" borderId="0" xfId="0" applyNumberFormat="1" applyFont="1" applyFill="1" applyBorder="1" applyAlignment="1">
      <x:alignment vertical="center" wrapText="1"/>
    </x:xf>
    <x:xf numFmtId="209" fontId="13" fillId="0" borderId="0" xfId="0" applyNumberFormat="1" applyFont="1" applyFill="1" applyBorder="1" applyAlignment="1">
      <x:alignment vertical="center" wrapText="1"/>
    </x:xf>
    <x:xf numFmtId="0" fontId="13" fillId="21" borderId="0" xfId="0" applyNumberFormat="1" applyFont="1" applyFill="1" applyBorder="1" applyAlignment="1">
      <x:alignment vertical="center" wrapText="1"/>
    </x:xf>
    <x:xf numFmtId="209" fontId="13" fillId="21" borderId="0" xfId="0" applyNumberFormat="1" applyFont="1" applyFill="1" applyBorder="1" applyAlignment="1">
      <x:alignment vertical="center" wrapText="1"/>
    </x:xf>
    <x:xf numFmtId="0" fontId="9" fillId="21" borderId="0" xfId="0" applyNumberFormat="1" applyFont="1" applyFill="1" applyBorder="1" applyAlignment="1">
      <x:alignment vertical="center" wrapText="1"/>
    </x:xf>
    <x:xf numFmtId="209" fontId="9" fillId="21" borderId="0" xfId="0" applyNumberFormat="1" applyFont="1" applyFill="1" applyBorder="1" applyAlignment="1">
      <x:alignment vertical="center" wrapText="1"/>
    </x:xf>
    <x:xf numFmtId="204" fontId="11" fillId="21" borderId="0" xfId="0" applyNumberFormat="1" applyFont="1" applyFill="1" applyBorder="1" applyAlignment="1">
      <x:alignment vertical="center" wrapText="1"/>
    </x:xf>
    <x:xf numFmtId="210" fontId="13" fillId="0" borderId="0" xfId="0" applyNumberFormat="1" applyFont="1" applyFill="1" applyBorder="1" applyAlignment="1">
      <x:alignment vertical="center" wrapText="1"/>
    </x:xf>
    <x:xf numFmtId="210" fontId="13" fillId="21" borderId="0" xfId="0" applyNumberFormat="1" applyFont="1" applyFill="1" applyBorder="1" applyAlignment="1">
      <x:alignment vertical="center" wrapText="1"/>
    </x:xf>
    <x:xf numFmtId="210" fontId="9" fillId="21" borderId="0" xfId="0" applyNumberFormat="1" applyFont="1" applyFill="1" applyBorder="1" applyAlignment="1">
      <x:alignment vertical="center" wrapText="1"/>
    </x:xf>
    <x:xf numFmtId="0" fontId="7" fillId="16" borderId="0" xfId="0" applyNumberFormat="1" applyFont="1" applyFill="1" applyBorder="1"/>
    <x:xf numFmtId="0" fontId="7" fillId="16" borderId="0" xfId="0" applyNumberFormat="1" applyFont="1" applyFill="1" applyBorder="1" applyAlignment="1">
      <x:alignment wrapText="1"/>
    </x:xf>
    <x:xf numFmtId="0" fontId="7" fillId="16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3" fillId="20" borderId="0" xfId="0" applyNumberFormat="1" applyFont="1" applyFill="1" applyBorder="1" applyAlignment="1">
      <x:alignment horizontal="left" vertical="center"/>
    </x:xf>
    <x:xf numFmtId="0" fontId="9" fillId="20" borderId="0" xfId="0" applyNumberFormat="1" applyFont="1" applyFill="1" applyBorder="1" applyAlignment="1">
      <x:alignment horizontal="left" vertical="center"/>
    </x:xf>
    <x:xf numFmtId="0" fontId="9" fillId="20" borderId="0" xfId="0" applyNumberFormat="1" applyFont="1" applyFill="1" applyBorder="1" applyAlignment="1">
      <x:alignment horizontal="left" vertical="center" wrapText="1"/>
    </x:xf>
    <x:xf numFmtId="0" fontId="3" fillId="21" borderId="0" xfId="0" applyNumberFormat="1" applyFont="1" applyFill="1" applyBorder="1" applyAlignment="1">
      <x:alignment horizontal="left" vertical="center"/>
    </x:xf>
    <x:xf numFmtId="0" fontId="17" fillId="21" borderId="0" xfId="0" applyNumberFormat="1" applyFont="1" applyFill="1" applyBorder="1" applyAlignment="1">
      <x:alignment horizontal="left" vertical="center"/>
    </x:xf>
    <x:xf numFmtId="0" fontId="17" fillId="21" borderId="0" xfId="0" applyNumberFormat="1" applyFont="1" applyFill="1" applyBorder="1" applyAlignment="1">
      <x:alignment horizontal="left" vertical="center" wrapText="1"/>
    </x:xf>
    <x:xf numFmtId="202" fontId="17" fillId="21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6">
    <x:dxf>
      <x:font>
        <x:b/>
        <x:color rgb="FF0B1F3A"/>
      </x:font>
      <x:fill>
        <x:patternFill>
          <x:bgColor rgb="FFE2F0D9"/>
        </x:patternFill>
      </x:fill>
    </x:dxf>
    <x:dxf>
      <x:font>
        <x:b/>
        <x:color rgb="FF0B1F3A"/>
      </x:font>
      <x:fill>
        <x:patternFill>
          <x:bgColor rgb="FFD9EAF7"/>
        </x:patternFill>
      </x:fill>
    </x:dxf>
    <x:dxf>
      <x:font>
        <x:b/>
        <x:color rgb="FF0B1F3A"/>
      </x:font>
      <x:fill>
        <x:patternFill>
          <x:bgColor rgb="FFFFF2CC"/>
        </x:patternFill>
      </x:fill>
    </x:dxf>
    <x:dxf>
      <x:font>
        <x:b/>
        <x:color rgb="FF0B1F3A"/>
      </x:font>
      <x:fill>
        <x:patternFill>
          <x:bgColor rgb="FFE7E6E6"/>
        </x:patternFill>
      </x:fill>
    </x:dxf>
    <x:dxf>
      <x:font>
        <x:b/>
        <x:color rgb="FF0B1F3A"/>
      </x:font>
      <x:fill>
        <x:patternFill patternType="solid">
          <x:bgColor rgb="FFE2F0D9"/>
        </x:patternFill>
      </x:fill>
    </x:dxf>
    <x:dxf>
      <x:font>
        <x:b/>
        <x:color rgb="FF0B1F3A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635c969f7492c" /><Relationship Type="http://schemas.openxmlformats.org/officeDocument/2006/relationships/theme" Target="/xl/theme/theme1.xml" Id="R9a15421b502f4e6b" /><Relationship Type="http://schemas.openxmlformats.org/officeDocument/2006/relationships/sharedStrings" Target="/xl/sharedStrings.xml" Id="R3c5a804bcff149da" /><Relationship Type="http://schemas.openxmlformats.org/officeDocument/2006/relationships/worksheet" Target="/xl/worksheets/sheet1.xml" Id="R42037b79c2bb49d4" /><Relationship Type="http://schemas.openxmlformats.org/officeDocument/2006/relationships/worksheet" Target="/xl/worksheets/sheet2.xml" Id="R381c45a23b504db1" /><Relationship Type="http://schemas.openxmlformats.org/officeDocument/2006/relationships/worksheet" Target="/xl/worksheets/sheet3.xml" Id="Rfb64213adf1e40d3" /><Relationship Type="http://schemas.openxmlformats.org/officeDocument/2006/relationships/worksheet" Target="/xl/worksheets/sheet4.xml" Id="R931a75171fc54a49" /><Relationship Type="http://schemas.openxmlformats.org/officeDocument/2006/relationships/worksheet" Target="/xl/worksheets/sheet5.xml" Id="R6a777f1825894dca" /><Relationship Type="http://schemas.openxmlformats.org/officeDocument/2006/relationships/worksheet" Target="/xl/worksheets/sheet6.xml" Id="R91da5ee0df594129" /><Relationship Type="http://schemas.openxmlformats.org/officeDocument/2006/relationships/worksheet" Target="/xl/worksheets/sheet7.xml" Id="R3094bc7a9cf04e53" /><Relationship Type="http://schemas.openxmlformats.org/officeDocument/2006/relationships/worksheet" Target="/xl/worksheets/sheet8.xml" Id="R21b090a5b025467e" /><Relationship Type="http://schemas.openxmlformats.org/officeDocument/2006/relationships/worksheet" Target="/xl/worksheets/sheet9.xml" Id="R9cd1980fd37c4777" /><Relationship Type="http://schemas.openxmlformats.org/officeDocument/2006/relationships/worksheet" Target="/xl/worksheets/sheet10.xml" Id="Rd538122e24564cad" /><Relationship Type="http://schemas.openxmlformats.org/officeDocument/2006/relationships/worksheet" Target="/xl/worksheets/sheet11.xml" Id="Rb57d744fe2d24e42" /><Relationship Type="http://schemas.openxmlformats.org/officeDocument/2006/relationships/worksheet" Target="/xl/worksheets/sheet12.xml" Id="R4d9904fe7a9b4e24" /><Relationship Type="http://schemas.openxmlformats.org/officeDocument/2006/relationships/worksheet" Target="/xl/worksheets/sheet13.xml" Id="R028ab2d7e67f4460" /><Relationship Type="http://schemas.openxmlformats.org/officeDocument/2006/relationships/worksheet" Target="/xl/worksheets/sheet14.xml" Id="R62e2a64b44fb4fdb" /><Relationship Type="http://schemas.openxmlformats.org/officeDocument/2006/relationships/worksheet" Target="/xl/worksheets/sheet15.xml" Id="Rda60c6e3bc58412c" /><Relationship Type="http://schemas.openxmlformats.org/officeDocument/2006/relationships/worksheet" Target="/xl/worksheets/sheet16.xml" Id="R179a4cb69bc1451f" /><Relationship Type="http://schemas.openxmlformats.org/officeDocument/2006/relationships/worksheet" Target="/xl/worksheets/sheet17.xml" Id="R9369b4e38b3e40a0" /><Relationship Type="http://schemas.openxmlformats.org/officeDocument/2006/relationships/worksheet" Target="/xl/worksheets/sheet18.xml" Id="Rea29e13356fa45cf" /></Relationships>
</file>

<file path=xl/tables/table1.xml><?xml version="1.0" encoding="utf-8"?>
<x:table xmlns:x="http://schemas.openxmlformats.org/spreadsheetml/2006/main" id="1" name="GameMethodMap" displayName="GameMethodMap" ref="A4:W60" headerRowCount="1" totalsRowCount="0" totalsRowShown="0">
  <x:tableColumns count="23">
    <x:tableColumn id="1" name="ID"/>
    <x:tableColumn id="2" name="Category"/>
    <x:tableColumn id="3" name="Method"/>
    <x:tableColumn id="4" name="Game Type"/>
    <x:tableColumn id="5" name="Players"/>
    <x:tableColumn id="6" name="State"/>
    <x:tableColumn id="7" name="Actions"/>
    <x:tableColumn id="8" name="Payoff"/>
    <x:tableColumn id="9" name="Equilibrium / Solution"/>
    <x:tableColumn id="10" name="Observable Proxy"/>
    <x:tableColumn id="11" name="BTC 5m Role"/>
    <x:tableColumn id="12" name="Required Data"/>
    <x:tableColumn id="13" name="Primary Target"/>
    <x:tableColumn id="14" name="Implementation"/>
    <x:tableColumn id="15" name="Alpha Potential&#10;1-5"/>
    <x:tableColumn id="16" name="BTC 5m Relevance&#10;1-5"/>
    <x:tableColumn id="17" name="Data Feasibility&#10;1-5"/>
    <x:tableColumn id="18" name="Robustness&#10;1-5"/>
    <x:tableColumn id="19" name="Complexity&#10;1-5"/>
    <x:tableColumn id="20" name="Underrated&#10;1-5"/>
    <x:tableColumn id="21" name="Weighted Score&#10;/100"/>
    <x:tableColumn id="22" name="Priority"/>
    <x:tableColumn id="23" name="Verdi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meFeatureLibrary" displayName="GameFeatureLibrary" ref="A4:J36" headerRowCount="1" totalsRowCount="0" totalsRowShown="0">
  <x:tableColumns count="10">
    <x:tableColumn id="1" name="Feature ID"/>
    <x:tableColumn id="2" name="Feature / Proxy"/>
    <x:tableColumn id="3" name="Game-theory Origin"/>
    <x:tableColumn id="4" name="Construction / Proxy Formula"/>
    <x:tableColumn id="5" name="Output Variables"/>
    <x:tableColumn id="6" name="Economic Interpretation"/>
    <x:tableColumn id="7" name="Data"/>
    <x:tableColumn id="8" name="Prediction Target"/>
    <x:tableColumn id="9" name="Priority"/>
    <x:tableColumn id="10" name="Implementatio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perLibrary" displayName="PaperLibrary" ref="A4:I45" headerRowCount="1" totalsRowCount="0" totalsRowShown="0">
  <x:tableColumns count="9">
    <x:tableColumn id="1" name="Year"/>
    <x:tableColumn id="2" name="Paper"/>
    <x:tableColumn id="3" name="Authors"/>
    <x:tableColumn id="4" name="Venue"/>
    <x:tableColumn id="5" name="Theme"/>
    <x:tableColumn id="6" name="Core Contribution"/>
    <x:tableColumn id="7" name="BTC 5m Relevance"/>
    <x:tableColumn id="8" name="Practical Use"/>
    <x:tableColumn id="9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perimentPlan" displayName="ExperimentPlan" ref="A4:H26" headerRowCount="1" totalsRowCount="0" totalsRowShown="0">
  <x:tableColumns count="8">
    <x:tableColumn id="1" name="Order"/>
    <x:tableColumn id="2" name="Workstream"/>
    <x:tableColumn id="3" name="Experiment"/>
    <x:tableColumn id="4" name="Model / Features"/>
    <x:tableColumn id="5" name="GT Feature IDs"/>
    <x:tableColumn id="6" name="Test Objective"/>
    <x:tableColumn id="7" name="Priority"/>
    <x:tableColumn id="8" name="Build Seq.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Index" displayName="SourceIndex" ref="A4:C35" headerRowCount="1" totalsRowCount="0" totalsRowShown="0">
  <x:tableColumns count="3">
    <x:tableColumn id="1" name="Source / Paper"/>
    <x:tableColumn id="2" name="URL"/>
    <x:tableColumn id="3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olyStrategyMap" displayName="PolyStrategyMap" ref="A4:J22" headerRowCount="1" totalsRowCount="0" totalsRowShown="0">
  <x:tableColumns count="10">
    <x:tableColumn id="1" name="Priority"/>
    <x:tableColumn id="2" name="Game / Concept"/>
    <x:tableColumn id="3" name="Polymarket 5m Manifestation"/>
    <x:tableColumn id="4" name="Observable Signal"/>
    <x:tableColumn id="5" name="What It Means"/>
    <x:tableColumn id="6" name="Action / Bet Rule"/>
    <x:tableColumn id="7" name="High-Conviction Impact"/>
    <x:tableColumn id="8" name="Failure Mode"/>
    <x:tableColumn id="9" name="Data Needed"/>
    <x:tableColumn id="10" name="Practical Ratin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lyBacktestLog" displayName="PolyBacktestLog" ref="A5:AH205" headerRowCount="1" totalsRowCount="0" totalsRowShown="0">
  <x:tableColumns count="34">
    <x:tableColumn id="1" name="Timestamp"/>
    <x:tableColumn id="2" name="Event / Slug"/>
    <x:tableColumn id="3" name="Price to Beat"/>
    <x:tableColumn id="4" name="Rem Sec"/>
    <x:tableColumn id="5" name="Chainlink @ Entry"/>
    <x:tableColumn id="6" name="Gap bps"/>
    <x:tableColumn id="7" name="Model P(Up)"/>
    <x:tableColumn id="8" name="Model SE"/>
    <x:tableColumn id="9" name="Up Ask"/>
    <x:tableColumn id="10" name="Down Ask"/>
    <x:tableColumn id="11" name="Side"/>
    <x:tableColumn id="12" name="Model P(Side)"/>
    <x:tableColumn id="13" name="Entry p"/>
    <x:tableColumn id="14" name="Order Type"/>
    <x:tableColumn id="15" name="Fee/Share"/>
    <x:tableColumn id="16" name="Slip/Share"/>
    <x:tableColumn id="17" name="All-in Cost"/>
    <x:tableColumn id="18" name="Raw Edge"/>
    <x:tableColumn id="19" name="Conservative Edge"/>
    <x:tableColumn id="20" name="Full Kelly"/>
    <x:tableColumn id="21" name="Frac Kelly"/>
    <x:tableColumn id="22" name="Bankroll"/>
    <x:tableColumn id="23" name="Bet USDC"/>
    <x:tableColumn id="24" name="Shares"/>
    <x:tableColumn id="25" name="Outcome"/>
    <x:tableColumn id="26" name="Win Flag"/>
    <x:tableColumn id="27" name="PnL"/>
    <x:tableColumn id="28" name="ROI"/>
    <x:tableColumn id="29" name="Brier"/>
    <x:tableColumn id="30" name="Log Loss"/>
    <x:tableColumn id="31" name="Notes"/>
    <x:tableColumn id="32" name="Cum PnL"/>
    <x:tableColumn id="33" name="Running Peak"/>
    <x:tableColumn id="34" name="Drawdow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olySources" displayName="PolySources" ref="A4:D17" headerRowCount="1" totalsRowCount="0" totalsRowShown="0">
  <x:tableColumns count="4">
    <x:tableColumn id="1" name="Topic"/>
    <x:tableColumn id="2" name="Source"/>
    <x:tableColumn id="3" name="Plain-text URL"/>
    <x:tableColumn id="4" name="Use in Mode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MLiteratureV3" displayName="PMLiteratureV3" ref="A5:L30" headerRowCount="1" totalsRowCount="0" totalsRowShown="0">
  <x:tableColumns count="12">
    <x:tableColumn id="1" name="Year"/>
    <x:tableColumn id="2" name="Tier"/>
    <x:tableColumn id="3" name="Paper"/>
    <x:tableColumn id="4" name="Authors"/>
    <x:tableColumn id="5" name="Venue / Status"/>
    <x:tableColumn id="6" name="Family"/>
    <x:tableColumn id="7" name="Game-Theory Mechanism"/>
    <x:tableColumn id="8" name="Key Finding"/>
    <x:tableColumn id="9" name="BTC 5m Relevance"/>
    <x:tableColumn id="10" name="Actionable Use"/>
    <x:tableColumn id="11" name="Caveat / Transferability"/>
    <x:tableColumn id="12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e60f81b53746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ca1c0c07ea40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8e971e5bb945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ba72e45714445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04c9887b5f242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e3374222b5e417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7.xml" Id="R0cfebda8b88f4a6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8.xml" Id="Rce981596bdeb423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9.xml" Id="R02b13109213f415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  <x:col min="3" max="3" width="75" hidden="0" customWidth="1"/>
    <x:col min="4" max="4" width="32" hidden="0" customWidth="1"/>
    <x:col min="5" max="5" width="24" hidden="0" customWidth="1"/>
    <x:col min="6" max="6" width="46" hidden="0" customWidth="1"/>
  </x:cols>
  <x:sheetData>
    <x:row r="1" ht="24" customHeight="1">
      <x:c r="A1" s="143" t="str">
        <x:v>Polymarket BTC 5分钟：博弈论下注策略与仓位框架</x:v>
      </x:c>
      <x:c r="B1" s="143"/>
      <x:c r="C1" s="143"/>
      <x:c r="D1" s="143"/>
      <x:c r="E1" s="143"/>
      <x:c r="F1" s="143"/>
      <x:c r="G1" s="143"/>
      <x:c r="H1" s="143"/>
      <x:c r="I1" s="143"/>
      <x:c r="J1" s="143"/>
      <x:c r="K1" s="143"/>
      <x:c r="L1" s="143"/>
    </x:row>
    <x:row r="2" ht="24" customHeight="1">
      <x:c r="A2" s="143"/>
      <x:c r="B2" s="143"/>
      <x:c r="C2" s="143"/>
      <x:c r="D2" s="143"/>
      <x:c r="E2" s="143"/>
      <x:c r="F2" s="143"/>
      <x:c r="G2" s="143"/>
      <x:c r="H2" s="143"/>
      <x:c r="I2" s="143"/>
      <x:c r="J2" s="143"/>
      <x:c r="K2" s="143"/>
      <x:c r="L2" s="143"/>
    </x:row>
    <x:row r="3" ht="42" customHeight="1">
      <x:c r="A3" s="144" t="str">
        <x:v>目标不是“猜对涨跌”本身，而是识别：模型真实胜率 q 与可成交赔率 p 之间，在费用、spread/slippage、模型不确定性之后是否仍存在足够 edge；只有 edge 的下置信界仍为正，high conviction 才有资格提高仓位。</x:v>
      </x:c>
      <x:c r="B3" s="144"/>
      <x:c r="C3" s="144"/>
      <x:c r="D3" s="144"/>
      <x:c r="E3" s="144"/>
      <x:c r="F3" s="144"/>
      <x:c r="G3" s="144"/>
      <x:c r="H3" s="144"/>
      <x:c r="I3" s="144"/>
      <x:c r="J3" s="144"/>
      <x:c r="K3" s="144"/>
      <x:c r="L3" s="144"/>
    </x:row>
    <x:row r="5" ht="58" customHeight="1">
      <x:c r="A5" s="145" t="str">
        <x:v>核心定价
q_model vs
可成交 ask
不要用页面 midpoint 当真实入场价</x:v>
      </x:c>
      <x:c r="B5" s="146"/>
      <x:c r="C5" s="147"/>
      <x:c r="D5" s="145" t="str">
        <x:v>High Conviction
LCB Edge &gt; 0
胜率下界仍高于 fee-adjusted breakeven</x:v>
      </x:c>
      <x:c r="E5" s="146"/>
      <x:c r="F5" s="147"/>
      <x:c r="G5" s="145" t="str">
        <x:v>仓位
Fractional Kelly
用保守概率做 Kelly，并设置 event hard cap</x:v>
      </x:c>
      <x:c r="H5" s="146"/>
      <x:c r="I5" s="147"/>
      <x:c r="J5" s="145" t="str">
        <x:v>执行
Maker vs Taker
比较省手续费与错失机会/逆向选择</x:v>
      </x:c>
      <x:c r="K5" s="146"/>
      <x:c r="L5" s="147"/>
    </x:row>
    <x:row r="6" ht="58" customHeight="1">
      <x:c r="A6" s="148"/>
      <x:c r="B6" s="154"/>
      <x:c r="C6" s="150"/>
      <x:c r="D6" s="148"/>
      <x:c r="E6" s="154"/>
      <x:c r="F6" s="150"/>
      <x:c r="G6" s="148"/>
      <x:c r="H6" s="154"/>
      <x:c r="I6" s="150"/>
      <x:c r="J6" s="148"/>
      <x:c r="K6" s="154"/>
      <x:c r="L6" s="150"/>
    </x:row>
    <x:row r="7" ht="58" customHeight="1">
      <x:c r="A7" s="151"/>
      <x:c r="B7" s="152"/>
      <x:c r="C7" s="153"/>
      <x:c r="D7" s="151"/>
      <x:c r="E7" s="152"/>
      <x:c r="F7" s="153"/>
      <x:c r="G7" s="151"/>
      <x:c r="H7" s="152"/>
      <x:c r="I7" s="153"/>
      <x:c r="J7" s="151"/>
      <x:c r="K7" s="152"/>
      <x:c r="L7" s="153"/>
    </x:row>
    <x:row r="9">
      <x:c r="A9" s="155" t="str">
        <x:v>针对 Polymarket BTC 5m，我建议的策略优先级</x:v>
      </x:c>
      <x:c r="B9" s="155"/>
      <x:c r="C9" s="155"/>
      <x:c r="D9" s="155"/>
      <x:c r="E9" s="155"/>
      <x:c r="F9" s="155"/>
      <x:c r="G9" s="155"/>
      <x:c r="H9" s="155"/>
      <x:c r="I9" s="155"/>
      <x:c r="J9" s="155"/>
      <x:c r="K9" s="155"/>
      <x:c r="L9" s="155"/>
    </x:row>
    <x:row r="10">
      <x:c r="A10" s="156" t="str">
        <x:v>Priority</x:v>
      </x:c>
      <x:c r="B10" s="156" t="str">
        <x:v>模块</x:v>
      </x:c>
      <x:c r="C10" s="156" t="str">
        <x:v>核心判断</x:v>
      </x:c>
      <x:c r="D10" s="156" t="str">
        <x:v>工作表</x:v>
      </x:c>
      <x:c r="E10" s="102"/>
      <x:c r="F10" s="102"/>
    </x:row>
    <x:row r="11">
      <x:c r="A11" s="157" t="str">
        <x:v>P0</x:v>
      </x:c>
      <x:c r="B11" s="110" t="str">
        <x:v>赔率 / EV</x:v>
      </x:c>
      <x:c r="C11" s="110" t="str">
        <x:v>买入概率不是“市场显示概率”，而是实际可成交 ask；比较 q 与 ask + taker fee + slippage。</x:v>
      </x:c>
      <x:c r="D11" s="110" t="str">
        <x:v>08_Bet_Calculator / 10_Odds_Kelly</x:v>
      </x:c>
      <x:c r="E11" s="110"/>
      <x:c r="F11" s="110"/>
    </x:row>
    <x:row r="12">
      <x:c r="A12" s="157" t="str">
        <x:v>P0</x:v>
      </x:c>
      <x:c r="B12" s="110" t="str">
        <x:v>Price-to-Beat 状态</x:v>
      </x:c>
      <x:c r="C12" s="110" t="str">
        <x:v>用 Chainlink 当前价相对开盘 Price to Beat 的距离，除以剩余时间预期波动，形成标准化 z-state。</x:v>
      </x:c>
      <x:c r="D12" s="110" t="str">
        <x:v>11_Event_State</x:v>
      </x:c>
      <x:c r="E12" s="110"/>
      <x:c r="F12" s="110"/>
    </x:row>
    <x:row r="13">
      <x:c r="A13" s="157" t="str">
        <x:v>P0</x:v>
      </x:c>
      <x:c r="B13" s="110" t="str">
        <x:v>High Conviction</x:v>
      </x:c>
      <x:c r="C13" s="110" t="str">
        <x:v>只有 q 的保守下界仍显著高于 breakeven，且盘口深度、数据新鲜度、模型一致性都过关，才升级仓位。</x:v>
      </x:c>
      <x:c r="D13" s="110" t="str">
        <x:v>09_High_Conviction</x:v>
      </x:c>
      <x:c r="E13" s="110"/>
      <x:c r="F13" s="110"/>
    </x:row>
    <x:row r="14">
      <x:c r="A14" s="157" t="str">
        <x:v>P0</x:v>
      </x:c>
      <x:c r="B14" s="110" t="str">
        <x:v>仓位</x:v>
      </x:c>
      <x:c r="C14" s="110" t="str">
        <x:v>建议以 LCB probability 计算 fractional Kelly，再加单事件 hard cap；high conviction ≠ all-in。</x:v>
      </x:c>
      <x:c r="D14" s="110" t="str">
        <x:v>08_Bet_Calculator</x:v>
      </x:c>
      <x:c r="E14" s="110"/>
      <x:c r="F14" s="110"/>
    </x:row>
    <x:row r="15">
      <x:c r="A15" s="157" t="str">
        <x:v>P0</x:v>
      </x:c>
      <x:c r="B15" s="110" t="str">
        <x:v>Maker / Taker</x:v>
      </x:c>
      <x:c r="C15" s="110" t="str">
        <x:v>5m crypto taker 有 fee；若时间充足且 maker 的逆向选择成本不大，post-only 可能更优；临近结算则机会衰减可能高于手续费。</x:v>
      </x:c>
      <x:c r="D15" s="110" t="str">
        <x:v>08_Bet_Calculator</x:v>
      </x:c>
      <x:c r="E15" s="110"/>
      <x:c r="F15" s="110"/>
    </x:row>
    <x:row r="16">
      <x:c r="A16" s="157" t="str">
        <x:v>P1</x:v>
      </x:c>
      <x:c r="B16" s="110" t="str">
        <x:v>跨市场博弈</x:v>
      </x:c>
      <x:c r="C16" s="110" t="str">
        <x:v>Chainlink、Binance 与 Polymarket CLOB 的短暂不同步会形成 latency/arb pressure；越靠近结算越重要。</x:v>
      </x:c>
      <x:c r="D16" s="110" t="str">
        <x:v>07_Poly_Strategy_Map</x:v>
      </x:c>
      <x:c r="E16" s="110"/>
      <x:c r="F16" s="110"/>
    </x:row>
    <x:row r="17">
      <x:c r="A17" s="157" t="str">
        <x:v>P1</x:v>
      </x:c>
      <x:c r="B17" s="110" t="str">
        <x:v>盘口策略</x:v>
      </x:c>
      <x:c r="C17" s="110" t="str">
        <x:v>关注 spread、depth、撤单、盘口突然倾斜，而不是只看 51/49；大额计划仓位必须按深度计算真实平均成交价。</x:v>
      </x:c>
      <x:c r="D17" s="110" t="str">
        <x:v>07_Poly_Strategy_Map</x:v>
      </x:c>
      <x:c r="E17" s="110"/>
      <x:c r="F17" s="110"/>
    </x:row>
    <x:row r="18">
      <x:c r="A18" s="158" t="str">
        <x:v>P1</x:v>
      </x:c>
      <x:c r="B18" s="117" t="str">
        <x:v>连续窗口 bankroll</x:v>
      </x:c>
      <x:c r="C18" s="117" t="str">
        <x:v>相邻 5m 事件高度相关，不能把每一局当独立 Kelly；日内总暴露和 drawdown 需要额外 cap。</x:v>
      </x:c>
      <x:c r="D18" s="117" t="str">
        <x:v>12_Backtest_Log</x:v>
      </x:c>
      <x:c r="E18" s="117"/>
      <x:c r="F18" s="117"/>
    </x:row>
    <x:row r="20">
      <x:c r="A20" s="155" t="str">
        <x:v>下注决策公式（生产版逻辑）</x:v>
      </x:c>
      <x:c r="B20" s="155"/>
      <x:c r="C20" s="155"/>
      <x:c r="D20" s="155"/>
      <x:c r="E20" s="155"/>
      <x:c r="F20" s="155"/>
      <x:c r="G20" s="155"/>
      <x:c r="H20" s="155"/>
      <x:c r="I20" s="155"/>
      <x:c r="J20" s="155"/>
      <x:c r="K20" s="155"/>
      <x:c r="L20" s="155"/>
    </x:row>
    <x:row r="21">
      <x:c r="A21" s="165" t="str">
        <x:v>1) 选择方向后得到模型胜率 q；2) 用 q_L = q − z×SE 得到保守胜率；3) 实际成本 c = 可成交价格 p + taker fee/share + slippage/share；4) Conservative Edge = q_L − c − Safety Margin；只有 &gt;0 才下注；5) Full Kelly = (q_L − c)/(1 − c)，再乘 0.10–0.50 的 fractional-Kelly 系数；6) 最终仓位 = MIN(fractional Kelly, 单事件 cap, 日内风险 cap, 盘口容量 cap)。</x:v>
      </x:c>
      <x:c r="B21" s="165"/>
      <x:c r="C21" s="165"/>
      <x:c r="D21" s="165"/>
      <x:c r="E21" s="165"/>
      <x:c r="F21" s="165"/>
      <x:c r="G21" s="165"/>
      <x:c r="H21" s="165"/>
      <x:c r="I21" s="165"/>
      <x:c r="J21" s="165"/>
      <x:c r="K21" s="165"/>
      <x:c r="L21" s="165"/>
    </x:row>
    <x:row r="22" ht="25" customHeight="1">
      <x:c r="A22" s="163"/>
      <x:c r="B22" s="163"/>
      <x:c r="C22" s="163"/>
      <x:c r="D22" s="163"/>
      <x:c r="E22" s="163"/>
      <x:c r="F22" s="163"/>
      <x:c r="G22" s="163"/>
      <x:c r="H22" s="163"/>
      <x:c r="I22" s="163"/>
      <x:c r="J22" s="163"/>
      <x:c r="K22" s="163"/>
      <x:c r="L22" s="163"/>
    </x:row>
    <x:row r="23" ht="25" customHeight="1">
      <x:c r="A23" s="163"/>
      <x:c r="B23" s="163"/>
      <x:c r="C23" s="163"/>
      <x:c r="D23" s="163"/>
      <x:c r="E23" s="163"/>
      <x:c r="F23" s="163"/>
      <x:c r="G23" s="163"/>
      <x:c r="H23" s="163"/>
      <x:c r="I23" s="163"/>
      <x:c r="J23" s="163"/>
      <x:c r="K23" s="163"/>
      <x:c r="L23" s="163"/>
    </x:row>
    <x:row r="24" ht="25" customHeight="1">
      <x:c r="A24" s="163"/>
      <x:c r="B24" s="163"/>
      <x:c r="C24" s="163"/>
      <x:c r="D24" s="163"/>
      <x:c r="E24" s="163"/>
      <x:c r="F24" s="163"/>
      <x:c r="G24" s="163"/>
      <x:c r="H24" s="163"/>
      <x:c r="I24" s="163"/>
      <x:c r="J24" s="163"/>
      <x:c r="K24" s="163"/>
      <x:c r="L24" s="163"/>
    </x:row>
    <x:row r="25" ht="25" customHeight="1">
      <x:c r="A25" s="122"/>
      <x:c r="B25" s="122"/>
      <x:c r="C25" s="122"/>
      <x:c r="D25" s="122"/>
      <x:c r="E25" s="122"/>
      <x:c r="F25" s="122"/>
      <x:c r="G25" s="122"/>
      <x:c r="H25" s="122"/>
      <x:c r="I25" s="122"/>
      <x:c r="J25" s="122"/>
      <x:c r="K25" s="122"/>
      <x:c r="L25" s="122"/>
    </x:row>
    <x:row r="26" ht="25" customHeight="1">
      <x:c r="A26" s="168" t="str">
        <x:v>当前 Polymarket 5m 市场机制（用于模型口径）</x:v>
      </x:c>
      <x:c r="B26" s="168"/>
      <x:c r="C26" s="168"/>
      <x:c r="D26" s="168"/>
      <x:c r="E26" s="168"/>
      <x:c r="F26" s="168"/>
      <x:c r="G26" s="168"/>
      <x:c r="H26" s="168"/>
      <x:c r="I26" s="168"/>
      <x:c r="J26" s="168"/>
      <x:c r="K26" s="168"/>
      <x:c r="L26" s="168"/>
    </x:row>
    <x:row r="27">
      <x:c r="A27" s="110" t="str">
        <x:v>结算</x:v>
      </x:c>
      <x:c r="B27" s="110" t="str">
        <x:v>BTC 终点价 ≥ 该 5分钟窗口起点价 → Up；否则 Down。</x:v>
      </x:c>
      <x:c r="C27" s="110" t="str">
        <x:v>https://polymarket.com/crypto/5M</x:v>
      </x:c>
    </x:row>
    <x:row r="28">
      <x:c r="A28" s="171" t="str">
        <x:v>Resolution source</x:v>
      </x:c>
      <x:c r="B28" s="171" t="str">
        <x:v>5分钟 BTC Up/Down 页面规则显示使用 Chainlink BTC/USD data stream。</x:v>
      </x:c>
      <x:c r="C28" s="171" t="str">
        <x:v>https://polymarket.com/crypto/5M</x:v>
      </x:c>
      <x:c r="D28" s="93"/>
      <x:c r="E28" s="93"/>
      <x:c r="F28" s="93"/>
      <x:c r="G28" s="93"/>
      <x:c r="H28" s="93"/>
      <x:c r="I28" s="93"/>
      <x:c r="J28" s="93"/>
      <x:c r="K28" s="93"/>
      <x:c r="L28" s="93"/>
    </x:row>
    <x:row r="29">
      <x:c r="A29" s="157" t="str">
        <x:v>价格含义</x:v>
      </x:c>
      <x:c r="B29" s="110" t="str">
        <x:v>share price 0–1 可解释为市场隐含概率，但页面显示价可能是 midpoint；真实买入应看 ask。</x:v>
      </x:c>
      <x:c r="C29" s="110" t="str">
        <x:v>https://docs.polymarket.com/concepts/prices-orderbook</x:v>
      </x:c>
    </x:row>
    <x:row r="30">
      <x:c r="A30" s="157" t="str">
        <x:v>费用</x:v>
      </x:c>
      <x:c r="B30" s="110" t="str">
        <x:v>Crypto taker feeRate 当前为 0.07；fee = shares × feeRate × p × (1-p)。Maker fee = 0。</x:v>
      </x:c>
      <x:c r="C30" s="110" t="str">
        <x:v>https://docs.polymarket.com/trading/fees</x:v>
      </x:c>
    </x:row>
    <x:row r="31">
      <x:c r="A31" s="157" t="str">
        <x:v>订单</x:v>
      </x:c>
      <x:c r="B31" s="110" t="str">
        <x:v>Polymarket CLOB 的“market order”本质是立即跨价成交的 limit order；post-only 可确保 maker。</x:v>
      </x:c>
      <x:c r="C31" s="110" t="str">
        <x:v>https://docs.polymarket.com/concepts/order-lifecycle</x:v>
      </x:c>
    </x:row>
    <x:row r="32">
      <x:c r="A32" s="114"/>
      <x:c r="B32" s="110"/>
      <x:c r="C32" s="110"/>
    </x:row>
    <x:row r="34">
      <x:c r="A34" s="280" t="str">
        <x:v>v3 Literature Upgrade — 新增的关键结论</x:v>
      </x:c>
      <x:c r="B34" s="280"/>
      <x:c r="C34" s="280"/>
      <x:c r="D34" s="280"/>
      <x:c r="E34" s="280"/>
      <x:c r="F34" s="280"/>
      <x:c r="G34" s="280"/>
      <x:c r="H34" s="280"/>
      <x:c r="I34" s="280"/>
      <x:c r="J34" s="280"/>
    </x:row>
    <x:row r="35">
      <x:c r="A35" s="114" t="str">
        <x:v>1</x:v>
      </x:c>
      <x:c r="B35" s="110" t="str">
        <x:v>Prediction-market price ≠ mechanically truthful crowd belief</x:v>
      </x:c>
      <x:c r="C35" s="110" t="str">
        <x:v>Strategic traders can bluff, shade or delay information; whale size alone cannot define conviction.</x:v>
      </x:c>
      <x:c r="D35" s="110" t="str">
        <x:v>14_PM_Literature / 16_Whale_Herding</x:v>
      </x:c>
    </x:row>
    <x:row r="36">
      <x:c r="A36" s="114" t="str">
        <x:v>2</x:v>
      </x:c>
      <x:c r="B36" s="110" t="str">
        <x:v>BTC 5m has a special settlement game</x:v>
      </x:c>
      <x:c r="C36" s="110" t="str">
        <x:v>2026 research directly documents abnormal settlement-time underlying flow and reversals; final seconds need a defensive risk gate.</x:v>
      </x:c>
      <x:c r="D36" s="110" t="str">
        <x:v>15_Settlement_Risk</x:v>
      </x:c>
    </x:row>
    <x:row r="37">
      <x:c r="A37" s="114" t="str">
        <x:v>3</x:v>
      </x:c>
      <x:c r="B37" s="110" t="str">
        <x:v>Aggressor-side measurement matters</x:v>
      </x:c>
      <x:c r="C37" s="110" t="str">
        <x:v>Recent Polymarket datasets show heuristic trade-direction inference can materially corrupt OFI/VPIN/Kyle signals.</x:v>
      </x:c>
      <x:c r="D37" s="110" t="str">
        <x:v>07 / 14</x:v>
      </x:c>
    </x:row>
    <x:row r="38">
      <x:c r="A38" s="114" t="str">
        <x:v>4</x:v>
      </x:c>
      <x:c r="B38" s="110" t="str">
        <x:v>Forecasting and betting are separate layers</x:v>
      </x:c>
      <x:c r="C38" s="110" t="str">
        <x:v>Current agent benchmarks find high confidence can coexist with trading losses; entry, sizing, execution and hard caps must remain separate.</x:v>
      </x:c>
      <x:c r="D38" s="110" t="str">
        <x:v>08–12 / 14</x:v>
      </x:c>
    </x:row>
    <x:row r="39">
      <x:c r="A39" s="114" t="str">
        <x:v>5</x:v>
      </x:c>
      <x:c r="B39" s="110" t="str">
        <x:v>Cross-venue lag is not automatically alpha</x:v>
      </x:c>
      <x:c r="C39" s="110" t="str">
        <x:v>A 2026 synchronized PM–Binance study finds measurable response lags but no robust OOS trading edge after costs in its BTC 15m setup.</x:v>
      </x:c>
      <x:c r="D39" s="110" t="str">
        <x:v>07 / 14 / 17</x:v>
      </x:c>
    </x:row>
  </x:sheetData>
  <x:mergeCells>
    <x:mergeCell ref="A1:L2"/>
    <x:mergeCell ref="A3:L3"/>
    <x:mergeCell ref="A5:C7"/>
    <x:mergeCell ref="D5:F7"/>
    <x:mergeCell ref="G5:I7"/>
    <x:mergeCell ref="J5:L7"/>
    <x:mergeCell ref="A9:L9"/>
    <x:mergeCell ref="A21:L21"/>
    <x:mergeCell ref="A22:L26"/>
    <x:mergeCell ref="A28:L28"/>
    <x:mergeCell ref="A20:L20"/>
    <x:mergeCell ref="A21:L24"/>
    <x:mergeCell ref="A26:L26"/>
    <x:mergeCell ref="A34:J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3" hidden="0" customWidth="1"/>
    <x:col min="3" max="3" width="34" hidden="0" customWidth="1"/>
    <x:col min="4" max="4" width="25" hidden="0" customWidth="1"/>
    <x:col min="5" max="5" width="30" hidden="0" customWidth="1"/>
    <x:col min="6" max="6" width="34" hidden="0" customWidth="1"/>
    <x:col min="7" max="7" width="34" hidden="0" customWidth="1"/>
    <x:col min="8" max="8" width="30" hidden="0" customWidth="1"/>
    <x:col min="9" max="9" width="28" hidden="0" customWidth="1"/>
    <x:col min="10" max="10" width="35" hidden="0" customWidth="1"/>
    <x:col min="11" max="11" width="42" hidden="0" customWidth="1"/>
    <x:col min="12" max="12" width="29" hidden="0" customWidth="1"/>
    <x:col min="13" max="13" width="24" hidden="0" customWidth="1"/>
    <x:col min="14" max="14" width="42" hidden="0" customWidth="1"/>
    <x:col min="15" max="15" width="12" hidden="0" customWidth="1"/>
    <x:col min="16" max="16" width="13" hidden="0" customWidth="1"/>
    <x:col min="17" max="17" width="13" hidden="0" customWidth="1"/>
    <x:col min="18" max="18" width="11" hidden="0" customWidth="1"/>
    <x:col min="19" max="19" width="11" hidden="0" customWidth="1"/>
    <x:col min="20" max="20" width="11" hidden="0" customWidth="1"/>
    <x:col min="21" max="21" width="13" hidden="0" customWidth="1"/>
    <x:col min="22" max="22" width="9" hidden="0" customWidth="1"/>
    <x:col min="23" max="23" width="48" hidden="0" customWidth="1"/>
  </x:cols>
  <x:sheetData>
    <x:row r="1" ht="24" customHeight="1">
      <x:c r="A1" s="5" t="str">
        <x:v>博弈论方法地图 — BTC 5分钟预测适用性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4">
      <x:c r="A4" s="102" t="str">
        <x:v>ID</x:v>
      </x:c>
      <x:c r="B4" s="102" t="str">
        <x:v>Category</x:v>
      </x:c>
      <x:c r="C4" s="102" t="str">
        <x:v>Method</x:v>
      </x:c>
      <x:c r="D4" s="102" t="str">
        <x:v>Game Type</x:v>
      </x:c>
      <x:c r="E4" s="102" t="str">
        <x:v>Players</x:v>
      </x:c>
      <x:c r="F4" s="102" t="str">
        <x:v>State</x:v>
      </x:c>
      <x:c r="G4" s="102" t="str">
        <x:v>Actions</x:v>
      </x:c>
      <x:c r="H4" s="102" t="str">
        <x:v>Payoff</x:v>
      </x:c>
      <x:c r="I4" s="102" t="str">
        <x:v>Equilibrium / Solution</x:v>
      </x:c>
      <x:c r="J4" s="102" t="str">
        <x:v>Observable Proxy</x:v>
      </x:c>
      <x:c r="K4" s="102" t="str">
        <x:v>BTC 5m Role</x:v>
      </x:c>
      <x:c r="L4" s="102" t="str">
        <x:v>Required Data</x:v>
      </x:c>
      <x:c r="M4" s="102" t="str">
        <x:v>Primary Target</x:v>
      </x:c>
      <x:c r="N4" s="102" t="str">
        <x:v>Implementation</x:v>
      </x:c>
      <x:c r="O4" s="102" t="str">
        <x:v>Alpha Potential
1-5</x:v>
      </x:c>
      <x:c r="P4" s="102" t="str">
        <x:v>BTC 5m Relevance
1-5</x:v>
      </x:c>
      <x:c r="Q4" s="102" t="str">
        <x:v>Data Feasibility
1-5</x:v>
      </x:c>
      <x:c r="R4" s="102" t="str">
        <x:v>Robustness
1-5</x:v>
      </x:c>
      <x:c r="S4" s="102" t="str">
        <x:v>Complexity
1-5</x:v>
      </x:c>
      <x:c r="T4" s="102" t="str">
        <x:v>Underrated
1-5</x:v>
      </x:c>
      <x:c r="U4" s="102" t="str">
        <x:v>Weighted Score
/100</x:v>
      </x:c>
      <x:c r="V4" s="102" t="str">
        <x:v>Priority</x:v>
      </x:c>
      <x:c r="W4" s="102" t="str">
        <x:v>Verdict</x:v>
      </x:c>
    </x:row>
    <x:row r="5">
      <x:c r="A5" s="110" t="n">
        <x:v>1</x:v>
      </x:c>
      <x:c r="B5" s="110" t="str">
        <x:v>信息不对称 / Bayesian</x:v>
      </x:c>
      <x:c r="C5" s="110" t="str">
        <x:v>Kyle 模型 / Kyle λ</x:v>
      </x:c>
      <x:c r="D5" s="110" t="str">
        <x:v>Bayesian sequential game</x:v>
      </x:c>
      <x:c r="E5" s="110" t="str">
        <x:v>知情交易者、噪声交易者、做市商</x:v>
      </x:c>
      <x:c r="F5" s="110" t="str">
        <x:v>私有价值、累计订单流、市场深度</x:v>
      </x:c>
      <x:c r="G5" s="110" t="str">
        <x:v>知情者选择交易强度；做市商基于总订单流定价</x:v>
      </x:c>
      <x:c r="H5" s="110" t="str">
        <x:v>知情交易收益 vs 市场冲击；做市商零利润</x:v>
      </x:c>
      <x:c r="I5" s="110" t="str">
        <x:v>线性 Bayesian Nash equilibrium</x:v>
      </x:c>
      <x:c r="J5" s="110" t="str">
        <x:v>Kyle λ、signed volume→mid-price impact、冲击非对称性</x:v>
      </x:c>
      <x:c r="K5" s="110" t="str">
        <x:v>把订单流解释成“知情概率×价格冲击”而非纯技术指标</x:v>
      </x:c>
      <x:c r="L5" s="110" t="str">
        <x:v>逐笔成交、L2/L3、mid price</x:v>
      </x:c>
      <x:c r="M5" s="110" t="str">
        <x:v>5m return / direction / impact</x:v>
      </x:c>
      <x:c r="N5" s="110" t="str">
        <x:v>滚动估计 λ + Bayesian posterior；作为 XGBoost/Transformer 特征</x:v>
      </x:c>
      <x:c r="O5" s="135" t="n">
        <x:v>5</x:v>
      </x:c>
      <x:c r="P5" s="135" t="n">
        <x:v>5</x:v>
      </x:c>
      <x:c r="Q5" s="135" t="n">
        <x:v>5</x:v>
      </x:c>
      <x:c r="R5" s="135" t="n">
        <x:v>5</x:v>
      </x:c>
      <x:c r="S5" s="135" t="n">
        <x:v>2</x:v>
      </x:c>
      <x:c r="T5" s="135" t="n">
        <x:v>5</x:v>
      </x:c>
      <x:c r="U5" s="136" t="n">
        <x:f>(0.30*O5+0.25*P5+0.15*Q5+0.15*R5+0.10*T5+0.05*(6-S5))/5*100</x:f>
        <x:v>99</x:v>
      </x:c>
      <x:c r="V5" s="137" t="str">
        <x:f>IF(U5&gt;=84,"P0",IF(U5&gt;=72,"P1",IF(U5&gt;=60,"P2","P3")))</x:f>
        <x:v>P0</x:v>
      </x:c>
      <x:c r="W5" s="110" t="str">
        <x:v>P0。5分钟最值得落地的博弈论框架之一：结构清晰、可估计、直接对应 order flow alpha。</x:v>
      </x:c>
    </x:row>
    <x:row r="6">
      <x:c r="A6" s="110" t="n">
        <x:v>2</x:v>
      </x:c>
      <x:c r="B6" s="110" t="str">
        <x:v>信息不对称 / Bayesian</x:v>
      </x:c>
      <x:c r="C6" s="110" t="str">
        <x:v>Glosten–Milgrom adverse-selection game</x:v>
      </x:c>
      <x:c r="D6" s="110" t="str">
        <x:v>Sequential Bayesian game</x:v>
      </x:c>
      <x:c r="E6" s="110" t="str">
        <x:v>知情/非知情交易者、竞争性做市商</x:v>
      </x:c>
      <x:c r="F6" s="110" t="str">
        <x:v>资产真实状态、交易方向历史</x:v>
      </x:c>
      <x:c r="G6" s="110" t="str">
        <x:v>交易者 buy/sell/no-trade；做市商设 bid/ask</x:v>
      </x:c>
      <x:c r="H6" s="110" t="str">
        <x:v>知情收益；做市商条件零利润</x:v>
      </x:c>
      <x:c r="I6" s="110" t="str">
        <x:v>Bayesian equilibrium</x:v>
      </x:c>
      <x:c r="J6" s="110" t="str">
        <x:v>买卖方向后的价格修正、spread 的 adverse-selection component、posterior informed probability</x:v>
      </x:c>
      <x:c r="K6" s="110" t="str">
        <x:v>预测 aggressive buy/sell 后的后续漂移和 spread widening</x:v>
      </x:c>
      <x:c r="L6" s="110" t="str">
        <x:v>逐笔成交、quotes、spread</x:v>
      </x:c>
      <x:c r="M6" s="110" t="str">
        <x:v>5m direction / spread / volatility</x:v>
      </x:c>
      <x:c r="N6" s="110" t="str">
        <x:v>隐马尔可夫或贝叶斯过滤器估计 informed-share</x:v>
      </x:c>
      <x:c r="O6" s="135" t="n">
        <x:v>5</x:v>
      </x:c>
      <x:c r="P6" s="135" t="n">
        <x:v>5</x:v>
      </x:c>
      <x:c r="Q6" s="135" t="n">
        <x:v>5</x:v>
      </x:c>
      <x:c r="R6" s="135" t="n">
        <x:v>5</x:v>
      </x:c>
      <x:c r="S6" s="135" t="n">
        <x:v>3</x:v>
      </x:c>
      <x:c r="T6" s="135" t="n">
        <x:v>5</x:v>
      </x:c>
      <x:c r="U6" s="136" t="n">
        <x:f>(0.30*O6+0.25*P6+0.15*Q6+0.15*R6+0.10*T6+0.05*(6-S6))/5*100</x:f>
        <x:v>98.00000000000001</x:v>
      </x:c>
      <x:c r="V6" s="137" t="str">
        <x:f>IF(U6&gt;=84,"P0",IF(U6&gt;=72,"P1",IF(U6&gt;=60,"P2","P3")))</x:f>
        <x:v>P0</x:v>
      </x:c>
      <x:c r="W6" s="110" t="str">
        <x:v>P0。非常适合和 OFI、trade sign、spread 联合使用。</x:v>
      </x:c>
    </x:row>
    <x:row r="7">
      <x:c r="A7" s="110" t="n">
        <x:v>3</x:v>
      </x:c>
      <x:c r="B7" s="110" t="str">
        <x:v>信息不对称 / Bayesian</x:v>
      </x:c>
      <x:c r="C7" s="110" t="str">
        <x:v>PIN / informed-trading posterior</x:v>
      </x:c>
      <x:c r="D7" s="110" t="str">
        <x:v>Bayesian mixture / latent-agent game</x:v>
      </x:c>
      <x:c r="E7" s="110" t="str">
        <x:v>知情者、流动性交易者、做市商</x:v>
      </x:c>
      <x:c r="F7" s="110" t="str">
        <x:v>知情事件是否发生、买卖到达率</x:v>
      </x:c>
      <x:c r="G7" s="110" t="str">
        <x:v>不同类型产生不同 signed order arrivals</x:v>
      </x:c>
      <x:c r="H7" s="110" t="str">
        <x:v>根据类型赚取/承担 adverse selection</x:v>
      </x:c>
      <x:c r="I7" s="110" t="str">
        <x:v>Latent-state posterior</x:v>
      </x:c>
      <x:c r="J7" s="110" t="str">
        <x:v>P(informed|flow)、buy/sell arrival imbalance、toxicity</x:v>
      </x:c>
      <x:c r="K7" s="110" t="str">
        <x:v>作为 5m regime / toxicity feature</x:v>
      </x:c>
      <x:c r="L7" s="110" t="str">
        <x:v>成交方向与强度；最好有 L2</x:v>
      </x:c>
      <x:c r="M7" s="110" t="str">
        <x:v>5m return / adverse move / volatility</x:v>
      </x:c>
      <x:c r="N7" s="110" t="str">
        <x:v>滚动 Poisson/Hawkes mixture 或 HMM 近似</x:v>
      </x:c>
      <x:c r="O7" s="135" t="n">
        <x:v>4</x:v>
      </x:c>
      <x:c r="P7" s="135" t="n">
        <x:v>5</x:v>
      </x:c>
      <x:c r="Q7" s="135" t="n">
        <x:v>5</x:v>
      </x:c>
      <x:c r="R7" s="135" t="n">
        <x:v>4</x:v>
      </x:c>
      <x:c r="S7" s="135" t="n">
        <x:v>3</x:v>
      </x:c>
      <x:c r="T7" s="135" t="n">
        <x:v>4</x:v>
      </x:c>
      <x:c r="U7" s="136" t="n">
        <x:f>(0.30*O7+0.25*P7+0.15*Q7+0.15*R7+0.10*T7+0.05*(6-S7))/5*100</x:f>
        <x:v>87.00000000000001</x:v>
      </x:c>
      <x:c r="V7" s="137" t="str">
        <x:f>IF(U7&gt;=84,"P0",IF(U7&gt;=72,"P1",IF(U7&gt;=60,"P2","P3")))</x:f>
        <x:v>P0</x:v>
      </x:c>
      <x:c r="W7" s="110" t="str">
        <x:v>P0/P1。经典 PIN 的原始假设偏粗，但“知情概率后验”这个思想很实用。</x:v>
      </x:c>
    </x:row>
    <x:row r="8">
      <x:c r="A8" s="110" t="n">
        <x:v>4</x:v>
      </x:c>
      <x:c r="B8" s="110" t="str">
        <x:v>信息不对称 / Signaling</x:v>
      </x:c>
      <x:c r="C8" s="110" t="str">
        <x:v>订单侵略性 signaling game</x:v>
      </x:c>
      <x:c r="D8" s="110" t="str">
        <x:v>Signaling game</x:v>
      </x:c>
      <x:c r="E8" s="110" t="str">
        <x:v>潜在知情交易者、做市商/其他交易者</x:v>
      </x:c>
      <x:c r="F8" s="110" t="str">
        <x:v>private signal strength、book state</x:v>
      </x:c>
      <x:c r="G8" s="110" t="str">
        <x:v>market vs limit、size、distance、cancel timing</x:v>
      </x:c>
      <x:c r="H8" s="110" t="str">
        <x:v>信息利用 vs 暴露意图/冲击成本</x:v>
      </x:c>
      <x:c r="I8" s="110" t="str">
        <x:v>Separating / pooling behavior</x:v>
      </x:c>
      <x:c r="J8" s="110" t="str">
        <x:v>aggressive order share、size surprise、distance-to-mid、cancel latency</x:v>
      </x:c>
      <x:c r="K8" s="110" t="str">
        <x:v>识别“这笔大单是真需求还是诱导/噪声”</x:v>
      </x:c>
      <x:c r="L8" s="110" t="str">
        <x:v>L3 最佳；L2+trades 可近似</x:v>
      </x:c>
      <x:c r="M8" s="110" t="str">
        <x:v>5m direction / reversal</x:v>
      </x:c>
      <x:c r="N8" s="110" t="str">
        <x:v>分类器估计 latent type + downstream return model</x:v>
      </x:c>
      <x:c r="O8" s="135" t="n">
        <x:v>5</x:v>
      </x:c>
      <x:c r="P8" s="135" t="n">
        <x:v>5</x:v>
      </x:c>
      <x:c r="Q8" s="135" t="n">
        <x:v>4</x:v>
      </x:c>
      <x:c r="R8" s="135" t="n">
        <x:v>4</x:v>
      </x:c>
      <x:c r="S8" s="135" t="n">
        <x:v>4</x:v>
      </x:c>
      <x:c r="T8" s="135" t="n">
        <x:v>5</x:v>
      </x:c>
      <x:c r="U8" s="136" t="n">
        <x:f>(0.30*O8+0.25*P8+0.15*Q8+0.15*R8+0.10*T8+0.05*(6-S8))/5*100</x:f>
        <x:v>90.99999999999999</x:v>
      </x:c>
      <x:c r="V8" s="137" t="str">
        <x:f>IF(U8&gt;=84,"P0",IF(U8&gt;=72,"P1",IF(U8&gt;=60,"P2","P3")))</x:f>
        <x:v>P0</x:v>
      </x:c>
      <x:c r="W8" s="110" t="str">
        <x:v>P0/P1。被低估：把订单类型当作策略选择，而不是普通 feature。</x:v>
      </x:c>
    </x:row>
    <x:row r="9">
      <x:c r="A9" s="110" t="n">
        <x:v>5</x:v>
      </x:c>
      <x:c r="B9" s="110" t="str">
        <x:v>信息不对称 / Bayesian</x:v>
      </x:c>
      <x:c r="C9" s="110" t="str">
        <x:v>递归信念更新 / belief game</x:v>
      </x:c>
      <x:c r="D9" s="110" t="str">
        <x:v>Dynamic Bayesian game</x:v>
      </x:c>
      <x:c r="E9" s="110" t="str">
        <x:v>交易者、做市商、竞争者</x:v>
      </x:c>
      <x:c r="F9" s="110" t="str">
        <x:v>对他人类型/库存/信号的 belief</x:v>
      </x:c>
      <x:c r="G9" s="110" t="str">
        <x:v>根据新订单流更新策略</x:v>
      </x:c>
      <x:c r="H9" s="110" t="str">
        <x:v>最佳反应收益</x:v>
      </x:c>
      <x:c r="I9" s="110" t="str">
        <x:v>Perfect Bayesian / Markov equilibrium</x:v>
      </x:c>
      <x:c r="J9" s="110" t="str">
        <x:v>posterior drift、belief entropy、surprise score</x:v>
      </x:c>
      <x:c r="K9" s="110" t="str">
        <x:v>构建“市场对知情程度的实时再定价”</x:v>
      </x:c>
      <x:c r="L9" s="110" t="str">
        <x:v>L2/L3 + trades</x:v>
      </x:c>
      <x:c r="M9" s="110" t="str">
        <x:v>5m return / volatility</x:v>
      </x:c>
      <x:c r="N9" s="110" t="str">
        <x:v>Bayesian filter / particle filter + predictive model</x:v>
      </x:c>
      <x:c r="O9" s="135" t="n">
        <x:v>4</x:v>
      </x:c>
      <x:c r="P9" s="135" t="n">
        <x:v>5</x:v>
      </x:c>
      <x:c r="Q9" s="135" t="n">
        <x:v>4</x:v>
      </x:c>
      <x:c r="R9" s="135" t="n">
        <x:v>4</x:v>
      </x:c>
      <x:c r="S9" s="135" t="n">
        <x:v>4</x:v>
      </x:c>
      <x:c r="T9" s="135" t="n">
        <x:v>5</x:v>
      </x:c>
      <x:c r="U9" s="136" t="n">
        <x:f>(0.30*O9+0.25*P9+0.15*Q9+0.15*R9+0.10*T9+0.05*(6-S9))/5*100</x:f>
        <x:v>85</x:v>
      </x:c>
      <x:c r="V9" s="137" t="str">
        <x:f>IF(U9&gt;=84,"P0",IF(U9&gt;=72,"P1",IF(U9&gt;=60,"P2","P3")))</x:f>
        <x:v>P0</x:v>
      </x:c>
      <x:c r="W9" s="110" t="str">
        <x:v>P1。适合做 latent state，而不是独立价格模型。</x:v>
      </x:c>
    </x:row>
    <x:row r="10">
      <x:c r="A10" s="110" t="n">
        <x:v>6</x:v>
      </x:c>
      <x:c r="B10" s="110" t="str">
        <x:v>信息不对称 / Transparency</x:v>
      </x:c>
      <x:c r="C10" s="110" t="str">
        <x:v>Sunshine trading / 可见大单博弈</x:v>
      </x:c>
      <x:c r="D10" s="110" t="str">
        <x:v>Signaling / commitment game</x:v>
      </x:c>
      <x:c r="E10" s="110" t="str">
        <x:v>公开执行的大单、做市商、套利者</x:v>
      </x:c>
      <x:c r="F10" s="110" t="str">
        <x:v>已披露剩余量、执行路径、book depth</x:v>
      </x:c>
      <x:c r="G10" s="110" t="str">
        <x:v>大单按计划执行；对手选择供给流动性或捕食</x:v>
      </x:c>
      <x:c r="H10" s="110" t="str">
        <x:v>执行成本 vs 流动性供给/捕食利润</x:v>
      </x:c>
      <x:c r="I10" s="110" t="str">
        <x:v>Strategic response equilibrium</x:v>
      </x:c>
      <x:c r="J10" s="110" t="str">
        <x:v>公开 TWAP 剩余量、impact slope、liquidity refill、front-run pressure</x:v>
      </x:c>
      <x:c r="K10" s="110" t="str">
        <x:v>对 Hyperliquid 等透明执行场景直接有用</x:v>
      </x:c>
      <x:c r="L10" s="110" t="str">
        <x:v>公开 TWAP/order labels、LOB</x:v>
      </x:c>
      <x:c r="M10" s="110" t="str">
        <x:v>5m impact / reversal / slippage</x:v>
      </x:c>
      <x:c r="N10" s="110" t="str">
        <x:v>事件研究 + structural response features</x:v>
      </x:c>
      <x:c r="O10" s="135" t="n">
        <x:v>4</x:v>
      </x:c>
      <x:c r="P10" s="135" t="n">
        <x:v>4</x:v>
      </x:c>
      <x:c r="Q10" s="135" t="n">
        <x:v>3</x:v>
      </x:c>
      <x:c r="R10" s="135" t="n">
        <x:v>4</x:v>
      </x:c>
      <x:c r="S10" s="135" t="n">
        <x:v>4</x:v>
      </x:c>
      <x:c r="T10" s="135" t="n">
        <x:v>5</x:v>
      </x:c>
      <x:c r="U10" s="136" t="n">
        <x:f>(0.30*O10+0.25*P10+0.15*Q10+0.15*R10+0.10*T10+0.05*(6-S10))/5*100</x:f>
        <x:v>77.00000000000001</x:v>
      </x:c>
      <x:c r="V10" s="137" t="str">
        <x:f>IF(U10&gt;=84,"P0",IF(U10&gt;=72,"P1",IF(U10&gt;=60,"P2","P3")))</x:f>
        <x:v>P1</x:v>
      </x:c>
      <x:c r="W10" s="110" t="str">
        <x:v>P1。对链上/公开 TWAP 场景很强，对普通 CEX 需要代理变量。</x:v>
      </x:c>
    </x:row>
    <x:row r="11">
      <x:c r="A11" s="110" t="n">
        <x:v>7</x:v>
      </x:c>
      <x:c r="B11" s="110" t="str">
        <x:v>订单簿策略 / LOB</x:v>
      </x:c>
      <x:c r="C11" s="110" t="str">
        <x:v>Parlour 动态限价单博弈</x:v>
      </x:c>
      <x:c r="D11" s="110" t="str">
        <x:v>Dynamic sequential game</x:v>
      </x:c>
      <x:c r="E11" s="110" t="str">
        <x:v>流动性交易者</x:v>
      </x:c>
      <x:c r="F11" s="110" t="str">
        <x:v>当前 bid/ask queue、未来到达预期</x:v>
      </x:c>
      <x:c r="G11" s="110" t="str">
        <x:v>limit vs market；buy vs sell</x:v>
      </x:c>
      <x:c r="H11" s="110" t="str">
        <x:v>执行价格 vs 等待/不成交成本</x:v>
      </x:c>
      <x:c r="I11" s="110" t="str">
        <x:v>Dynamic equilibrium</x:v>
      </x:c>
      <x:c r="J11" s="110" t="str">
        <x:v>market-order share、queue imbalance、execution probability</x:v>
      </x:c>
      <x:c r="K11" s="110" t="str">
        <x:v>解释 why imbalance predicts next move</x:v>
      </x:c>
      <x:c r="L11" s="110" t="str">
        <x:v>L2/L3</x:v>
      </x:c>
      <x:c r="M11" s="110" t="str">
        <x:v>next move / 5m direction</x:v>
      </x:c>
      <x:c r="N11" s="110" t="str">
        <x:v>queue state + choice model / discrete choice</x:v>
      </x:c>
      <x:c r="O11" s="135" t="n">
        <x:v>5</x:v>
      </x:c>
      <x:c r="P11" s="135" t="n">
        <x:v>5</x:v>
      </x:c>
      <x:c r="Q11" s="135" t="n">
        <x:v>5</x:v>
      </x:c>
      <x:c r="R11" s="135" t="n">
        <x:v>5</x:v>
      </x:c>
      <x:c r="S11" s="135" t="n">
        <x:v>3</x:v>
      </x:c>
      <x:c r="T11" s="135" t="n">
        <x:v>5</x:v>
      </x:c>
      <x:c r="U11" s="136" t="n">
        <x:f>(0.30*O11+0.25*P11+0.15*Q11+0.15*R11+0.10*T11+0.05*(6-S11))/5*100</x:f>
        <x:v>98.00000000000001</x:v>
      </x:c>
      <x:c r="V11" s="137" t="str">
        <x:f>IF(U11&gt;=84,"P0",IF(U11&gt;=72,"P1",IF(U11&gt;=60,"P2","P3")))</x:f>
        <x:v>P0</x:v>
      </x:c>
      <x:c r="W11" s="110" t="str">
        <x:v>P0。订单簿博弈的经典起点，实际可直接映射为特征。</x:v>
      </x:c>
    </x:row>
    <x:row r="12">
      <x:c r="A12" s="110" t="n">
        <x:v>8</x:v>
      </x:c>
      <x:c r="B12" s="110" t="str">
        <x:v>订单簿策略 / LOB</x:v>
      </x:c>
      <x:c r="C12" s="110" t="str">
        <x:v>Foucault–Kadan–Kandel patience game</x:v>
      </x:c>
      <x:c r="D12" s="110" t="str">
        <x:v>Dynamic liquidity game</x:v>
      </x:c>
      <x:c r="E12" s="110" t="str">
        <x:v>不同耐心程度的交易者</x:v>
      </x:c>
      <x:c r="F12" s="110" t="str">
        <x:v>arrival rate、impatience mix、spread/book</x:v>
      </x:c>
      <x:c r="G12" s="110" t="str">
        <x:v>patient→limit；impatient→market</x:v>
      </x:c>
      <x:c r="H12" s="110" t="str">
        <x:v>execution surplus vs waiting cost</x:v>
      </x:c>
      <x:c r="I12" s="110" t="str">
        <x:v>Dynamic equilibrium</x:v>
      </x:c>
      <x:c r="J12" s="110" t="str">
        <x:v>market/limit ratio、order lifetime、cancel rate、spread resilience</x:v>
      </x:c>
      <x:c r="K12" s="110" t="str">
        <x:v>预测流动性脆弱性和 5m 波动</x:v>
      </x:c>
      <x:c r="L12" s="110" t="str">
        <x:v>L2/L3</x:v>
      </x:c>
      <x:c r="M12" s="110" t="str">
        <x:v>volatility / spread / return tails</x:v>
      </x:c>
      <x:c r="N12" s="110" t="str">
        <x:v>估计 impatience latent factor + regime model</x:v>
      </x:c>
      <x:c r="O12" s="135" t="n">
        <x:v>4</x:v>
      </x:c>
      <x:c r="P12" s="135" t="n">
        <x:v>5</x:v>
      </x:c>
      <x:c r="Q12" s="135" t="n">
        <x:v>4</x:v>
      </x:c>
      <x:c r="R12" s="135" t="n">
        <x:v>5</x:v>
      </x:c>
      <x:c r="S12" s="135" t="n">
        <x:v>3</x:v>
      </x:c>
      <x:c r="T12" s="135" t="n">
        <x:v>5</x:v>
      </x:c>
      <x:c r="U12" s="136" t="n">
        <x:f>(0.30*O12+0.25*P12+0.15*Q12+0.15*R12+0.10*T12+0.05*(6-S12))/5*100</x:f>
        <x:v>89.00000000000003</x:v>
      </x:c>
      <x:c r="V12" s="137" t="str">
        <x:f>IF(U12&gt;=84,"P0",IF(U12&gt;=72,"P1",IF(U12&gt;=60,"P2","P3")))</x:f>
        <x:v>P0</x:v>
      </x:c>
      <x:c r="W12" s="110" t="str">
        <x:v>P0/P1。对“突然变薄/变急”的市场很有解释力。</x:v>
      </x:c>
    </x:row>
    <x:row r="13">
      <x:c r="A13" s="110" t="n">
        <x:v>9</x:v>
      </x:c>
      <x:c r="B13" s="110" t="str">
        <x:v>订单簿策略 / LOB</x:v>
      </x:c>
      <x:c r="C13" s="110" t="str">
        <x:v>Rosu 动态 LOB Markov equilibrium</x:v>
      </x:c>
      <x:c r="D13" s="110" t="str">
        <x:v>Markov game</x:v>
      </x:c>
      <x:c r="E13" s="110" t="str">
        <x:v>战略性流动性交易者</x:v>
      </x:c>
      <x:c r="F13" s="110" t="str">
        <x:v>买卖订单数量/队列状态</x:v>
      </x:c>
      <x:c r="G13" s="110" t="str">
        <x:v>limit/market + quote improvement</x:v>
      </x:c>
      <x:c r="H13" s="110" t="str">
        <x:v>价格改善 vs execution delay</x:v>
      </x:c>
      <x:c r="I13" s="110" t="str">
        <x:v>Markov equilibrium</x:v>
      </x:c>
      <x:c r="J13" s="110" t="str">
        <x:v>book pressure、undercut rate、queue state transition</x:v>
      </x:c>
      <x:c r="K13" s="110" t="str">
        <x:v>从 queue state 推断 equilibrium bid/ask pressure</x:v>
      </x:c>
      <x:c r="L13" s="110" t="str">
        <x:v>L2/L3</x:v>
      </x:c>
      <x:c r="M13" s="110" t="str">
        <x:v>next price move / 5m direction</x:v>
      </x:c>
      <x:c r="N13" s="110" t="str">
        <x:v>Markov state transition + structural features</x:v>
      </x:c>
      <x:c r="O13" s="135" t="n">
        <x:v>5</x:v>
      </x:c>
      <x:c r="P13" s="135" t="n">
        <x:v>5</x:v>
      </x:c>
      <x:c r="Q13" s="135" t="n">
        <x:v>4</x:v>
      </x:c>
      <x:c r="R13" s="135" t="n">
        <x:v>5</x:v>
      </x:c>
      <x:c r="S13" s="135" t="n">
        <x:v>4</x:v>
      </x:c>
      <x:c r="T13" s="135" t="n">
        <x:v>5</x:v>
      </x:c>
      <x:c r="U13" s="136" t="n">
        <x:f>(0.30*O13+0.25*P13+0.15*Q13+0.15*R13+0.10*T13+0.05*(6-S13))/5*100</x:f>
        <x:v>93.99999999999999</x:v>
      </x:c>
      <x:c r="V13" s="137" t="str">
        <x:f>IF(U13&gt;=84,"P0",IF(U13&gt;=72,"P1",IF(U13&gt;=60,"P2","P3")))</x:f>
        <x:v>P0</x:v>
      </x:c>
      <x:c r="W13" s="110" t="str">
        <x:v>P0/P1。理论上比简单 imbalance 更接近“策略后的订单簿”。</x:v>
      </x:c>
    </x:row>
    <x:row r="14">
      <x:c r="A14" s="110" t="n">
        <x:v>10</x:v>
      </x:c>
      <x:c r="B14" s="110" t="str">
        <x:v>订单簿策略 / LOB</x:v>
      </x:c>
      <x:c r="C14" s="110" t="str">
        <x:v>Goettler–Parlour–Rajan 动态 LOB</x:v>
      </x:c>
      <x:c r="D14" s="110" t="str">
        <x:v>Dynamic stochastic game</x:v>
      </x:c>
      <x:c r="E14" s="110" t="str">
        <x:v>异质估值/耐心交易者</x:v>
      </x:c>
      <x:c r="F14" s="110" t="str">
        <x:v>full book、private value、time priority</x:v>
      </x:c>
      <x:c r="G14" s="110" t="str">
        <x:v>价格和数量上的订单选择</x:v>
      </x:c>
      <x:c r="H14" s="110" t="str">
        <x:v>交易剩余、执行概率、等待成本</x:v>
      </x:c>
      <x:c r="I14" s="110" t="str">
        <x:v>Stationary Markov equilibrium</x:v>
      </x:c>
      <x:c r="J14" s="110" t="str">
        <x:v>order placement distribution、depth shape、fill hazard</x:v>
      </x:c>
      <x:c r="K14" s="110" t="str">
        <x:v>建立“LOB 状态→最佳反应→未来订单流”的结构模型</x:v>
      </x:c>
      <x:c r="L14" s="110" t="str">
        <x:v>L3 最佳</x:v>
      </x:c>
      <x:c r="M14" s="110" t="str">
        <x:v>event flow / 5m price path</x:v>
      </x:c>
      <x:c r="N14" s="110" t="str">
        <x:v>仿真校准 / approximate dynamic programming</x:v>
      </x:c>
      <x:c r="O14" s="135" t="n">
        <x:v>4</x:v>
      </x:c>
      <x:c r="P14" s="135" t="n">
        <x:v>5</x:v>
      </x:c>
      <x:c r="Q14" s="135" t="n">
        <x:v>3</x:v>
      </x:c>
      <x:c r="R14" s="135" t="n">
        <x:v>5</x:v>
      </x:c>
      <x:c r="S14" s="135" t="n">
        <x:v>5</x:v>
      </x:c>
      <x:c r="T14" s="135" t="n">
        <x:v>5</x:v>
      </x:c>
      <x:c r="U14" s="136" t="n">
        <x:f>(0.30*O14+0.25*P14+0.15*Q14+0.15*R14+0.10*T14+0.05*(6-S14))/5*100</x:f>
        <x:v>84.00000000000001</x:v>
      </x:c>
      <x:c r="V14" s="137" t="str">
        <x:f>IF(U14&gt;=84,"P0",IF(U14&gt;=72,"P1",IF(U14&gt;=60,"P2","P3")))</x:f>
        <x:v>P0</x:v>
      </x:c>
      <x:c r="W14" s="110" t="str">
        <x:v>P1。研究价值很高，工程成本也高。</x:v>
      </x:c>
    </x:row>
    <x:row r="15">
      <x:c r="A15" s="110" t="n">
        <x:v>11</x:v>
      </x:c>
      <x:c r="B15" s="110" t="str">
        <x:v>订单簿策略 / LOB</x:v>
      </x:c>
      <x:c r="C15" s="110" t="str">
        <x:v>Queue-position game</x:v>
      </x:c>
      <x:c r="D15" s="110" t="str">
        <x:v>Congestion / queueing game</x:v>
      </x:c>
      <x:c r="E15" s="110" t="str">
        <x:v>同价位流动性提供者</x:v>
      </x:c>
      <x:c r="F15" s="110" t="str">
        <x:v>queue length、position、cancel hazard</x:v>
      </x:c>
      <x:c r="G15" s="110" t="str">
        <x:v>join、improve、cancel、cross spread</x:v>
      </x:c>
      <x:c r="H15" s="110" t="str">
        <x:v>rebate/spread capture vs fill risk/adverse selection</x:v>
      </x:c>
      <x:c r="I15" s="110" t="str">
        <x:v>Queue equilibrium / best response</x:v>
      </x:c>
      <x:c r="J15" s="110" t="str">
        <x:v>queue ahead、queue age、join/cancel imbalance、fill hazard</x:v>
      </x:c>
      <x:c r="K15" s="110" t="str">
        <x:v>对 5m microprice / next-tick 预测非常直接</x:v>
      </x:c>
      <x:c r="L15" s="110" t="str">
        <x:v>L3；L2 可粗略</x:v>
      </x:c>
      <x:c r="M15" s="110" t="str">
        <x:v>next move / fill / reversal</x:v>
      </x:c>
      <x:c r="N15" s="110" t="str">
        <x:v>hazard model + game-derived queue value</x:v>
      </x:c>
      <x:c r="O15" s="135" t="n">
        <x:v>5</x:v>
      </x:c>
      <x:c r="P15" s="135" t="n">
        <x:v>5</x:v>
      </x:c>
      <x:c r="Q15" s="135" t="n">
        <x:v>3</x:v>
      </x:c>
      <x:c r="R15" s="135" t="n">
        <x:v>5</x:v>
      </x:c>
      <x:c r="S15" s="135" t="n">
        <x:v>4</x:v>
      </x:c>
      <x:c r="T15" s="135" t="n">
        <x:v>5</x:v>
      </x:c>
      <x:c r="U15" s="136" t="n">
        <x:f>(0.30*O15+0.25*P15+0.15*Q15+0.15*R15+0.10*T15+0.05*(6-S15))/5*100</x:f>
        <x:v>90.99999999999999</x:v>
      </x:c>
      <x:c r="V15" s="137" t="str">
        <x:f>IF(U15&gt;=84,"P0",IF(U15&gt;=72,"P1",IF(U15&gt;=60,"P2","P3")))</x:f>
        <x:v>P0</x:v>
      </x:c>
      <x:c r="W15" s="110" t="str">
        <x:v>P0/P1。若拿得到 L3，是最值得做的路线之一。</x:v>
      </x:c>
    </x:row>
    <x:row r="16">
      <x:c r="A16" s="110" t="n">
        <x:v>12</x:v>
      </x:c>
      <x:c r="B16" s="110" t="str">
        <x:v>订单簿策略 / LOB</x:v>
      </x:c>
      <x:c r="C16" s="110" t="str">
        <x:v>Cancellation / resubmission game</x:v>
      </x:c>
      <x:c r="D16" s="110" t="str">
        <x:v>Dynamic game</x:v>
      </x:c>
      <x:c r="E16" s="110" t="str">
        <x:v>resting liquidity providers、takers</x:v>
      </x:c>
      <x:c r="F16" s="110" t="str">
        <x:v>new information、queue position、spread</x:v>
      </x:c>
      <x:c r="G16" s="110" t="str">
        <x:v>cancel / reprice / stay</x:v>
      </x:c>
      <x:c r="H16" s="110" t="str">
        <x:v>避免 adverse selection vs 失去 queue priority</x:v>
      </x:c>
      <x:c r="I16" s="110" t="str">
        <x:v>Markov best response</x:v>
      </x:c>
      <x:c r="J16" s="110" t="str">
        <x:v>cancel bursts、cancel-to-add ratio、reprice distance、order age</x:v>
      </x:c>
      <x:c r="K16" s="110" t="str">
        <x:v>cancel 往往比静态 depth 更快反映战略变化</x:v>
      </x:c>
      <x:c r="L16" s="110" t="str">
        <x:v>L3 最佳</x:v>
      </x:c>
      <x:c r="M16" s="110" t="str">
        <x:v>5m direction / volatility</x:v>
      </x:c>
      <x:c r="N16" s="110" t="str">
        <x:v>survival model / point process + predictive model</x:v>
      </x:c>
      <x:c r="O16" s="135" t="n">
        <x:v>5</x:v>
      </x:c>
      <x:c r="P16" s="135" t="n">
        <x:v>5</x:v>
      </x:c>
      <x:c r="Q16" s="135" t="n">
        <x:v>3</x:v>
      </x:c>
      <x:c r="R16" s="135" t="n">
        <x:v>4</x:v>
      </x:c>
      <x:c r="S16" s="135" t="n">
        <x:v>4</x:v>
      </x:c>
      <x:c r="T16" s="135" t="n">
        <x:v>5</x:v>
      </x:c>
      <x:c r="U16" s="136" t="n">
        <x:f>(0.30*O16+0.25*P16+0.15*Q16+0.15*R16+0.10*T16+0.05*(6-S16))/5*100</x:f>
        <x:v>88.00000000000001</x:v>
      </x:c>
      <x:c r="V16" s="137" t="str">
        <x:f>IF(U16&gt;=84,"P0",IF(U16&gt;=72,"P1",IF(U16&gt;=60,"P2","P3")))</x:f>
        <x:v>P0</x:v>
      </x:c>
      <x:c r="W16" s="110" t="str">
        <x:v>P0/P1。被低估，尤其适合 crypto LOB。</x:v>
      </x:c>
    </x:row>
    <x:row r="17">
      <x:c r="A17" s="110" t="n">
        <x:v>13</x:v>
      </x:c>
      <x:c r="B17" s="110" t="str">
        <x:v>订单簿策略 / LOB</x:v>
      </x:c>
      <x:c r="C17" s="110" t="str">
        <x:v>Spread-undercutting game</x:v>
      </x:c>
      <x:c r="D17" s="110" t="str">
        <x:v>Bertrand-like price competition</x:v>
      </x:c>
      <x:c r="E17" s="110" t="str">
        <x:v>多个做市/限价流动性提供者</x:v>
      </x:c>
      <x:c r="F17" s="110" t="str">
        <x:v>best quotes、inventory、tick size</x:v>
      </x:c>
      <x:c r="G17" s="110" t="str">
        <x:v>improve quote / match / withdraw</x:v>
      </x:c>
      <x:c r="H17" s="110" t="str">
        <x:v>spread capture vs execution/adverse selection</x:v>
      </x:c>
      <x:c r="I17" s="110" t="str">
        <x:v>Mixed / Markov equilibrium</x:v>
      </x:c>
      <x:c r="J17" s="110" t="str">
        <x:v>inside-spread improvement、quote lifetime、spread compression speed</x:v>
      </x:c>
      <x:c r="K17" s="110" t="str">
        <x:v>识别流动性竞争增强/崩塌</x:v>
      </x:c>
      <x:c r="L17" s="110" t="str">
        <x:v>L2/L3</x:v>
      </x:c>
      <x:c r="M17" s="110" t="str">
        <x:v>spread / next move / volatility</x:v>
      </x:c>
      <x:c r="N17" s="110" t="str">
        <x:v>state-dependent hazard / best-response features</x:v>
      </x:c>
      <x:c r="O17" s="135" t="n">
        <x:v>4</x:v>
      </x:c>
      <x:c r="P17" s="135" t="n">
        <x:v>5</x:v>
      </x:c>
      <x:c r="Q17" s="135" t="n">
        <x:v>4</x:v>
      </x:c>
      <x:c r="R17" s="135" t="n">
        <x:v>5</x:v>
      </x:c>
      <x:c r="S17" s="135" t="n">
        <x:v>3</x:v>
      </x:c>
      <x:c r="T17" s="135" t="n">
        <x:v>4</x:v>
      </x:c>
      <x:c r="U17" s="136" t="n">
        <x:f>(0.30*O17+0.25*P17+0.15*Q17+0.15*R17+0.10*T17+0.05*(6-S17))/5*100</x:f>
        <x:v>87.00000000000001</x:v>
      </x:c>
      <x:c r="V17" s="137" t="str">
        <x:f>IF(U17&gt;=84,"P0",IF(U17&gt;=72,"P1",IF(U17&gt;=60,"P2","P3")))</x:f>
        <x:v>P0</x:v>
      </x:c>
      <x:c r="W17" s="110" t="str">
        <x:v>P1。对高流动 BTC perp 尤其有意义。</x:v>
      </x:c>
    </x:row>
    <x:row r="18">
      <x:c r="A18" s="110" t="n">
        <x:v>14</x:v>
      </x:c>
      <x:c r="B18" s="110" t="str">
        <x:v>订单簿策略 / LOB</x:v>
      </x:c>
      <x:c r="C18" s="110" t="str">
        <x:v>Maker–taker strategic interaction</x:v>
      </x:c>
      <x:c r="D18" s="110" t="str">
        <x:v>General-sum game</x:v>
      </x:c>
      <x:c r="E18" s="110" t="str">
        <x:v>maker、taker</x:v>
      </x:c>
      <x:c r="F18" s="110" t="str">
        <x:v>spread、depth、volatility、inventory</x:v>
      </x:c>
      <x:c r="G18" s="110" t="str">
        <x:v>maker quote；taker trade/等待</x:v>
      </x:c>
      <x:c r="H18" s="110" t="str">
        <x:v>maker spread capture vs adverse selection；taker timing alpha</x:v>
      </x:c>
      <x:c r="I18" s="110" t="str">
        <x:v>Nash / stochastic game</x:v>
      </x:c>
      <x:c r="J18" s="110" t="str">
        <x:v>maker withdrawal、taker aggressiveness、effective spread</x:v>
      </x:c>
      <x:c r="K18" s="110" t="str">
        <x:v>把“流动性供给”与“方向性需求”分开建模</x:v>
      </x:c>
      <x:c r="L18" s="110" t="str">
        <x:v>L2/trades</x:v>
      </x:c>
      <x:c r="M18" s="110" t="str">
        <x:v>5m return / liquidity</x:v>
      </x:c>
      <x:c r="N18" s="110" t="str">
        <x:v>two-agent latent policy model</x:v>
      </x:c>
      <x:c r="O18" s="135" t="n">
        <x:v>5</x:v>
      </x:c>
      <x:c r="P18" s="135" t="n">
        <x:v>5</x:v>
      </x:c>
      <x:c r="Q18" s="135" t="n">
        <x:v>4</x:v>
      </x:c>
      <x:c r="R18" s="135" t="n">
        <x:v>5</x:v>
      </x:c>
      <x:c r="S18" s="135" t="n">
        <x:v>4</x:v>
      </x:c>
      <x:c r="T18" s="135" t="n">
        <x:v>5</x:v>
      </x:c>
      <x:c r="U18" s="136" t="n">
        <x:f>(0.30*O18+0.25*P18+0.15*Q18+0.15*R18+0.10*T18+0.05*(6-S18))/5*100</x:f>
        <x:v>93.99999999999999</x:v>
      </x:c>
      <x:c r="V18" s="137" t="str">
        <x:f>IF(U18&gt;=84,"P0",IF(U18&gt;=72,"P1",IF(U18&gt;=60,"P2","P3")))</x:f>
        <x:v>P0</x:v>
      </x:c>
      <x:c r="W18" s="110" t="str">
        <x:v>P0/P1。是把经典做市与短线方向预测接起来的核心框架。</x:v>
      </x:c>
    </x:row>
    <x:row r="19">
      <x:c r="A19" s="110" t="n">
        <x:v>15</x:v>
      </x:c>
      <x:c r="B19" s="110" t="str">
        <x:v>订单簿策略 / Venue</x:v>
      </x:c>
      <x:c r="C19" s="110" t="str">
        <x:v>跨交易所 order-flow competition</x:v>
      </x:c>
      <x:c r="D19" s="110" t="str">
        <x:v>Competition game</x:v>
      </x:c>
      <x:c r="E19" s="110" t="str">
        <x:v>Binance/OKX/Bybit/Hyperliquid 等 venue 与交易者</x:v>
      </x:c>
      <x:c r="F19" s="110" t="str">
        <x:v>fees、latency、depth、price lead-lag</x:v>
      </x:c>
      <x:c r="G19" s="110" t="str">
        <x:v>route order / quote / arbitrage</x:v>
      </x:c>
      <x:c r="H19" s="110" t="str">
        <x:v>execution quality、rebates、information advantage</x:v>
      </x:c>
      <x:c r="I19" s="110" t="str">
        <x:v>Venue competition equilibrium</x:v>
      </x:c>
      <x:c r="J19" s="110" t="str">
        <x:v>lead-lag、cross-venue OFI divergence、spread/depth differential</x:v>
      </x:c>
      <x:c r="K19" s="110" t="str">
        <x:v>BTC 5m 极实用：价格发现经常跨 venue 传播</x:v>
      </x:c>
      <x:c r="L19" s="110" t="str">
        <x:v>多交易所 L2/trades</x:v>
      </x:c>
      <x:c r="M19" s="110" t="str">
        <x:v>5m direction / convergence</x:v>
      </x:c>
      <x:c r="N19" s="110" t="str">
        <x:v>lead-lag graph + game-inspired routing pressure</x:v>
      </x:c>
      <x:c r="O19" s="135" t="n">
        <x:v>5</x:v>
      </x:c>
      <x:c r="P19" s="135" t="n">
        <x:v>5</x:v>
      </x:c>
      <x:c r="Q19" s="135" t="n">
        <x:v>4</x:v>
      </x:c>
      <x:c r="R19" s="135" t="n">
        <x:v>5</x:v>
      </x:c>
      <x:c r="S19" s="135" t="n">
        <x:v>4</x:v>
      </x:c>
      <x:c r="T19" s="135" t="n">
        <x:v>5</x:v>
      </x:c>
      <x:c r="U19" s="136" t="n">
        <x:f>(0.30*O19+0.25*P19+0.15*Q19+0.15*R19+0.10*T19+0.05*(6-S19))/5*100</x:f>
        <x:v>93.99999999999999</x:v>
      </x:c>
      <x:c r="V19" s="137" t="str">
        <x:f>IF(U19&gt;=84,"P0",IF(U19&gt;=72,"P1",IF(U19&gt;=60,"P2","P3")))</x:f>
        <x:v>P0</x:v>
      </x:c>
      <x:c r="W19" s="110" t="str">
        <x:v>P0。实盘价值高于许多纯理论模型。</x:v>
      </x:c>
    </x:row>
    <x:row r="20">
      <x:c r="A20" s="110" t="n">
        <x:v>16</x:v>
      </x:c>
      <x:c r="B20" s="110" t="str">
        <x:v>市场冲击 / Predation</x:v>
      </x:c>
      <x:c r="C20" s="110" t="str">
        <x:v>Brunnermeier–Pedersen predatory trading</x:v>
      </x:c>
      <x:c r="D20" s="110" t="str">
        <x:v>Dynamic game</x:v>
      </x:c>
      <x:c r="E20" s="110" t="str">
        <x:v>被迫平仓者、捕食者、流动性提供者</x:v>
      </x:c>
      <x:c r="F20" s="110" t="str">
        <x:v>forced inventory、liquidity、known/learned liquidation need</x:v>
      </x:c>
      <x:c r="G20" s="110" t="str">
        <x:v>victim liquidates；predators front-run/withhold liquidity</x:v>
      </x:c>
      <x:c r="H20" s="110" t="str">
        <x:v>liquidation cost vs predation profit</x:v>
      </x:c>
      <x:c r="I20" s="110" t="str">
        <x:v>Strategic equilibrium</x:v>
      </x:c>
      <x:c r="J20" s="110" t="str">
        <x:v>impact acceleration、depth withdrawal、signed-volume persistence、liquidation proximity</x:v>
      </x:c>
      <x:c r="K20" s="110" t="str">
        <x:v>适合 BTC 杠杆市场：强平/去杠杆前后非常关键</x:v>
      </x:c>
      <x:c r="L20" s="110" t="str">
        <x:v>perp LOB、liquidations、OI、funding</x:v>
      </x:c>
      <x:c r="M20" s="110" t="str">
        <x:v>5m crash/rally tail / impact</x:v>
      </x:c>
      <x:c r="N20" s="110" t="str">
        <x:v>predation vulnerability score + tail classifier</x:v>
      </x:c>
      <x:c r="O20" s="135" t="n">
        <x:v>5</x:v>
      </x:c>
      <x:c r="P20" s="135" t="n">
        <x:v>5</x:v>
      </x:c>
      <x:c r="Q20" s="135" t="n">
        <x:v>4</x:v>
      </x:c>
      <x:c r="R20" s="135" t="n">
        <x:v>5</x:v>
      </x:c>
      <x:c r="S20" s="135" t="n">
        <x:v>4</x:v>
      </x:c>
      <x:c r="T20" s="135" t="n">
        <x:v>5</x:v>
      </x:c>
      <x:c r="U20" s="136" t="n">
        <x:f>(0.30*O20+0.25*P20+0.15*Q20+0.15*R20+0.10*T20+0.05*(6-S20))/5*100</x:f>
        <x:v>93.99999999999999</x:v>
      </x:c>
      <x:c r="V20" s="137" t="str">
        <x:f>IF(U20&gt;=84,"P0",IF(U20&gt;=72,"P1",IF(U20&gt;=60,"P2","P3")))</x:f>
        <x:v>P0</x:v>
      </x:c>
      <x:c r="W20" s="110" t="str">
        <x:v>P0。对 BTC 5m 尾部波动，我给最高优先级之一。</x:v>
      </x:c>
    </x:row>
    <x:row r="21">
      <x:c r="A21" s="110" t="n">
        <x:v>17</x:v>
      </x:c>
      <x:c r="B21" s="110" t="str">
        <x:v>市场冲击 / Predation</x:v>
      </x:c>
      <x:c r="C21" s="110" t="str">
        <x:v>Transient-impact Nash game</x:v>
      </x:c>
      <x:c r="D21" s="110" t="str">
        <x:v>Dynamic differential game</x:v>
      </x:c>
      <x:c r="E21" s="110" t="str">
        <x:v>多个执行者/HFT</x:v>
      </x:c>
      <x:c r="F21" s="110" t="str">
        <x:v>inventories、impact kernel、transaction costs</x:v>
      </x:c>
      <x:c r="G21" s="110" t="str">
        <x:v>buy/sell schedule</x:v>
      </x:c>
      <x:c r="H21" s="110" t="str">
        <x:v>execution cost + risk</x:v>
      </x:c>
      <x:c r="I21" s="110" t="str">
        <x:v>Open-loop Nash equilibrium</x:v>
      </x:c>
      <x:c r="J21" s="110" t="str">
        <x:v>impact decay、flow autocorrelation、reversal speed</x:v>
      </x:c>
      <x:c r="K21" s="110" t="str">
        <x:v>区分真正信息冲击 vs 机械冲击/暂态冲击</x:v>
      </x:c>
      <x:c r="L21" s="110" t="str">
        <x:v>trades、mid、最好有 participant proxy</x:v>
      </x:c>
      <x:c r="M21" s="110" t="str">
        <x:v>5m continuation vs reversal</x:v>
      </x:c>
      <x:c r="N21" s="110" t="str">
        <x:v>估计 impact kernel + strategic equilibrium residual</x:v>
      </x:c>
      <x:c r="O21" s="135" t="n">
        <x:v>5</x:v>
      </x:c>
      <x:c r="P21" s="135" t="n">
        <x:v>5</x:v>
      </x:c>
      <x:c r="Q21" s="135" t="n">
        <x:v>4</x:v>
      </x:c>
      <x:c r="R21" s="135" t="n">
        <x:v>5</x:v>
      </x:c>
      <x:c r="S21" s="135" t="n">
        <x:v>4</x:v>
      </x:c>
      <x:c r="T21" s="135" t="n">
        <x:v>5</x:v>
      </x:c>
      <x:c r="U21" s="136" t="n">
        <x:f>(0.30*O21+0.25*P21+0.15*Q21+0.15*R21+0.10*T21+0.05*(6-S21))/5*100</x:f>
        <x:v>93.99999999999999</x:v>
      </x:c>
      <x:c r="V21" s="137" t="str">
        <x:f>IF(U21&gt;=84,"P0",IF(U21&gt;=72,"P1",IF(U21&gt;=60,"P2","P3")))</x:f>
        <x:v>P0</x:v>
      </x:c>
      <x:c r="W21" s="110" t="str">
        <x:v>P0/P1。直接对应 5m 的 continuation/reversal 判断。</x:v>
      </x:c>
    </x:row>
    <x:row r="22">
      <x:c r="A22" s="110" t="n">
        <x:v>18</x:v>
      </x:c>
      <x:c r="B22" s="110" t="str">
        <x:v>市场冲击 / Predation</x:v>
      </x:c>
      <x:c r="C22" s="110" t="str">
        <x:v>Hot-potato game</x:v>
      </x:c>
      <x:c r="D22" s="110" t="str">
        <x:v>Nash market-impact game</x:v>
      </x:c>
      <x:c r="E22" s="110" t="str">
        <x:v>HFT/执行者</x:v>
      </x:c>
      <x:c r="F22" s="110" t="str">
        <x:v>低交易成本、短暂冲击、inventory</x:v>
      </x:c>
      <x:c r="G22" s="110" t="str">
        <x:v>高速互相转手</x:v>
      </x:c>
      <x:c r="H22" s="110" t="str">
        <x:v>避免持仓/利用对手冲击</x:v>
      </x:c>
      <x:c r="I22" s="110" t="str">
        <x:v>Nash with oscillatory strategies</x:v>
      </x:c>
      <x:c r="J22" s="110" t="str">
        <x:v>signed-trade alternation、high turnover、impact/reversal oscillation</x:v>
      </x:c>
      <x:c r="K22" s="110" t="str">
        <x:v>识别“看似巨大成交但净信息很少”的 regime</x:v>
      </x:c>
      <x:c r="L22" s="110" t="str">
        <x:v>trades + LOB</x:v>
      </x:c>
      <x:c r="M22" s="110" t="str">
        <x:v>5m volatility / reversal</x:v>
      </x:c>
      <x:c r="N22" s="110" t="str">
        <x:v>oscillation index + market-impact model</x:v>
      </x:c>
      <x:c r="O22" s="135" t="n">
        <x:v>4</x:v>
      </x:c>
      <x:c r="P22" s="135" t="n">
        <x:v>5</x:v>
      </x:c>
      <x:c r="Q22" s="135" t="n">
        <x:v>5</x:v>
      </x:c>
      <x:c r="R22" s="135" t="n">
        <x:v>4</x:v>
      </x:c>
      <x:c r="S22" s="135" t="n">
        <x:v>3</x:v>
      </x:c>
      <x:c r="T22" s="135" t="n">
        <x:v>5</x:v>
      </x:c>
      <x:c r="U22" s="136" t="n">
        <x:f>(0.30*O22+0.25*P22+0.15*Q22+0.15*R22+0.10*T22+0.05*(6-S22))/5*100</x:f>
        <x:v>89.00000000000003</x:v>
      </x:c>
      <x:c r="V22" s="137" t="str">
        <x:f>IF(U22&gt;=84,"P0",IF(U22&gt;=72,"P1",IF(U22&gt;=60,"P2","P3")))</x:f>
        <x:v>P0</x:v>
      </x:c>
      <x:c r="W22" s="110" t="str">
        <x:v>P1。很适合过滤假趋势。</x:v>
      </x:c>
    </x:row>
    <x:row r="23">
      <x:c r="A23" s="110" t="n">
        <x:v>19</x:v>
      </x:c>
      <x:c r="B23" s="110" t="str">
        <x:v>市场冲击 / Predation</x:v>
      </x:c>
      <x:c r="C23" s="110" t="str">
        <x:v>Multiplayer liquidation game</x:v>
      </x:c>
      <x:c r="D23" s="110" t="str">
        <x:v>N-player differential game</x:v>
      </x:c>
      <x:c r="E23" s="110" t="str">
        <x:v>多个大仓位执行者</x:v>
      </x:c>
      <x:c r="F23" s="110" t="str">
        <x:v>inventory distribution、shared impact</x:v>
      </x:c>
      <x:c r="G23" s="110" t="str">
        <x:v>liquidation schedules</x:v>
      </x:c>
      <x:c r="H23" s="110" t="str">
        <x:v>execution cost + risk + externality</x:v>
      </x:c>
      <x:c r="I23" s="110" t="str">
        <x:v>Nash equilibrium</x:v>
      </x:c>
      <x:c r="J23" s="110" t="str">
        <x:v>aggregate urgency、flow crowding、impact convexity</x:v>
      </x:c>
      <x:c r="K23" s="110" t="str">
        <x:v>多头/空头同时去杠杆时预测尾部风险</x:v>
      </x:c>
      <x:c r="L23" s="110" t="str">
        <x:v>OI、liquidation、trades、LOB</x:v>
      </x:c>
      <x:c r="M23" s="110" t="str">
        <x:v>5m tail return / vol</x:v>
      </x:c>
      <x:c r="N23" s="110" t="str">
        <x:v>mean-field / n-player approximation</x:v>
      </x:c>
      <x:c r="O23" s="135" t="n">
        <x:v>5</x:v>
      </x:c>
      <x:c r="P23" s="135" t="n">
        <x:v>5</x:v>
      </x:c>
      <x:c r="Q23" s="135" t="n">
        <x:v>4</x:v>
      </x:c>
      <x:c r="R23" s="135" t="n">
        <x:v>5</x:v>
      </x:c>
      <x:c r="S23" s="135" t="n">
        <x:v>5</x:v>
      </x:c>
      <x:c r="T23" s="135" t="n">
        <x:v>5</x:v>
      </x:c>
      <x:c r="U23" s="136" t="n">
        <x:f>(0.30*O23+0.25*P23+0.15*Q23+0.15*R23+0.10*T23+0.05*(6-S23))/5*100</x:f>
        <x:v>93</x:v>
      </x:c>
      <x:c r="V23" s="137" t="str">
        <x:f>IF(U23&gt;=84,"P0",IF(U23&gt;=72,"P1",IF(U23&gt;=60,"P2","P3")))</x:f>
        <x:v>P0</x:v>
      </x:c>
      <x:c r="W23" s="110" t="str">
        <x:v>P1。理论复杂但非常符合 crypto 强平机制。</x:v>
      </x:c>
    </x:row>
    <x:row r="24">
      <x:c r="A24" s="110" t="n">
        <x:v>20</x:v>
      </x:c>
      <x:c r="B24" s="110" t="str">
        <x:v>市场冲击 / Predation</x:v>
      </x:c>
      <x:c r="C24" s="110" t="str">
        <x:v>Latency race / front-running game</x:v>
      </x:c>
      <x:c r="D24" s="110" t="str">
        <x:v>Timing / all-pay race</x:v>
      </x:c>
      <x:c r="E24" s="110" t="str">
        <x:v>套利者、HFT、慢速流动性</x:v>
      </x:c>
      <x:c r="F24" s="110" t="str">
        <x:v>public signal、latency、queue priority</x:v>
      </x:c>
      <x:c r="G24" s="110" t="str">
        <x:v>race / preempt / cancel</x:v>
      </x:c>
      <x:c r="H24" s="110" t="str">
        <x:v>arb profit - latency/fee cost</x:v>
      </x:c>
      <x:c r="I24" s="110" t="str">
        <x:v>Race equilibrium</x:v>
      </x:c>
      <x:c r="J24" s="110" t="str">
        <x:v>cross-venue latency、quote fade、first-mover lead、stale quote exposure</x:v>
      </x:c>
      <x:c r="K24" s="110" t="str">
        <x:v>BTC 跨 venue 价格发现的核心短线机制</x:v>
      </x:c>
      <x:c r="L24" s="110" t="str">
        <x:v>毫秒级多 venue 数据</x:v>
      </x:c>
      <x:c r="M24" s="110" t="str">
        <x:v>next move / adverse selection</x:v>
      </x:c>
      <x:c r="N24" s="110" t="str">
        <x:v>lead-lag + race-intensity features</x:v>
      </x:c>
      <x:c r="O24" s="135" t="n">
        <x:v>5</x:v>
      </x:c>
      <x:c r="P24" s="135" t="n">
        <x:v>5</x:v>
      </x:c>
      <x:c r="Q24" s="135" t="n">
        <x:v>3</x:v>
      </x:c>
      <x:c r="R24" s="135" t="n">
        <x:v>5</x:v>
      </x:c>
      <x:c r="S24" s="135" t="n">
        <x:v>4</x:v>
      </x:c>
      <x:c r="T24" s="135" t="n">
        <x:v>4</x:v>
      </x:c>
      <x:c r="U24" s="136" t="n">
        <x:f>(0.30*O24+0.25*P24+0.15*Q24+0.15*R24+0.10*T24+0.05*(6-S24))/5*100</x:f>
        <x:v>89</x:v>
      </x:c>
      <x:c r="V24" s="137" t="str">
        <x:f>IF(U24&gt;=84,"P0",IF(U24&gt;=72,"P1",IF(U24&gt;=60,"P2","P3")))</x:f>
        <x:v>P0</x:v>
      </x:c>
      <x:c r="W24" s="110" t="str">
        <x:v>P1。数据要求高；一旦有数据，价值很大。</x:v>
      </x:c>
    </x:row>
    <x:row r="25">
      <x:c r="A25" s="110" t="n">
        <x:v>21</x:v>
      </x:c>
      <x:c r="B25" s="110" t="str">
        <x:v>市场冲击 / Predation</x:v>
      </x:c>
      <x:c r="C25" s="110" t="str">
        <x:v>Episodic cooperation→predation breakdown</x:v>
      </x:c>
      <x:c r="D25" s="110" t="str">
        <x:v>Repeated game</x:v>
      </x:c>
      <x:c r="E25" s="110" t="str">
        <x:v>大型流动性提供者/交易者</x:v>
      </x:c>
      <x:c r="F25" s="110" t="str">
        <x:v>reputation、expected future interaction、liquidity stress</x:v>
      </x:c>
      <x:c r="G25" s="110" t="str">
        <x:v>cooperate supply / defect prey</x:v>
      </x:c>
      <x:c r="H25" s="110" t="str">
        <x:v>短期 predation vs 长期 cooperation</x:v>
      </x:c>
      <x:c r="I25" s="110" t="str">
        <x:v>Repeated-game equilibrium</x:v>
      </x:c>
      <x:c r="J25" s="110" t="str">
        <x:v>spread/depth regime break、liquidity co-movement、withdrawal synchrony</x:v>
      </x:c>
      <x:c r="K25" s="110" t="str">
        <x:v>捕捉“平时稳定、突然失灵”的流动性 regime</x:v>
      </x:c>
      <x:c r="L25" s="110" t="str">
        <x:v>L2 多 venue、vol、OI</x:v>
      </x:c>
      <x:c r="M25" s="110" t="str">
        <x:v>5m volatility jump / liquidity crash</x:v>
      </x:c>
      <x:c r="N25" s="110" t="str">
        <x:v>change-point + cooperation-break score</x:v>
      </x:c>
      <x:c r="O25" s="135" t="n">
        <x:v>4</x:v>
      </x:c>
      <x:c r="P25" s="135" t="n">
        <x:v>5</x:v>
      </x:c>
      <x:c r="Q25" s="135" t="n">
        <x:v>4</x:v>
      </x:c>
      <x:c r="R25" s="135" t="n">
        <x:v>5</x:v>
      </x:c>
      <x:c r="S25" s="135" t="n">
        <x:v>4</x:v>
      </x:c>
      <x:c r="T25" s="135" t="n">
        <x:v>5</x:v>
      </x:c>
      <x:c r="U25" s="136" t="n">
        <x:f>(0.30*O25+0.25*P25+0.15*Q25+0.15*R25+0.10*T25+0.05*(6-S25))/5*100</x:f>
        <x:v>88.00000000000001</x:v>
      </x:c>
      <x:c r="V25" s="137" t="str">
        <x:f>IF(U25&gt;=84,"P0",IF(U25&gt;=72,"P1",IF(U25&gt;=60,"P2","P3")))</x:f>
        <x:v>P0</x:v>
      </x:c>
      <x:c r="W25" s="110" t="str">
        <x:v>P1。非常适合 regime-switching 层。</x:v>
      </x:c>
    </x:row>
    <x:row r="26">
      <x:c r="A26" s="110" t="n">
        <x:v>22</x:v>
      </x:c>
      <x:c r="B26" s="110" t="str">
        <x:v>市场冲击 / Predation</x:v>
      </x:c>
      <x:c r="C26" s="110" t="str">
        <x:v>Liquidation first-mover game</x:v>
      </x:c>
      <x:c r="D26" s="110" t="str">
        <x:v>War-of-attrition / preemption</x:v>
      </x:c>
      <x:c r="E26" s="110" t="str">
        <x:v>高杠杆仓位持有者</x:v>
      </x:c>
      <x:c r="F26" s="110" t="str">
        <x:v>distance-to-liquidation、depth、others' leverage</x:v>
      </x:c>
      <x:c r="G26" s="110" t="str">
        <x:v>de-risk now vs wait</x:v>
      </x:c>
      <x:c r="H26" s="110" t="str">
        <x:v>避免冲击 vs 避免被迫强平</x:v>
      </x:c>
      <x:c r="I26" s="110" t="str">
        <x:v>Preemption equilibrium</x:v>
      </x:c>
      <x:c r="J26" s="110" t="str">
        <x:v>OI/funding extreme、liquidation clusters、depth asymmetry</x:v>
      </x:c>
      <x:c r="K26" s="110" t="str">
        <x:v>预测强平瀑布前的策略性先跑</x:v>
      </x:c>
      <x:c r="L26" s="110" t="str">
        <x:v>perp OI/funding/liquidations + LOB</x:v>
      </x:c>
      <x:c r="M26" s="110" t="str">
        <x:v>5m tail direction</x:v>
      </x:c>
      <x:c r="N26" s="110" t="str">
        <x:v>hazard + strategic urgency score</x:v>
      </x:c>
      <x:c r="O26" s="135" t="n">
        <x:v>5</x:v>
      </x:c>
      <x:c r="P26" s="135" t="n">
        <x:v>5</x:v>
      </x:c>
      <x:c r="Q26" s="135" t="n">
        <x:v>4</x:v>
      </x:c>
      <x:c r="R26" s="135" t="n">
        <x:v>4</x:v>
      </x:c>
      <x:c r="S26" s="135" t="n">
        <x:v>4</x:v>
      </x:c>
      <x:c r="T26" s="135" t="n">
        <x:v>5</x:v>
      </x:c>
      <x:c r="U26" s="136" t="n">
        <x:f>(0.30*O26+0.25*P26+0.15*Q26+0.15*R26+0.10*T26+0.05*(6-S26))/5*100</x:f>
        <x:v>90.99999999999999</x:v>
      </x:c>
      <x:c r="V26" s="137" t="str">
        <x:f>IF(U26&gt;=84,"P0",IF(U26&gt;=72,"P1",IF(U26&gt;=60,"P2","P3")))</x:f>
        <x:v>P0</x:v>
      </x:c>
      <x:c r="W26" s="110" t="str">
        <x:v>P0/P1。非常 crypto-native，值得单独做。</x:v>
      </x:c>
    </x:row>
    <x:row r="27">
      <x:c r="A27" s="110" t="n">
        <x:v>23</x:v>
      </x:c>
      <x:c r="B27" s="110" t="str">
        <x:v>做市竞争 / Dealer</x:v>
      </x:c>
      <x:c r="C27" s="110" t="str">
        <x:v>Ho–Stoll dealer inventory competition</x:v>
      </x:c>
      <x:c r="D27" s="110" t="str">
        <x:v>Dealer game / control</x:v>
      </x:c>
      <x:c r="E27" s="110" t="str">
        <x:v>多个 dealer / market maker</x:v>
      </x:c>
      <x:c r="F27" s="110" t="str">
        <x:v>inventory、risk、order flow</x:v>
      </x:c>
      <x:c r="G27" s="110" t="str">
        <x:v>set bid/ask / inventory skew</x:v>
      </x:c>
      <x:c r="H27" s="110" t="str">
        <x:v>spread revenue vs inventory risk</x:v>
      </x:c>
      <x:c r="I27" s="110" t="str">
        <x:v>Dealer equilibrium</x:v>
      </x:c>
      <x:c r="J27" s="110" t="str">
        <x:v>inventory proxy、quote skew、spread response</x:v>
      </x:c>
      <x:c r="K27" s="110" t="str">
        <x:v>解释做市商何时撤流动性/偏斜报价</x:v>
      </x:c>
      <x:c r="L27" s="110" t="str">
        <x:v>L2/L3 + maker identification 若可得</x:v>
      </x:c>
      <x:c r="M27" s="110" t="str">
        <x:v>5m direction / spread</x:v>
      </x:c>
      <x:c r="N27" s="110" t="str">
        <x:v>inventory stress proxy + quote asymmetry</x:v>
      </x:c>
      <x:c r="O27" s="135" t="n">
        <x:v>4</x:v>
      </x:c>
      <x:c r="P27" s="135" t="n">
        <x:v>5</x:v>
      </x:c>
      <x:c r="Q27" s="135" t="n">
        <x:v>3</x:v>
      </x:c>
      <x:c r="R27" s="135" t="n">
        <x:v>5</x:v>
      </x:c>
      <x:c r="S27" s="135" t="n">
        <x:v>3</x:v>
      </x:c>
      <x:c r="T27" s="135" t="n">
        <x:v>4</x:v>
      </x:c>
      <x:c r="U27" s="136" t="n">
        <x:f>(0.30*O27+0.25*P27+0.15*Q27+0.15*R27+0.10*T27+0.05*(6-S27))/5*100</x:f>
        <x:v>84.00000000000001</x:v>
      </x:c>
      <x:c r="V27" s="137" t="str">
        <x:f>IF(U27&gt;=84,"P0",IF(U27&gt;=72,"P1",IF(U27&gt;=60,"P2","P3")))</x:f>
        <x:v>P0</x:v>
      </x:c>
      <x:c r="W27" s="110" t="str">
        <x:v>P1。对做市行为解释力强。</x:v>
      </x:c>
    </x:row>
    <x:row r="28">
      <x:c r="A28" s="110" t="n">
        <x:v>24</x:v>
      </x:c>
      <x:c r="B28" s="110" t="str">
        <x:v>做市竞争 / Dealer</x:v>
      </x:c>
      <x:c r="C28" s="110" t="str">
        <x:v>Avellaneda–Stoikov（作为单代理 benchmark）</x:v>
      </x:c>
      <x:c r="D28" s="110" t="str">
        <x:v>Stochastic control baseline</x:v>
      </x:c>
      <x:c r="E28" s="110" t="str">
        <x:v>单一 market maker vs stochastic takers</x:v>
      </x:c>
      <x:c r="F28" s="110" t="str">
        <x:v>inventory、mid、arrival intensity</x:v>
      </x:c>
      <x:c r="G28" s="110" t="str">
        <x:v>choose bid/ask offsets</x:v>
      </x:c>
      <x:c r="H28" s="110" t="str">
        <x:v>expected utility of PnL</x:v>
      </x:c>
      <x:c r="I28" s="110" t="str">
        <x:v>HJB optimal policy</x:v>
      </x:c>
      <x:c r="J28" s="110" t="str">
        <x:v>reservation price、optimal spread、inventory skew proxies</x:v>
      </x:c>
      <x:c r="K28" s="110" t="str">
        <x:v>不是严格博弈论，但必须作为 game extensions 的基线</x:v>
      </x:c>
      <x:c r="L28" s="110" t="str">
        <x:v>L2/trades</x:v>
      </x:c>
      <x:c r="M28" s="110" t="str">
        <x:v>spread / maker behavior</x:v>
      </x:c>
      <x:c r="N28" s="110" t="str">
        <x:v>先校准 AS，再看 strategic opponent 增量</x:v>
      </x:c>
      <x:c r="O28" s="135" t="n">
        <x:v>4</x:v>
      </x:c>
      <x:c r="P28" s="135" t="n">
        <x:v>4</x:v>
      </x:c>
      <x:c r="Q28" s="135" t="n">
        <x:v>5</x:v>
      </x:c>
      <x:c r="R28" s="135" t="n">
        <x:v>5</x:v>
      </x:c>
      <x:c r="S28" s="135" t="n">
        <x:v>3</x:v>
      </x:c>
      <x:c r="T28" s="135" t="n">
        <x:v>2</x:v>
      </x:c>
      <x:c r="U28" s="136" t="n">
        <x:f>(0.30*O28+0.25*P28+0.15*Q28+0.15*R28+0.10*T28+0.05*(6-S28))/5*100</x:f>
        <x:v>81.00000000000001</x:v>
      </x:c>
      <x:c r="V28" s="137" t="str">
        <x:f>IF(U28&gt;=84,"P0",IF(U28&gt;=72,"P1",IF(U28&gt;=60,"P2","P3")))</x:f>
        <x:v>P1</x:v>
      </x:c>
      <x:c r="W28" s="110" t="str">
        <x:v>P1。是 baseline，不应误认为完整市场博弈。</x:v>
      </x:c>
    </x:row>
    <x:row r="29">
      <x:c r="A29" s="110" t="n">
        <x:v>25</x:v>
      </x:c>
      <x:c r="B29" s="110" t="str">
        <x:v>做市竞争 / Mean Field</x:v>
      </x:c>
      <x:c r="C29" s="110" t="str">
        <x:v>Mean-field market making</x:v>
      </x:c>
      <x:c r="D29" s="110" t="str">
        <x:v>Mean-field game</x:v>
      </x:c>
      <x:c r="E29" s="110" t="str">
        <x:v>大量做市商 + 流动性需求</x:v>
      </x:c>
      <x:c r="F29" s="110" t="str">
        <x:v>inventory distribution、aggregate quotes</x:v>
      </x:c>
      <x:c r="G29" s="110" t="str">
        <x:v>quote / inventory control</x:v>
      </x:c>
      <x:c r="H29" s="110" t="str">
        <x:v>individual PnL vs population flow</x:v>
      </x:c>
      <x:c r="I29" s="110" t="str">
        <x:v>Mean-field equilibrium</x:v>
      </x:c>
      <x:c r="J29" s="110" t="str">
        <x:v>spread crowding、inventory distribution proxy、quote density</x:v>
      </x:c>
      <x:c r="K29" s="110" t="str">
        <x:v>解释大量做市算法共同作用后的 equilibrium pressure</x:v>
      </x:c>
      <x:c r="L29" s="110" t="str">
        <x:v>L2/L3</x:v>
      </x:c>
      <x:c r="M29" s="110" t="str">
        <x:v>5m liquidity / volatility / direction</x:v>
      </x:c>
      <x:c r="N29" s="110" t="str">
        <x:v>MFG calibration / neural MFG approximation</x:v>
      </x:c>
      <x:c r="O29" s="135" t="n">
        <x:v>4</x:v>
      </x:c>
      <x:c r="P29" s="135" t="n">
        <x:v>5</x:v>
      </x:c>
      <x:c r="Q29" s="135" t="n">
        <x:v>3</x:v>
      </x:c>
      <x:c r="R29" s="135" t="n">
        <x:v>5</x:v>
      </x:c>
      <x:c r="S29" s="135" t="n">
        <x:v>5</x:v>
      </x:c>
      <x:c r="T29" s="135" t="n">
        <x:v>5</x:v>
      </x:c>
      <x:c r="U29" s="136" t="n">
        <x:f>(0.30*O29+0.25*P29+0.15*Q29+0.15*R29+0.10*T29+0.05*(6-S29))/5*100</x:f>
        <x:v>84.00000000000001</x:v>
      </x:c>
      <x:c r="V29" s="137" t="str">
        <x:f>IF(U29&gt;=84,"P0",IF(U29&gt;=72,"P1",IF(U29&gt;=60,"P2","P3")))</x:f>
        <x:v>P0</x:v>
      </x:c>
      <x:c r="W29" s="110" t="str">
        <x:v>P1/P2。前沿、结构漂亮；实盘先做简化 proxy。</x:v>
      </x:c>
    </x:row>
    <x:row r="30">
      <x:c r="A30" s="110" t="n">
        <x:v>26</x:v>
      </x:c>
      <x:c r="B30" s="110" t="str">
        <x:v>做市竞争 / Mean Field</x:v>
      </x:c>
      <x:c r="C30" s="110" t="str">
        <x:v>Market maker vs strategic traders MFG</x:v>
      </x:c>
      <x:c r="D30" s="110" t="str">
        <x:v>Major-minor / mean-field game</x:v>
      </x:c>
      <x:c r="E30" s="110" t="str">
        <x:v>做市商群体、战略 takers</x:v>
      </x:c>
      <x:c r="F30" s="110" t="str">
        <x:v>inventory distribution、taker motives、price</x:v>
      </x:c>
      <x:c r="G30" s="110" t="str">
        <x:v>makers quote；takers optimize execution</x:v>
      </x:c>
      <x:c r="H30" s="110" t="str">
        <x:v>maker PnL vs taker execution utility</x:v>
      </x:c>
      <x:c r="I30" s="110" t="str">
        <x:v>Mean-field Nash</x:v>
      </x:c>
      <x:c r="J30" s="110" t="str">
        <x:v>quote elasticity to taker pressure、refill response、spread asymmetry</x:v>
      </x:c>
      <x:c r="K30" s="110" t="str">
        <x:v>比外生 Poisson taker 更真实</x:v>
      </x:c>
      <x:c r="L30" s="110" t="str">
        <x:v>L2/L3 + trades</x:v>
      </x:c>
      <x:c r="M30" s="110" t="str">
        <x:v>5m impact / liquidity</x:v>
      </x:c>
      <x:c r="N30" s="110" t="str">
        <x:v>estimate response functions; later deep BSDE/MFG</x:v>
      </x:c>
      <x:c r="O30" s="135" t="n">
        <x:v>5</x:v>
      </x:c>
      <x:c r="P30" s="135" t="n">
        <x:v>5</x:v>
      </x:c>
      <x:c r="Q30" s="135" t="n">
        <x:v>3</x:v>
      </x:c>
      <x:c r="R30" s="135" t="n">
        <x:v>4</x:v>
      </x:c>
      <x:c r="S30" s="135" t="n">
        <x:v>5</x:v>
      </x:c>
      <x:c r="T30" s="135" t="n">
        <x:v>5</x:v>
      </x:c>
      <x:c r="U30" s="136" t="n">
        <x:f>(0.30*O30+0.25*P30+0.15*Q30+0.15*R30+0.10*T30+0.05*(6-S30))/5*100</x:f>
        <x:v>87.00000000000001</x:v>
      </x:c>
      <x:c r="V30" s="137" t="str">
        <x:f>IF(U30&gt;=84,"P0",IF(U30&gt;=72,"P1",IF(U30&gt;=60,"P2","P3")))</x:f>
        <x:v>P0</x:v>
      </x:c>
      <x:c r="W30" s="110" t="str">
        <x:v>P1。前沿且对 crypto 很匹配。</x:v>
      </x:c>
    </x:row>
    <x:row r="31">
      <x:c r="A31" s="110" t="n">
        <x:v>27</x:v>
      </x:c>
      <x:c r="B31" s="110" t="str">
        <x:v>做市竞争 / Repeated</x:v>
      </x:c>
      <x:c r="C31" s="110" t="str">
        <x:v>Repeated dealer competition</x:v>
      </x:c>
      <x:c r="D31" s="110" t="str">
        <x:v>Repeated general-sum game</x:v>
      </x:c>
      <x:c r="E31" s="110" t="str">
        <x:v>多个 market makers</x:v>
      </x:c>
      <x:c r="F31" s="110" t="str">
        <x:v>history of spreads/market share</x:v>
      </x:c>
      <x:c r="G31" s="110" t="str">
        <x:v>tighten/widen spread</x:v>
      </x:c>
      <x:c r="H31" s="110" t="str">
        <x:v>spread profit vs share/adverse selection</x:v>
      </x:c>
      <x:c r="I31" s="110" t="str">
        <x:v>Repeated-game equilibrium</x:v>
      </x:c>
      <x:c r="J31" s="110" t="str">
        <x:v>spread persistence、synchronous widening、market-share shifts</x:v>
      </x:c>
      <x:c r="K31" s="110" t="str">
        <x:v>识别竞争/默契报价 regime</x:v>
      </x:c>
      <x:c r="L31" s="110" t="str">
        <x:v>L2 多 venue</x:v>
      </x:c>
      <x:c r="M31" s="110" t="str">
        <x:v>spread / 5m vol</x:v>
      </x:c>
      <x:c r="N31" s="110" t="str">
        <x:v>repeated-game state classifier</x:v>
      </x:c>
      <x:c r="O31" s="135" t="n">
        <x:v>4</x:v>
      </x:c>
      <x:c r="P31" s="135" t="n">
        <x:v>4</x:v>
      </x:c>
      <x:c r="Q31" s="135" t="n">
        <x:v>4</x:v>
      </x:c>
      <x:c r="R31" s="135" t="n">
        <x:v>4</x:v>
      </x:c>
      <x:c r="S31" s="135" t="n">
        <x:v>4</x:v>
      </x:c>
      <x:c r="T31" s="135" t="n">
        <x:v>5</x:v>
      </x:c>
      <x:c r="U31" s="136" t="n">
        <x:f>(0.30*O31+0.25*P31+0.15*Q31+0.15*R31+0.10*T31+0.05*(6-S31))/5*100</x:f>
        <x:v>80</x:v>
      </x:c>
      <x:c r="V31" s="137" t="str">
        <x:f>IF(U31&gt;=84,"P0",IF(U31&gt;=72,"P1",IF(U31&gt;=60,"P2","P3")))</x:f>
        <x:v>P1</x:v>
      </x:c>
      <x:c r="W31" s="110" t="str">
        <x:v>P1/P2。比单一 AS 更接近真实做市竞争。</x:v>
      </x:c>
    </x:row>
    <x:row r="32">
      <x:c r="A32" s="110" t="n">
        <x:v>28</x:v>
      </x:c>
      <x:c r="B32" s="110" t="str">
        <x:v>做市竞争 / Fees</x:v>
      </x:c>
      <x:c r="C32" s="110" t="str">
        <x:v>Maker–taker fee game</x:v>
      </x:c>
      <x:c r="D32" s="110" t="str">
        <x:v>Repeated game / mechanism game</x:v>
      </x:c>
      <x:c r="E32" s="110" t="str">
        <x:v>exchange、makers、takers</x:v>
      </x:c>
      <x:c r="F32" s="110" t="str">
        <x:v>fees/rebates、tick、volatility</x:v>
      </x:c>
      <x:c r="G32" s="110" t="str">
        <x:v>set fees / quote / take</x:v>
      </x:c>
      <x:c r="H32" s="110" t="str">
        <x:v>venue revenue、maker/taker PnL</x:v>
      </x:c>
      <x:c r="I32" s="110" t="str">
        <x:v>Nash / repeated equilibrium</x:v>
      </x:c>
      <x:c r="J32" s="110" t="str">
        <x:v>effective fee-adjusted spread、maker rebate incentive</x:v>
      </x:c>
      <x:c r="K32" s="110" t="str">
        <x:v>用于跨 venue order routing 与 liquidity prediction</x:v>
      </x:c>
      <x:c r="L32" s="110" t="str">
        <x:v>venue fee schedule + LOB</x:v>
      </x:c>
      <x:c r="M32" s="110" t="str">
        <x:v>liquidity / venue lead</x:v>
      </x:c>
      <x:c r="N32" s="110" t="str">
        <x:v>fee-adjusted best-response model</x:v>
      </x:c>
      <x:c r="O32" s="135" t="n">
        <x:v>3</x:v>
      </x:c>
      <x:c r="P32" s="135" t="n">
        <x:v>4</x:v>
      </x:c>
      <x:c r="Q32" s="135" t="n">
        <x:v>5</x:v>
      </x:c>
      <x:c r="R32" s="135" t="n">
        <x:v>5</x:v>
      </x:c>
      <x:c r="S32" s="135" t="n">
        <x:v>3</x:v>
      </x:c>
      <x:c r="T32" s="135" t="n">
        <x:v>4</x:v>
      </x:c>
      <x:c r="U32" s="136" t="n">
        <x:f>(0.30*O32+0.25*P32+0.15*Q32+0.15*R32+0.10*T32+0.05*(6-S32))/5*100</x:f>
        <x:v>78.99999999999999</x:v>
      </x:c>
      <x:c r="V32" s="137" t="str">
        <x:f>IF(U32&gt;=84,"P0",IF(U32&gt;=72,"P1",IF(U32&gt;=60,"P2","P3")))</x:f>
        <x:v>P1</x:v>
      </x:c>
      <x:c r="W32" s="110" t="str">
        <x:v>P2。不是首要价格 alpha，但对 venue microstructure 有用。</x:v>
      </x:c>
    </x:row>
    <x:row r="33">
      <x:c r="A33" s="110" t="n">
        <x:v>29</x:v>
      </x:c>
      <x:c r="B33" s="110" t="str">
        <x:v>做市竞争 / MARL</x:v>
      </x:c>
      <x:c r="C33" s="110" t="str">
        <x:v>算法做市的 tacit collusion</x:v>
      </x:c>
      <x:c r="D33" s="110" t="str">
        <x:v>Repeated stochastic game</x:v>
      </x:c>
      <x:c r="E33" s="110" t="str">
        <x:v>多个 RL market makers</x:v>
      </x:c>
      <x:c r="F33" s="110" t="str">
        <x:v>LOB、inventory、opponent history</x:v>
      </x:c>
      <x:c r="G33" s="110" t="str">
        <x:v>quote policy</x:v>
      </x:c>
      <x:c r="H33" s="110" t="str">
        <x:v>PnL / market share</x:v>
      </x:c>
      <x:c r="I33" s="110" t="str">
        <x:v>learned supra-competitive outcome</x:v>
      </x:c>
      <x:c r="J33" s="110" t="str">
        <x:v>spread persistence beyond fundamentals、quote synchronization</x:v>
      </x:c>
      <x:c r="K33" s="110" t="str">
        <x:v>识别算法型流动性提供者的异常同步</x:v>
      </x:c>
      <x:c r="L33" s="110" t="str">
        <x:v>L2/L3</x:v>
      </x:c>
      <x:c r="M33" s="110" t="str">
        <x:v>spread / volatility</x:v>
      </x:c>
      <x:c r="N33" s="110" t="str">
        <x:v>multi-agent policy inference / simulation</x:v>
      </x:c>
      <x:c r="O33" s="135" t="n">
        <x:v>4</x:v>
      </x:c>
      <x:c r="P33" s="135" t="n">
        <x:v>4</x:v>
      </x:c>
      <x:c r="Q33" s="135" t="n">
        <x:v>3</x:v>
      </x:c>
      <x:c r="R33" s="135" t="n">
        <x:v>3</x:v>
      </x:c>
      <x:c r="S33" s="135" t="n">
        <x:v>5</x:v>
      </x:c>
      <x:c r="T33" s="135" t="n">
        <x:v>5</x:v>
      </x:c>
      <x:c r="U33" s="136" t="n">
        <x:f>(0.30*O33+0.25*P33+0.15*Q33+0.15*R33+0.10*T33+0.05*(6-S33))/5*100</x:f>
        <x:v>73.00000000000001</x:v>
      </x:c>
      <x:c r="V33" s="137" t="str">
        <x:f>IF(U33&gt;=84,"P0",IF(U33&gt;=72,"P1",IF(U33&gt;=60,"P2","P3")))</x:f>
        <x:v>P1</x:v>
      </x:c>
      <x:c r="W33" s="110" t="str">
        <x:v>P2。研究前沿，样本外稳健性需谨慎。</x:v>
      </x:c>
    </x:row>
    <x:row r="34">
      <x:c r="A34" s="110" t="n">
        <x:v>30</x:v>
      </x:c>
      <x:c r="B34" s="110" t="str">
        <x:v>拥挤 / Mean Field</x:v>
      </x:c>
      <x:c r="C34" s="110" t="str">
        <x:v>Trade crowding MFG</x:v>
      </x:c>
      <x:c r="D34" s="110" t="str">
        <x:v>Mean-field game of controls</x:v>
      </x:c>
      <x:c r="E34" s="110" t="str">
        <x:v>大量相似策略执行者</x:v>
      </x:c>
      <x:c r="F34" s="110" t="str">
        <x:v>inventory distribution、common alpha、impact</x:v>
      </x:c>
      <x:c r="G34" s="110" t="str">
        <x:v>liquidation/trading speed</x:v>
      </x:c>
      <x:c r="H34" s="110" t="str">
        <x:v>alpha capture vs crowding impact</x:v>
      </x:c>
      <x:c r="I34" s="110" t="str">
        <x:v>Mean-field equilibrium</x:v>
      </x:c>
      <x:c r="J34" s="110" t="str">
        <x:v>crowding index、signed-flow persistence、impact elasticity</x:v>
      </x:c>
      <x:c r="K34" s="110" t="str">
        <x:v>5m 动量何时自我强化、何时因拥挤反转</x:v>
      </x:c>
      <x:c r="L34" s="110" t="str">
        <x:v>trades、OI、funding、多因子/策略 proxy</x:v>
      </x:c>
      <x:c r="M34" s="110" t="str">
        <x:v>5m continuation / reversal</x:v>
      </x:c>
      <x:c r="N34" s="110" t="str">
        <x:v>estimate crowding latent state + nonlinear model</x:v>
      </x:c>
      <x:c r="O34" s="135" t="n">
        <x:v>5</x:v>
      </x:c>
      <x:c r="P34" s="135" t="n">
        <x:v>5</x:v>
      </x:c>
      <x:c r="Q34" s="135" t="n">
        <x:v>4</x:v>
      </x:c>
      <x:c r="R34" s="135" t="n">
        <x:v>5</x:v>
      </x:c>
      <x:c r="S34" s="135" t="n">
        <x:v>5</x:v>
      </x:c>
      <x:c r="T34" s="135" t="n">
        <x:v>5</x:v>
      </x:c>
      <x:c r="U34" s="136" t="n">
        <x:f>(0.30*O34+0.25*P34+0.15*Q34+0.15*R34+0.10*T34+0.05*(6-S34))/5*100</x:f>
        <x:v>93</x:v>
      </x:c>
      <x:c r="V34" s="137" t="str">
        <x:f>IF(U34&gt;=84,"P0",IF(U34&gt;=72,"P1",IF(U34&gt;=60,"P2","P3")))</x:f>
        <x:v>P0</x:v>
      </x:c>
      <x:c r="W34" s="110" t="str">
        <x:v>P0/P1。非常适合解释短周期 alpha decay。</x:v>
      </x:c>
    </x:row>
    <x:row r="35">
      <x:c r="A35" s="110" t="n">
        <x:v>31</x:v>
      </x:c>
      <x:c r="B35" s="110" t="str">
        <x:v>拥挤 / Mean Field</x:v>
      </x:c>
      <x:c r="C35" s="110" t="str">
        <x:v>Mean-field liquidation</x:v>
      </x:c>
      <x:c r="D35" s="110" t="str">
        <x:v>Mean-field differential game</x:v>
      </x:c>
      <x:c r="E35" s="110" t="str">
        <x:v>大量需去杠杆者</x:v>
      </x:c>
      <x:c r="F35" s="110" t="str">
        <x:v>inventory distribution、price impact</x:v>
      </x:c>
      <x:c r="G35" s="110" t="str">
        <x:v>sell/buy rates</x:v>
      </x:c>
      <x:c r="H35" s="110" t="str">
        <x:v>liquidation cost + systemic externality</x:v>
      </x:c>
      <x:c r="I35" s="110" t="str">
        <x:v>MFG equilibrium</x:v>
      </x:c>
      <x:c r="J35" s="110" t="str">
        <x:v>forced-flow density、impact acceleration、liquidity dropout</x:v>
      </x:c>
      <x:c r="K35" s="110" t="str">
        <x:v>强平瀑布/大规模去杠杆的结构模型</x:v>
      </x:c>
      <x:c r="L35" s="110" t="str">
        <x:v>OI/liquidations/LOB</x:v>
      </x:c>
      <x:c r="M35" s="110" t="str">
        <x:v>tail return / vol</x:v>
      </x:c>
      <x:c r="N35" s="110" t="str">
        <x:v>MFG approximation + hazard layer</x:v>
      </x:c>
      <x:c r="O35" s="135" t="n">
        <x:v>5</x:v>
      </x:c>
      <x:c r="P35" s="135" t="n">
        <x:v>5</x:v>
      </x:c>
      <x:c r="Q35" s="135" t="n">
        <x:v>4</x:v>
      </x:c>
      <x:c r="R35" s="135" t="n">
        <x:v>4</x:v>
      </x:c>
      <x:c r="S35" s="135" t="n">
        <x:v>5</x:v>
      </x:c>
      <x:c r="T35" s="135" t="n">
        <x:v>5</x:v>
      </x:c>
      <x:c r="U35" s="136" t="n">
        <x:f>(0.30*O35+0.25*P35+0.15*Q35+0.15*R35+0.10*T35+0.05*(6-S35))/5*100</x:f>
        <x:v>90</x:v>
      </x:c>
      <x:c r="V35" s="137" t="str">
        <x:f>IF(U35&gt;=84,"P0",IF(U35&gt;=72,"P1",IF(U35&gt;=60,"P2","P3")))</x:f>
        <x:v>P0</x:v>
      </x:c>
      <x:c r="W35" s="110" t="str">
        <x:v>P1。crypto 实用性高，工程较重。</x:v>
      </x:c>
    </x:row>
    <x:row r="36">
      <x:c r="A36" s="110" t="n">
        <x:v>32</x:v>
      </x:c>
      <x:c r="B36" s="110" t="str">
        <x:v>拥挤 / Minority</x:v>
      </x:c>
      <x:c r="C36" s="110" t="str">
        <x:v>Minority Game / congestion game</x:v>
      </x:c>
      <x:c r="D36" s="110" t="str">
        <x:v>Adaptive population game</x:v>
      </x:c>
      <x:c r="E36" s="110" t="str">
        <x:v>大量投机者</x:v>
      </x:c>
      <x:c r="F36" s="110" t="str">
        <x:v>public history、strategy scores</x:v>
      </x:c>
      <x:c r="G36" s="110" t="str">
        <x:v>buy/sell/abstain</x:v>
      </x:c>
      <x:c r="H36" s="110" t="str">
        <x:v>处于少数侧获益</x:v>
      </x:c>
      <x:c r="I36" s="110" t="str">
        <x:v>Adaptive / statistical equilibrium</x:v>
      </x:c>
      <x:c r="J36" s="110" t="str">
        <x:v>position/crowding imbalance、strategy-score dispersion、entropy</x:v>
      </x:c>
      <x:c r="K36" s="110" t="str">
        <x:v>用于识别 trend overcrowding，不适合直接拿来预测价格 level</x:v>
      </x:c>
      <x:c r="L36" s="110" t="str">
        <x:v>returns/volume/OI/funding</x:v>
      </x:c>
      <x:c r="M36" s="110" t="str">
        <x:v>regime / reversal probability</x:v>
      </x:c>
      <x:c r="N36" s="110" t="str">
        <x:v>构建 crowding/entropy proxy，不必复刻完整 MG</x:v>
      </x:c>
      <x:c r="O36" s="135" t="n">
        <x:v>3</x:v>
      </x:c>
      <x:c r="P36" s="135" t="n">
        <x:v>4</x:v>
      </x:c>
      <x:c r="Q36" s="135" t="n">
        <x:v>5</x:v>
      </x:c>
      <x:c r="R36" s="135" t="n">
        <x:v>3</x:v>
      </x:c>
      <x:c r="S36" s="135" t="n">
        <x:v>3</x:v>
      </x:c>
      <x:c r="T36" s="135" t="n">
        <x:v>5</x:v>
      </x:c>
      <x:c r="U36" s="136" t="n">
        <x:f>(0.30*O36+0.25*P36+0.15*Q36+0.15*R36+0.10*T36+0.05*(6-S36))/5*100</x:f>
        <x:v>74.99999999999999</x:v>
      </x:c>
      <x:c r="V36" s="137" t="str">
        <x:f>IF(U36&gt;=84,"P0",IF(U36&gt;=72,"P1",IF(U36&gt;=60,"P2","P3")))</x:f>
        <x:v>P1</x:v>
      </x:c>
      <x:c r="W36" s="110" t="str">
        <x:v>P1/P2。被低估的是“拥挤/策略生态”思想，不是原始玩具模型本身。</x:v>
      </x:c>
    </x:row>
    <x:row r="37">
      <x:c r="A37" s="110" t="n">
        <x:v>33</x:v>
      </x:c>
      <x:c r="B37" s="110" t="str">
        <x:v>拥挤 / Evolutionary</x:v>
      </x:c>
      <x:c r="C37" s="110" t="str">
        <x:v>Evolutionary Minority Game</x:v>
      </x:c>
      <x:c r="D37" s="110" t="str">
        <x:v>Evolutionary game</x:v>
      </x:c>
      <x:c r="E37" s="110" t="str">
        <x:v>趋势/反转/噪声策略群体</x:v>
      </x:c>
      <x:c r="F37" s="110" t="str">
        <x:v>strategy fitness、population shares</x:v>
      </x:c>
      <x:c r="G37" s="110" t="str">
        <x:v>switch strategy / enter / exit</x:v>
      </x:c>
      <x:c r="H37" s="110" t="str">
        <x:v>risk-adjusted PnL</x:v>
      </x:c>
      <x:c r="I37" s="110" t="str">
        <x:v>Evolutionarily stable state</x:v>
      </x:c>
      <x:c r="J37" s="110" t="str">
        <x:v>trend-vs-mean-reversion share proxy、strategy turnover</x:v>
      </x:c>
      <x:c r="K37" s="110" t="str">
        <x:v>刻画市场风格切换</x:v>
      </x:c>
      <x:c r="L37" s="110" t="str">
        <x:v>returns、flow、funding、basis</x:v>
      </x:c>
      <x:c r="M37" s="110" t="str">
        <x:v>regime / reversal</x:v>
      </x:c>
      <x:c r="N37" s="110" t="str">
        <x:v>replicator dynamics / HMM approximations</x:v>
      </x:c>
      <x:c r="O37" s="135" t="n">
        <x:v>4</x:v>
      </x:c>
      <x:c r="P37" s="135" t="n">
        <x:v>4</x:v>
      </x:c>
      <x:c r="Q37" s="135" t="n">
        <x:v>5</x:v>
      </x:c>
      <x:c r="R37" s="135" t="n">
        <x:v>4</x:v>
      </x:c>
      <x:c r="S37" s="135" t="n">
        <x:v>4</x:v>
      </x:c>
      <x:c r="T37" s="135" t="n">
        <x:v>5</x:v>
      </x:c>
      <x:c r="U37" s="136" t="n">
        <x:f>(0.30*O37+0.25*P37+0.15*Q37+0.15*R37+0.10*T37+0.05*(6-S37))/5*100</x:f>
        <x:v>83</x:v>
      </x:c>
      <x:c r="V37" s="137" t="str">
        <x:f>IF(U37&gt;=84,"P0",IF(U37&gt;=72,"P1",IF(U37&gt;=60,"P2","P3")))</x:f>
        <x:v>P1</x:v>
      </x:c>
      <x:c r="W37" s="110" t="str">
        <x:v>P1。比静态 MG 更适合真实市场。</x:v>
      </x:c>
    </x:row>
    <x:row r="38">
      <x:c r="A38" s="110" t="n">
        <x:v>34</x:v>
      </x:c>
      <x:c r="B38" s="110" t="str">
        <x:v>拥挤 / Agent ecology</x:v>
      </x:c>
      <x:c r="C38" s="110" t="str">
        <x:v>Adaptive strategy ecology</x:v>
      </x:c>
      <x:c r="D38" s="110" t="str">
        <x:v>Agent-based evolutionary game</x:v>
      </x:c>
      <x:c r="E38" s="110" t="str">
        <x:v>momentum、MM、arb、noise 等 agent</x:v>
      </x:c>
      <x:c r="F38" s="110" t="str">
        <x:v>agent wealth/fitness、LOB state</x:v>
      </x:c>
      <x:c r="G38" s="110" t="str">
        <x:v>choose strategy/action</x:v>
      </x:c>
      <x:c r="H38" s="110" t="str">
        <x:v>PnL、survival</x:v>
      </x:c>
      <x:c r="I38" s="110" t="str">
        <x:v>Emergent equilibrium / cycles</x:v>
      </x:c>
      <x:c r="J38" s="110" t="str">
        <x:v>strategy share inferred from flow signatures</x:v>
      </x:c>
      <x:c r="K38" s="110" t="str">
        <x:v>作为仿真/压力测试，而非第一层预测器</x:v>
      </x:c>
      <x:c r="L38" s="110" t="str">
        <x:v>L2/trades、多 venue</x:v>
      </x:c>
      <x:c r="M38" s="110" t="str">
        <x:v>regime / tail / liquidity</x:v>
      </x:c>
      <x:c r="N38" s="110" t="str">
        <x:v>agent-based simulation + calibration</x:v>
      </x:c>
      <x:c r="O38" s="135" t="n">
        <x:v>3</x:v>
      </x:c>
      <x:c r="P38" s="135" t="n">
        <x:v>4</x:v>
      </x:c>
      <x:c r="Q38" s="135" t="n">
        <x:v>3</x:v>
      </x:c>
      <x:c r="R38" s="135" t="n">
        <x:v>3</x:v>
      </x:c>
      <x:c r="S38" s="135" t="n">
        <x:v>5</x:v>
      </x:c>
      <x:c r="T38" s="135" t="n">
        <x:v>5</x:v>
      </x:c>
      <x:c r="U38" s="136" t="n">
        <x:f>(0.30*O38+0.25*P38+0.15*Q38+0.15*R38+0.10*T38+0.05*(6-S38))/5*100</x:f>
        <x:v>67</x:v>
      </x:c>
      <x:c r="V38" s="137" t="str">
        <x:f>IF(U38&gt;=84,"P0",IF(U38&gt;=72,"P1",IF(U38&gt;=60,"P2","P3")))</x:f>
        <x:v>P2</x:v>
      </x:c>
      <x:c r="W38" s="110" t="str">
        <x:v>P2。适合研究非线性崩塌，不适合最先上线。</x:v>
      </x:c>
    </x:row>
    <x:row r="39">
      <x:c r="A39" s="110" t="n">
        <x:v>35</x:v>
      </x:c>
      <x:c r="B39" s="110" t="str">
        <x:v>拥挤 / Evolutionary</x:v>
      </x:c>
      <x:c r="C39" s="110" t="str">
        <x:v>Replicator dynamics</x:v>
      </x:c>
      <x:c r="D39" s="110" t="str">
        <x:v>Evolutionary game</x:v>
      </x:c>
      <x:c r="E39" s="110" t="str">
        <x:v>策略群体</x:v>
      </x:c>
      <x:c r="F39" s="110" t="str">
        <x:v>relative fitness</x:v>
      </x:c>
      <x:c r="G39" s="110" t="str">
        <x:v>population share evolves</x:v>
      </x:c>
      <x:c r="H39" s="110" t="str">
        <x:v>relative return</x:v>
      </x:c>
      <x:c r="I39" s="110" t="str">
        <x:v>ESS / cycles</x:v>
      </x:c>
      <x:c r="J39" s="110" t="str">
        <x:v>estimated strategy returns → share drift</x:v>
      </x:c>
      <x:c r="K39" s="110" t="str">
        <x:v>把“策略越赚钱→越拥挤→alpha 衰减”显式化</x:v>
      </x:c>
      <x:c r="L39" s="110" t="str">
        <x:v>策略 proxy / returns</x:v>
      </x:c>
      <x:c r="M39" s="110" t="str">
        <x:v>regime / alpha decay</x:v>
      </x:c>
      <x:c r="N39" s="110" t="str">
        <x:v>rolling payoff matrix + replicator ODE</x:v>
      </x:c>
      <x:c r="O39" s="135" t="n">
        <x:v>4</x:v>
      </x:c>
      <x:c r="P39" s="135" t="n">
        <x:v>4</x:v>
      </x:c>
      <x:c r="Q39" s="135" t="n">
        <x:v>4</x:v>
      </x:c>
      <x:c r="R39" s="135" t="n">
        <x:v>4</x:v>
      </x:c>
      <x:c r="S39" s="135" t="n">
        <x:v>4</x:v>
      </x:c>
      <x:c r="T39" s="135" t="n">
        <x:v>5</x:v>
      </x:c>
      <x:c r="U39" s="136" t="n">
        <x:f>(0.30*O39+0.25*P39+0.15*Q39+0.15*R39+0.10*T39+0.05*(6-S39))/5*100</x:f>
        <x:v>80</x:v>
      </x:c>
      <x:c r="V39" s="137" t="str">
        <x:f>IF(U39&gt;=84,"P0",IF(U39&gt;=72,"P1",IF(U39&gt;=60,"P2","P3")))</x:f>
        <x:v>P1</x:v>
      </x:c>
      <x:c r="W39" s="110" t="str">
        <x:v>P1/P2。结构简单，值得作为低成本 crowding 模型。</x:v>
      </x:c>
    </x:row>
    <x:row r="40">
      <x:c r="A40" s="110" t="n">
        <x:v>36</x:v>
      </x:c>
      <x:c r="B40" s="110" t="str">
        <x:v>对抗 / Manipulation</x:v>
      </x:c>
      <x:c r="C40" s="110" t="str">
        <x:v>Spoofing game / spoofability</x:v>
      </x:c>
      <x:c r="D40" s="110" t="str">
        <x:v>Adversarial signaling game</x:v>
      </x:c>
      <x:c r="E40" s="110" t="str">
        <x:v>spoofer、普通交易者、做市商</x:v>
      </x:c>
      <x:c r="F40" s="110" t="str">
        <x:v>LOB sensitivity、placement distance、cancel ability</x:v>
      </x:c>
      <x:c r="G40" s="110" t="str">
        <x:v>place fake depth→induce move→cancel/execute opposite</x:v>
      </x:c>
      <x:c r="H40" s="110" t="str">
        <x:v>manipulation gain - execution/detection risk</x:v>
      </x:c>
      <x:c r="I40" s="110" t="str">
        <x:v>Best-response / expected-gain condition</x:v>
      </x:c>
      <x:c r="J40" s="110" t="str">
        <x:v>large-order distance、cancel latency、expected induced price move</x:v>
      </x:c>
      <x:c r="K40" s="110" t="str">
        <x:v>直接过滤虚假 depth；crypto 尤其重要</x:v>
      </x:c>
      <x:c r="L40" s="110" t="str">
        <x:v>L3 最佳</x:v>
      </x:c>
      <x:c r="M40" s="110" t="str">
        <x:v>5m reversal / false breakout</x:v>
      </x:c>
      <x:c r="N40" s="110" t="str">
        <x:v>spoofability expected gain + neural probability model</x:v>
      </x:c>
      <x:c r="O40" s="135" t="n">
        <x:v>5</x:v>
      </x:c>
      <x:c r="P40" s="135" t="n">
        <x:v>5</x:v>
      </x:c>
      <x:c r="Q40" s="135" t="n">
        <x:v>3</x:v>
      </x:c>
      <x:c r="R40" s="135" t="n">
        <x:v>4</x:v>
      </x:c>
      <x:c r="S40" s="135" t="n">
        <x:v>4</x:v>
      </x:c>
      <x:c r="T40" s="135" t="n">
        <x:v>5</x:v>
      </x:c>
      <x:c r="U40" s="136" t="n">
        <x:f>(0.30*O40+0.25*P40+0.15*Q40+0.15*R40+0.10*T40+0.05*(6-S40))/5*100</x:f>
        <x:v>88.00000000000001</x:v>
      </x:c>
      <x:c r="V40" s="137" t="str">
        <x:f>IF(U40&gt;=84,"P0",IF(U40&gt;=72,"P1",IF(U40&gt;=60,"P2","P3")))</x:f>
        <x:v>P0</x:v>
      </x:c>
      <x:c r="W40" s="110" t="str">
        <x:v>P0/P1。前沿且非常实用，尤其在低监管 crypto venue。</x:v>
      </x:c>
    </x:row>
    <x:row r="41">
      <x:c r="A41" s="110" t="n">
        <x:v>37</x:v>
      </x:c>
      <x:c r="B41" s="110" t="str">
        <x:v>对抗 / Robustness</x:v>
      </x:c>
      <x:c r="C41" s="110" t="str">
        <x:v>Adversarial RL maker vs attacker</x:v>
      </x:c>
      <x:c r="D41" s="110" t="str">
        <x:v>Zero-sum / general-sum stochastic game</x:v>
      </x:c>
      <x:c r="E41" s="110" t="str">
        <x:v>maker、adversarial flow generator</x:v>
      </x:c>
      <x:c r="F41" s="110" t="str">
        <x:v>LOB、inventory、vol regime</x:v>
      </x:c>
      <x:c r="G41" s="110" t="str">
        <x:v>quote vs adversarial order flow</x:v>
      </x:c>
      <x:c r="H41" s="110" t="str">
        <x:v>robust PnL vs attacker gain</x:v>
      </x:c>
      <x:c r="I41" s="110" t="str">
        <x:v>Minimax / robust policy</x:v>
      </x:c>
      <x:c r="J41" s="110" t="str">
        <x:v>policy sensitivity、worst-case PnL、adversarial flow likelihood</x:v>
      </x:c>
      <x:c r="K41" s="110" t="str">
        <x:v>用于策略稳健性和 stress test，多于直接预测</x:v>
      </x:c>
      <x:c r="L41" s="110" t="str">
        <x:v>LOB simulator</x:v>
      </x:c>
      <x:c r="M41" s="110" t="str">
        <x:v>strategy PnL / risk</x:v>
      </x:c>
      <x:c r="N41" s="110" t="str">
        <x:v>self-play / adversarial training</x:v>
      </x:c>
      <x:c r="O41" s="135" t="n">
        <x:v>3</x:v>
      </x:c>
      <x:c r="P41" s="135" t="n">
        <x:v>3</x:v>
      </x:c>
      <x:c r="Q41" s="135" t="n">
        <x:v>3</x:v>
      </x:c>
      <x:c r="R41" s="135" t="n">
        <x:v>4</x:v>
      </x:c>
      <x:c r="S41" s="135" t="n">
        <x:v>5</x:v>
      </x:c>
      <x:c r="T41" s="135" t="n">
        <x:v>4</x:v>
      </x:c>
      <x:c r="U41" s="136" t="n">
        <x:f>(0.30*O41+0.25*P41+0.15*Q41+0.15*R41+0.10*T41+0.05*(6-S41))/5*100</x:f>
        <x:v>62.999999999999986</x:v>
      </x:c>
      <x:c r="V41" s="137" t="str">
        <x:f>IF(U41&gt;=84,"P0",IF(U41&gt;=72,"P1",IF(U41&gt;=60,"P2","P3")))</x:f>
        <x:v>P2</x:v>
      </x:c>
      <x:c r="W41" s="110" t="str">
        <x:v>P2。适合第二阶段策略层，不是第一阶段 alpha。</x:v>
      </x:c>
    </x:row>
    <x:row r="42">
      <x:c r="A42" s="110" t="n">
        <x:v>38</x:v>
      </x:c>
      <x:c r="B42" s="110" t="str">
        <x:v>对抗 / Manipulation</x:v>
      </x:c>
      <x:c r="C42" s="110" t="str">
        <x:v>False-liquidity withdrawal game</x:v>
      </x:c>
      <x:c r="D42" s="110" t="str">
        <x:v>Dynamic signaling game</x:v>
      </x:c>
      <x:c r="E42" s="110" t="str">
        <x:v>displayed liquidity providers、takers</x:v>
      </x:c>
      <x:c r="F42" s="110" t="str">
        <x:v>displayed depth、cancel option、news/toxicity</x:v>
      </x:c>
      <x:c r="G42" s="110" t="str">
        <x:v>stay/cancel/replace</x:v>
      </x:c>
      <x:c r="H42" s="110" t="str">
        <x:v>spread capture vs getting picked off</x:v>
      </x:c>
      <x:c r="I42" s="110" t="str">
        <x:v>Dynamic equilibrium</x:v>
      </x:c>
      <x:c r="J42" s="110" t="str">
        <x:v>depth that vanishes under pressure、cancel elasticity</x:v>
      </x:c>
      <x:c r="K42" s="110" t="str">
        <x:v>区分“真实深度”和“脆弱深度”</x:v>
      </x:c>
      <x:c r="L42" s="110" t="str">
        <x:v>L2/L3</x:v>
      </x:c>
      <x:c r="M42" s="110" t="str">
        <x:v>5m slippage / tail</x:v>
      </x:c>
      <x:c r="N42" s="110" t="str">
        <x:v>liquidity fragility score</x:v>
      </x:c>
      <x:c r="O42" s="135" t="n">
        <x:v>5</x:v>
      </x:c>
      <x:c r="P42" s="135" t="n">
        <x:v>5</x:v>
      </x:c>
      <x:c r="Q42" s="135" t="n">
        <x:v>4</x:v>
      </x:c>
      <x:c r="R42" s="135" t="n">
        <x:v>5</x:v>
      </x:c>
      <x:c r="S42" s="135" t="n">
        <x:v>3</x:v>
      </x:c>
      <x:c r="T42" s="135" t="n">
        <x:v>5</x:v>
      </x:c>
      <x:c r="U42" s="136" t="n">
        <x:f>(0.30*O42+0.25*P42+0.15*Q42+0.15*R42+0.10*T42+0.05*(6-S42))/5*100</x:f>
        <x:v>95</x:v>
      </x:c>
      <x:c r="V42" s="137" t="str">
        <x:f>IF(U42&gt;=84,"P0",IF(U42&gt;=72,"P1",IF(U42&gt;=60,"P2","P3")))</x:f>
        <x:v>P0</x:v>
      </x:c>
      <x:c r="W42" s="110" t="str">
        <x:v>P0/P1。比单看 order-book depth 更好。</x:v>
      </x:c>
    </x:row>
    <x:row r="43">
      <x:c r="A43" s="110" t="n">
        <x:v>39</x:v>
      </x:c>
      <x:c r="B43" s="110" t="str">
        <x:v>对抗 / Arbitrage</x:v>
      </x:c>
      <x:c r="C43" s="110" t="str">
        <x:v>Cross-venue arbitrage race</x:v>
      </x:c>
      <x:c r="D43" s="110" t="str">
        <x:v>Timing game</x:v>
      </x:c>
      <x:c r="E43" s="110" t="str">
        <x:v>arbitrageurs、market makers</x:v>
      </x:c>
      <x:c r="F43" s="110" t="str">
        <x:v>price discrepancies、latency、fees</x:v>
      </x:c>
      <x:c r="G43" s="110" t="str">
        <x:v>hit stale quote / cancel / reroute</x:v>
      </x:c>
      <x:c r="H43" s="110" t="str">
        <x:v>arb edge - fee - latency risk</x:v>
      </x:c>
      <x:c r="I43" s="110" t="str">
        <x:v>Race equilibrium</x:v>
      </x:c>
      <x:c r="J43" s="110" t="str">
        <x:v>price lead-lag、stale-quote lifetime、arb pressure</x:v>
      </x:c>
      <x:c r="K43" s="110" t="str">
        <x:v>BTC 价格发现非常关键</x:v>
      </x:c>
      <x:c r="L43" s="110" t="str">
        <x:v>multi-venue high-frequency</x:v>
      </x:c>
      <x:c r="M43" s="110" t="str">
        <x:v>5m convergence / direction</x:v>
      </x:c>
      <x:c r="N43" s="110" t="str">
        <x:v>graph lead-lag + race state</x:v>
      </x:c>
      <x:c r="O43" s="135" t="n">
        <x:v>5</x:v>
      </x:c>
      <x:c r="P43" s="135" t="n">
        <x:v>5</x:v>
      </x:c>
      <x:c r="Q43" s="135" t="n">
        <x:v>3</x:v>
      </x:c>
      <x:c r="R43" s="135" t="n">
        <x:v>5</x:v>
      </x:c>
      <x:c r="S43" s="135" t="n">
        <x:v>4</x:v>
      </x:c>
      <x:c r="T43" s="135" t="n">
        <x:v>4</x:v>
      </x:c>
      <x:c r="U43" s="136" t="n">
        <x:f>(0.30*O43+0.25*P43+0.15*Q43+0.15*R43+0.10*T43+0.05*(6-S43))/5*100</x:f>
        <x:v>89</x:v>
      </x:c>
      <x:c r="V43" s="137" t="str">
        <x:f>IF(U43&gt;=84,"P0",IF(U43&gt;=72,"P1",IF(U43&gt;=60,"P2","P3")))</x:f>
        <x:v>P0</x:v>
      </x:c>
      <x:c r="W43" s="110" t="str">
        <x:v>P1。高度数据驱动，优先级很高。</x:v>
      </x:c>
    </x:row>
    <x:row r="44">
      <x:c r="A44" s="110" t="n">
        <x:v>40</x:v>
      </x:c>
      <x:c r="B44" s="110" t="str">
        <x:v>Crypto Protocol / Mining</x:v>
      </x:c>
      <x:c r="C44" s="110" t="str">
        <x:v>Selfish mining game</x:v>
      </x:c>
      <x:c r="D44" s="110" t="str">
        <x:v>Repeated / stochastic mining game</x:v>
      </x:c>
      <x:c r="E44" s="110" t="str">
        <x:v>矿池/矿工</x:v>
      </x:c>
      <x:c r="F44" s="110" t="str">
        <x:v>hash share、private/public chain lead</x:v>
      </x:c>
      <x:c r="G44" s="110" t="str">
        <x:v>withhold/reveal blocks</x:v>
      </x:c>
      <x:c r="H44" s="110" t="str">
        <x:v>block rewards / fees</x:v>
      </x:c>
      <x:c r="I44" s="110" t="str">
        <x:v>Markov / Nash strategic mining</x:v>
      </x:c>
      <x:c r="J44" s="110" t="str">
        <x:v>orphan rate、hash concentration、block timing anomalies</x:v>
      </x:c>
      <x:c r="K44" s="110" t="str">
        <x:v>对 5m CEX price 仅间接：更多是 protocol-risk regime</x:v>
      </x:c>
      <x:c r="L44" s="110" t="str">
        <x:v>on-chain blocks、hashrate</x:v>
      </x:c>
      <x:c r="M44" s="110" t="str">
        <x:v>tail risk / event regime</x:v>
      </x:c>
      <x:c r="N44" s="110" t="str">
        <x:v>event flag / structural risk factor</x:v>
      </x:c>
      <x:c r="O44" s="135" t="n">
        <x:v>2</x:v>
      </x:c>
      <x:c r="P44" s="135" t="n">
        <x:v>2</x:v>
      </x:c>
      <x:c r="Q44" s="135" t="n">
        <x:v>5</x:v>
      </x:c>
      <x:c r="R44" s="135" t="n">
        <x:v>4</x:v>
      </x:c>
      <x:c r="S44" s="135" t="n">
        <x:v>3</x:v>
      </x:c>
      <x:c r="T44" s="135" t="n">
        <x:v>2</x:v>
      </x:c>
      <x:c r="U44" s="136" t="n">
        <x:f>(0.30*O44+0.25*P44+0.15*Q44+0.15*R44+0.10*T44+0.05*(6-S44))/5*100</x:f>
        <x:v>56.00000000000001</x:v>
      </x:c>
      <x:c r="V44" s="137" t="str">
        <x:f>IF(U44&gt;=84,"P0",IF(U44&gt;=72,"P1",IF(U44&gt;=60,"P2","P3")))</x:f>
        <x:v>P3</x:v>
      </x:c>
      <x:c r="W44" s="110" t="str">
        <x:v>P3。重要但不是 5m 价格预测主线。</x:v>
      </x:c>
    </x:row>
    <x:row r="45">
      <x:c r="A45" s="110" t="n">
        <x:v>41</x:v>
      </x:c>
      <x:c r="B45" s="110" t="str">
        <x:v>Crypto Protocol / Mining</x:v>
      </x:c>
      <x:c r="C45" s="110" t="str">
        <x:v>Miner's Dilemma / pool infiltration</x:v>
      </x:c>
      <x:c r="D45" s="110" t="str">
        <x:v>Repeated Prisoner's Dilemma</x:v>
      </x:c>
      <x:c r="E45" s="110" t="str">
        <x:v>矿池</x:v>
      </x:c>
      <x:c r="F45" s="110" t="str">
        <x:v>pool shares、infiltration incentives</x:v>
      </x:c>
      <x:c r="G45" s="110" t="str">
        <x:v>attack/not attack</x:v>
      </x:c>
      <x:c r="H45" s="110" t="str">
        <x:v>relative mining revenue</x:v>
      </x:c>
      <x:c r="I45" s="110" t="str">
        <x:v>Repeated-game equilibrium</x:v>
      </x:c>
      <x:c r="J45" s="110" t="str">
        <x:v>pool concentration、reward anomalies</x:v>
      </x:c>
      <x:c r="K45" s="110" t="str">
        <x:v>主要用于 protocol stability，不是短线 alpha</x:v>
      </x:c>
      <x:c r="L45" s="110" t="str">
        <x:v>mining pool data</x:v>
      </x:c>
      <x:c r="M45" s="110" t="str">
        <x:v>risk regime</x:v>
      </x:c>
      <x:c r="N45" s="110" t="str">
        <x:v>slow-moving structural factor</x:v>
      </x:c>
      <x:c r="O45" s="135" t="n">
        <x:v>1</x:v>
      </x:c>
      <x:c r="P45" s="135" t="n">
        <x:v>1</x:v>
      </x:c>
      <x:c r="Q45" s="135" t="n">
        <x:v>4</x:v>
      </x:c>
      <x:c r="R45" s="135" t="n">
        <x:v>4</x:v>
      </x:c>
      <x:c r="S45" s="135" t="n">
        <x:v>3</x:v>
      </x:c>
      <x:c r="T45" s="135" t="n">
        <x:v>2</x:v>
      </x:c>
      <x:c r="U45" s="136" t="n">
        <x:f>(0.30*O45+0.25*P45+0.15*Q45+0.15*R45+0.10*T45+0.05*(6-S45))/5*100</x:f>
        <x:v>42.00000000000001</x:v>
      </x:c>
      <x:c r="V45" s="137" t="str">
        <x:f>IF(U45&gt;=84,"P0",IF(U45&gt;=72,"P1",IF(U45&gt;=60,"P2","P3")))</x:f>
        <x:v>P3</x:v>
      </x:c>
      <x:c r="W45" s="110" t="str">
        <x:v>P3。放在附加结构风险层。</x:v>
      </x:c>
    </x:row>
    <x:row r="46">
      <x:c r="A46" s="110" t="n">
        <x:v>42</x:v>
      </x:c>
      <x:c r="B46" s="110" t="str">
        <x:v>Crypto Protocol / Fees</x:v>
      </x:c>
      <x:c r="C46" s="110" t="str">
        <x:v>Bitcoin fee-market strategic game</x:v>
      </x:c>
      <x:c r="D46" s="110" t="str">
        <x:v>Auction / mining game</x:v>
      </x:c>
      <x:c r="E46" s="110" t="str">
        <x:v>users、miners</x:v>
      </x:c>
      <x:c r="F46" s="110" t="str">
        <x:v>mempool、fees、block capacity</x:v>
      </x:c>
      <x:c r="G46" s="110" t="str">
        <x:v>choose fee / include tx / fork</x:v>
      </x:c>
      <x:c r="H46" s="110" t="str">
        <x:v>confirmation utility / miner revenue</x:v>
      </x:c>
      <x:c r="I46" s="110" t="str">
        <x:v>Auction / equilibrium</x:v>
      </x:c>
      <x:c r="J46" s="110" t="str">
        <x:v>mempool congestion、fee pressure、miner fee share</x:v>
      </x:c>
      <x:c r="K46" s="110" t="str">
        <x:v>极端拥堵时可作为情绪/链上需求辅助因子</x:v>
      </x:c>
      <x:c r="L46" s="110" t="str">
        <x:v>mempool、fees、blocks</x:v>
      </x:c>
      <x:c r="M46" s="110" t="str">
        <x:v>volatility / event risk</x:v>
      </x:c>
      <x:c r="N46" s="110" t="str">
        <x:v>event/regime feature</x:v>
      </x:c>
      <x:c r="O46" s="135" t="n">
        <x:v>2</x:v>
      </x:c>
      <x:c r="P46" s="135" t="n">
        <x:v>2</x:v>
      </x:c>
      <x:c r="Q46" s="135" t="n">
        <x:v>5</x:v>
      </x:c>
      <x:c r="R46" s="135" t="n">
        <x:v>4</x:v>
      </x:c>
      <x:c r="S46" s="135" t="n">
        <x:v>3</x:v>
      </x:c>
      <x:c r="T46" s="135" t="n">
        <x:v>3</x:v>
      </x:c>
      <x:c r="U46" s="136" t="n">
        <x:f>(0.30*O46+0.25*P46+0.15*Q46+0.15*R46+0.10*T46+0.05*(6-S46))/5*100</x:f>
        <x:v>57.99999999999999</x:v>
      </x:c>
      <x:c r="V46" s="137" t="str">
        <x:f>IF(U46&gt;=84,"P0",IF(U46&gt;=72,"P1",IF(U46&gt;=60,"P2","P3")))</x:f>
        <x:v>P3</x:v>
      </x:c>
      <x:c r="W46" s="110" t="str">
        <x:v>P3。对普通 5m BTC 方向预测不是核心。</x:v>
      </x:c>
    </x:row>
    <x:row r="47">
      <x:c r="A47" s="110" t="n">
        <x:v>43</x:v>
      </x:c>
      <x:c r="B47" s="110" t="str">
        <x:v>Crypto Protocol / MEV</x:v>
      </x:c>
      <x:c r="C47" s="110" t="str">
        <x:v>Priority gas auction / MEV race</x:v>
      </x:c>
      <x:c r="D47" s="110" t="str">
        <x:v>Continuous-time auction game</x:v>
      </x:c>
      <x:c r="E47" s="110" t="str">
        <x:v>bots、validators/miners、users</x:v>
      </x:c>
      <x:c r="F47" s="110" t="str">
        <x:v>arb opportunity、priority fee</x:v>
      </x:c>
      <x:c r="G47" s="110" t="str">
        <x:v>bid for ordering / front-run</x:v>
      </x:c>
      <x:c r="H47" s="110" t="str">
        <x:v>MEV profit - priority fee</x:v>
      </x:c>
      <x:c r="I47" s="110" t="str">
        <x:v>Auction equilibrium</x:v>
      </x:c>
      <x:c r="J47" s="110" t="str">
        <x:v>priority-fee spikes、arb intensity、ordering competition</x:v>
      </x:c>
      <x:c r="K47" s="110" t="str">
        <x:v>更适合 ETH/DEX；对 BTC 作为 cross-crypto stress proxy</x:v>
      </x:c>
      <x:c r="L47" s="110" t="str">
        <x:v>DEX mempool/MEV data</x:v>
      </x:c>
      <x:c r="M47" s="110" t="str">
        <x:v>cross-market volatility</x:v>
      </x:c>
      <x:c r="N47" s="110" t="str">
        <x:v>cross-asset regime factor</x:v>
      </x:c>
      <x:c r="O47" s="135" t="n">
        <x:v>2</x:v>
      </x:c>
      <x:c r="P47" s="135" t="n">
        <x:v>2</x:v>
      </x:c>
      <x:c r="Q47" s="135" t="n">
        <x:v>2</x:v>
      </x:c>
      <x:c r="R47" s="135" t="n">
        <x:v>3</x:v>
      </x:c>
      <x:c r="S47" s="135" t="n">
        <x:v>4</x:v>
      </x:c>
      <x:c r="T47" s="135" t="n">
        <x:v>2</x:v>
      </x:c>
      <x:c r="U47" s="136" t="n">
        <x:f>(0.30*O47+0.25*P47+0.15*Q47+0.15*R47+0.10*T47+0.05*(6-S47))/5*100</x:f>
        <x:v>43.00000000000001</x:v>
      </x:c>
      <x:c r="V47" s="137" t="str">
        <x:f>IF(U47&gt;=84,"P0",IF(U47&gt;=72,"P1",IF(U47&gt;=60,"P2","P3")))</x:f>
        <x:v>P3</x:v>
      </x:c>
      <x:c r="W47" s="110" t="str">
        <x:v>P3 for BTC 5m；但对 DeFi execution research 很重要。</x:v>
      </x:c>
    </x:row>
    <x:row r="48">
      <x:c r="A48" s="110" t="n">
        <x:v>44</x:v>
      </x:c>
      <x:c r="B48" s="110" t="str">
        <x:v>Crypto Protocol / Perp</x:v>
      </x:c>
      <x:c r="C48" s="110" t="str">
        <x:v>Liquidation bot race</x:v>
      </x:c>
      <x:c r="D48" s="110" t="str">
        <x:v>Preemption / auction game</x:v>
      </x:c>
      <x:c r="E48" s="110" t="str">
        <x:v>liquidators、leveraged traders、venue</x:v>
      </x:c>
      <x:c r="F48" s="110" t="str">
        <x:v>liquidatable positions、oracle/mark、bonus</x:v>
      </x:c>
      <x:c r="G48" s="110" t="str">
        <x:v>race to liquidate / backrun</x:v>
      </x:c>
      <x:c r="H48" s="110" t="str">
        <x:v>liquidation bonus - gas/impact risk</x:v>
      </x:c>
      <x:c r="I48" s="110" t="str">
        <x:v>Preemption equilibrium</x:v>
      </x:c>
      <x:c r="J48" s="110" t="str">
        <x:v>liquidation intensity、mark-index gap、depth collapse</x:v>
      </x:c>
      <x:c r="K48" s="110" t="str">
        <x:v>在 perp / on-chain derivatives 是 tail alpha</x:v>
      </x:c>
      <x:c r="L48" s="110" t="str">
        <x:v>liquidation feed、LOB、oracle</x:v>
      </x:c>
      <x:c r="M48" s="110" t="str">
        <x:v>5m tail return / vol</x:v>
      </x:c>
      <x:c r="N48" s="110" t="str">
        <x:v>race-pressure features</x:v>
      </x:c>
      <x:c r="O48" s="135" t="n">
        <x:v>5</x:v>
      </x:c>
      <x:c r="P48" s="135" t="n">
        <x:v>5</x:v>
      </x:c>
      <x:c r="Q48" s="135" t="n">
        <x:v>4</x:v>
      </x:c>
      <x:c r="R48" s="135" t="n">
        <x:v>4</x:v>
      </x:c>
      <x:c r="S48" s="135" t="n">
        <x:v>4</x:v>
      </x:c>
      <x:c r="T48" s="135" t="n">
        <x:v>5</x:v>
      </x:c>
      <x:c r="U48" s="136" t="n">
        <x:f>(0.30*O48+0.25*P48+0.15*Q48+0.15*R48+0.10*T48+0.05*(6-S48))/5*100</x:f>
        <x:v>90.99999999999999</x:v>
      </x:c>
      <x:c r="V48" s="137" t="str">
        <x:f>IF(U48&gt;=84,"P0",IF(U48&gt;=72,"P1",IF(U48&gt;=60,"P2","P3")))</x:f>
        <x:v>P0</x:v>
      </x:c>
      <x:c r="W48" s="110" t="str">
        <x:v>P0/P1。如果交易 perp，这是 crypto-native 核心方法。</x:v>
      </x:c>
    </x:row>
    <x:row r="49">
      <x:c r="A49" s="110" t="n">
        <x:v>45</x:v>
      </x:c>
      <x:c r="B49" s="110" t="str">
        <x:v>前沿方法 / Stochastic Games</x:v>
      </x:c>
      <x:c r="C49" s="110" t="str">
        <x:v>Markov stochastic game</x:v>
      </x:c>
      <x:c r="D49" s="110" t="str">
        <x:v>Stochastic game</x:v>
      </x:c>
      <x:c r="E49" s="110" t="str">
        <x:v>多类交易 agent</x:v>
      </x:c>
      <x:c r="F49" s="110" t="str">
        <x:v>LOB + inventory + latent regimes</x:v>
      </x:c>
      <x:c r="G49" s="110" t="str">
        <x:v>策略依状态动作</x:v>
      </x:c>
      <x:c r="H49" s="110" t="str">
        <x:v>长期折现 PnL / risk</x:v>
      </x:c>
      <x:c r="I49" s="110" t="str">
        <x:v>Markov perfect equilibrium</x:v>
      </x:c>
      <x:c r="J49" s="110" t="str">
        <x:v>estimated opponent policy、equilibrium gap</x:v>
      </x:c>
      <x:c r="K49" s="110" t="str">
        <x:v>统一 maker/taker/predator/arb 的一般框架</x:v>
      </x:c>
      <x:c r="L49" s="110" t="str">
        <x:v>L2/L3/simulator</x:v>
      </x:c>
      <x:c r="M49" s="110" t="str">
        <x:v>price / liquidity / policy</x:v>
      </x:c>
      <x:c r="N49" s="110" t="str">
        <x:v>approximate dynamic programming / MARL</x:v>
      </x:c>
      <x:c r="O49" s="135" t="n">
        <x:v>4</x:v>
      </x:c>
      <x:c r="P49" s="135" t="n">
        <x:v>5</x:v>
      </x:c>
      <x:c r="Q49" s="135" t="n">
        <x:v>3</x:v>
      </x:c>
      <x:c r="R49" s="135" t="n">
        <x:v>4</x:v>
      </x:c>
      <x:c r="S49" s="135" t="n">
        <x:v>5</x:v>
      </x:c>
      <x:c r="T49" s="135" t="n">
        <x:v>4</x:v>
      </x:c>
      <x:c r="U49" s="136" t="n">
        <x:f>(0.30*O49+0.25*P49+0.15*Q49+0.15*R49+0.10*T49+0.05*(6-S49))/5*100</x:f>
        <x:v>79</x:v>
      </x:c>
      <x:c r="V49" s="137" t="str">
        <x:f>IF(U49&gt;=84,"P0",IF(U49&gt;=72,"P1",IF(U49&gt;=60,"P2","P3")))</x:f>
        <x:v>P1</x:v>
      </x:c>
      <x:c r="W49" s="110" t="str">
        <x:v>P2。理论总框架；落地应从简化子博弈做起。</x:v>
      </x:c>
    </x:row>
    <x:row r="50">
      <x:c r="A50" s="110" t="n">
        <x:v>46</x:v>
      </x:c>
      <x:c r="B50" s="110" t="str">
        <x:v>前沿方法 / Stackelberg</x:v>
      </x:c>
      <x:c r="C50" s="110" t="str">
        <x:v>Leader–follower / Stackelberg execution game</x:v>
      </x:c>
      <x:c r="D50" s="110" t="str">
        <x:v>Stackelberg game</x:v>
      </x:c>
      <x:c r="E50" s="110" t="str">
        <x:v>大单 leader、maker/arb followers</x:v>
      </x:c>
      <x:c r="F50" s="110" t="str">
        <x:v>announced/inferred execution intent</x:v>
      </x:c>
      <x:c r="G50" s="110" t="str">
        <x:v>leader schedule；followers quote/front-run</x:v>
      </x:c>
      <x:c r="H50" s="110" t="str">
        <x:v>leader execution vs follower profit</x:v>
      </x:c>
      <x:c r="I50" s="110" t="str">
        <x:v>Stackelberg equilibrium</x:v>
      </x:c>
      <x:c r="J50" s="110" t="str">
        <x:v>large-flow persistence、response elasticity、quote withdrawal</x:v>
      </x:c>
      <x:c r="K50" s="110" t="str">
        <x:v>适合公开/可推断的大单执行</x:v>
      </x:c>
      <x:c r="L50" s="110" t="str">
        <x:v>trades/L2; public TWAP更佳</x:v>
      </x:c>
      <x:c r="M50" s="110" t="str">
        <x:v>5m impact / continuation</x:v>
      </x:c>
      <x:c r="N50" s="110" t="str">
        <x:v>estimate follower response curve</x:v>
      </x:c>
      <x:c r="O50" s="135" t="n">
        <x:v>4</x:v>
      </x:c>
      <x:c r="P50" s="135" t="n">
        <x:v>4</x:v>
      </x:c>
      <x:c r="Q50" s="135" t="n">
        <x:v>4</x:v>
      </x:c>
      <x:c r="R50" s="135" t="n">
        <x:v>4</x:v>
      </x:c>
      <x:c r="S50" s="135" t="n">
        <x:v>4</x:v>
      </x:c>
      <x:c r="T50" s="135" t="n">
        <x:v>5</x:v>
      </x:c>
      <x:c r="U50" s="136" t="n">
        <x:f>(0.30*O50+0.25*P50+0.15*Q50+0.15*R50+0.10*T50+0.05*(6-S50))/5*100</x:f>
        <x:v>80</x:v>
      </x:c>
      <x:c r="V50" s="137" t="str">
        <x:f>IF(U50&gt;=84,"P0",IF(U50&gt;=72,"P1",IF(U50&gt;=60,"P2","P3")))</x:f>
        <x:v>P1</x:v>
      </x:c>
      <x:c r="W50" s="110" t="str">
        <x:v>P1/P2。被低估，适合 block/TWAP execution detection。</x:v>
      </x:c>
    </x:row>
    <x:row r="51">
      <x:c r="A51" s="110" t="n">
        <x:v>47</x:v>
      </x:c>
      <x:c r="B51" s="110" t="str">
        <x:v>前沿方法 / MARL</x:v>
      </x:c>
      <x:c r="C51" s="110" t="str">
        <x:v>ABIDES-MARL endogenous price formation</x:v>
      </x:c>
      <x:c r="D51" s="110" t="str">
        <x:v>Multi-agent RL stochastic game</x:v>
      </x:c>
      <x:c r="E51" s="110" t="str">
        <x:v>fundamental/value/momentum/MM/execution agents</x:v>
      </x:c>
      <x:c r="F51" s="110" t="str">
        <x:v>simulated LOB + agent inventories</x:v>
      </x:c>
      <x:c r="G51" s="110" t="str">
        <x:v>learned trading policies</x:v>
      </x:c>
      <x:c r="H51" s="110" t="str">
        <x:v>agent PnL / execution objective</x:v>
      </x:c>
      <x:c r="I51" s="110" t="str">
        <x:v>Learned equilibrium / policy ecology</x:v>
      </x:c>
      <x:c r="J51" s="110" t="str">
        <x:v>emergent spread、impact、price formation patterns</x:v>
      </x:c>
      <x:c r="K51" s="110" t="str">
        <x:v>用于验证策略在战略对手存在时是否仍有效</x:v>
      </x:c>
      <x:c r="L51" s="110" t="str">
        <x:v>LOB calibration + simulation</x:v>
      </x:c>
      <x:c r="M51" s="110" t="str">
        <x:v>strategy robustness / regime</x:v>
      </x:c>
      <x:c r="N51" s="110" t="str">
        <x:v>multi-agent self-play simulator</x:v>
      </x:c>
      <x:c r="O51" s="135" t="n">
        <x:v>4</x:v>
      </x:c>
      <x:c r="P51" s="135" t="n">
        <x:v>4</x:v>
      </x:c>
      <x:c r="Q51" s="135" t="n">
        <x:v>2</x:v>
      </x:c>
      <x:c r="R51" s="135" t="n">
        <x:v>3</x:v>
      </x:c>
      <x:c r="S51" s="135" t="n">
        <x:v>5</x:v>
      </x:c>
      <x:c r="T51" s="135" t="n">
        <x:v>5</x:v>
      </x:c>
      <x:c r="U51" s="136" t="n">
        <x:f>(0.30*O51+0.25*P51+0.15*Q51+0.15*R51+0.10*T51+0.05*(6-S51))/5*100</x:f>
        <x:v>70</x:v>
      </x:c>
      <x:c r="V51" s="137" t="str">
        <x:f>IF(U51&gt;=84,"P0",IF(U51&gt;=72,"P1",IF(U51&gt;=60,"P2","P3")))</x:f>
        <x:v>P2</x:v>
      </x:c>
      <x:c r="W51" s="110" t="str">
        <x:v>P2。前沿且重要，但先作为仿真/反事实平台。</x:v>
      </x:c>
    </x:row>
    <x:row r="52">
      <x:c r="A52" s="110" t="n">
        <x:v>48</x:v>
      </x:c>
      <x:c r="B52" s="110" t="str">
        <x:v>前沿方法 / Inverse Games</x:v>
      </x:c>
      <x:c r="C52" s="110" t="str">
        <x:v>Inverse game theory / inverse RL</x:v>
      </x:c>
      <x:c r="D52" s="110" t="str">
        <x:v>Inverse stochastic game</x:v>
      </x:c>
      <x:c r="E52" s="110" t="str">
        <x:v>观察者推断 maker/taker/predator</x:v>
      </x:c>
      <x:c r="F52" s="110" t="str">
        <x:v>observed actions &amp; states</x:v>
      </x:c>
      <x:c r="G52" s="110" t="str">
        <x:v>infer reward/preferences</x:v>
      </x:c>
      <x:c r="H52" s="110" t="str">
        <x:v>recover latent objective parameters</x:v>
      </x:c>
      <x:c r="I52" s="110" t="str">
        <x:v>Inverse-optimality solution</x:v>
      </x:c>
      <x:c r="J52" s="110" t="str">
        <x:v>implicit risk aversion、inventory penalty、urgency、alpha strength</x:v>
      </x:c>
      <x:c r="K52" s="110" t="str">
        <x:v>这是我认为最被低估的一条：从订单行为反推出对手目的</x:v>
      </x:c>
      <x:c r="L52" s="110" t="str">
        <x:v>L2/L3/trades</x:v>
      </x:c>
      <x:c r="M52" s="110" t="str">
        <x:v>5m direction / liquidity</x:v>
      </x:c>
      <x:c r="N52" s="110" t="str">
        <x:v>IRL / max-entropy inverse RL / structural choice estimation</x:v>
      </x:c>
      <x:c r="O52" s="135" t="n">
        <x:v>5</x:v>
      </x:c>
      <x:c r="P52" s="135" t="n">
        <x:v>5</x:v>
      </x:c>
      <x:c r="Q52" s="135" t="n">
        <x:v>3</x:v>
      </x:c>
      <x:c r="R52" s="135" t="n">
        <x:v>4</x:v>
      </x:c>
      <x:c r="S52" s="135" t="n">
        <x:v>5</x:v>
      </x:c>
      <x:c r="T52" s="135" t="n">
        <x:v>5</x:v>
      </x:c>
      <x:c r="U52" s="136" t="n">
        <x:f>(0.30*O52+0.25*P52+0.15*Q52+0.15*R52+0.10*T52+0.05*(6-S52))/5*100</x:f>
        <x:v>87.00000000000001</x:v>
      </x:c>
      <x:c r="V52" s="137" t="str">
        <x:f>IF(U52&gt;=84,"P0",IF(U52&gt;=72,"P1",IF(U52&gt;=60,"P2","P3")))</x:f>
        <x:v>P0</x:v>
      </x:c>
      <x:c r="W52" s="110" t="str">
        <x:v>P1。研究难，但可能比直接 MARL 更有 alpha。</x:v>
      </x:c>
    </x:row>
    <x:row r="53">
      <x:c r="A53" s="110" t="n">
        <x:v>49</x:v>
      </x:c>
      <x:c r="B53" s="110" t="str">
        <x:v>前沿方法 / Learning in Games</x:v>
      </x:c>
      <x:c r="C53" s="110" t="str">
        <x:v>Fictitious play / best-response dynamics</x:v>
      </x:c>
      <x:c r="D53" s="110" t="str">
        <x:v>Learning game</x:v>
      </x:c>
      <x:c r="E53" s="110" t="str">
        <x:v>适应性 agents</x:v>
      </x:c>
      <x:c r="F53" s="110" t="str">
        <x:v>opponent action frequencies</x:v>
      </x:c>
      <x:c r="G53" s="110" t="str">
        <x:v>best respond to empirical strategy</x:v>
      </x:c>
      <x:c r="H53" s="110" t="str">
        <x:v>stage-game payoff</x:v>
      </x:c>
      <x:c r="I53" s="110" t="str">
        <x:v>Convergence / cycles</x:v>
      </x:c>
      <x:c r="J53" s="110" t="str">
        <x:v>best-response drift、policy instability</x:v>
      </x:c>
      <x:c r="K53" s="110" t="str">
        <x:v>低成本模拟市场参与者如何适应最近 order flow</x:v>
      </x:c>
      <x:c r="L53" s="110" t="str">
        <x:v>trades/L2</x:v>
      </x:c>
      <x:c r="M53" s="110" t="str">
        <x:v>regime / reversal</x:v>
      </x:c>
      <x:c r="N53" s="110" t="str">
        <x:v>rolling empirical payoff + best-response model</x:v>
      </x:c>
      <x:c r="O53" s="135" t="n">
        <x:v>3</x:v>
      </x:c>
      <x:c r="P53" s="135" t="n">
        <x:v>4</x:v>
      </x:c>
      <x:c r="Q53" s="135" t="n">
        <x:v>4</x:v>
      </x:c>
      <x:c r="R53" s="135" t="n">
        <x:v>3</x:v>
      </x:c>
      <x:c r="S53" s="135" t="n">
        <x:v>3</x:v>
      </x:c>
      <x:c r="T53" s="135" t="n">
        <x:v>5</x:v>
      </x:c>
      <x:c r="U53" s="136" t="n">
        <x:f>(0.30*O53+0.25*P53+0.15*Q53+0.15*R53+0.10*T53+0.05*(6-S53))/5*100</x:f>
        <x:v>72</x:v>
      </x:c>
      <x:c r="V53" s="137" t="str">
        <x:f>IF(U53&gt;=84,"P0",IF(U53&gt;=72,"P1",IF(U53&gt;=60,"P2","P3")))</x:f>
        <x:v>P1</x:v>
      </x:c>
      <x:c r="W53" s="110" t="str">
        <x:v>P2。简单、可解释，适合作为研究特征。</x:v>
      </x:c>
    </x:row>
    <x:row r="54">
      <x:c r="A54" s="110" t="n">
        <x:v>50</x:v>
      </x:c>
      <x:c r="B54" s="110" t="str">
        <x:v>前沿方法 / Learning in Games</x:v>
      </x:c>
      <x:c r="C54" s="110" t="str">
        <x:v>No-regret learning / regret matching</x:v>
      </x:c>
      <x:c r="D54" s="110" t="str">
        <x:v>Repeated game</x:v>
      </x:c>
      <x:c r="E54" s="110" t="str">
        <x:v>adaptive agents</x:v>
      </x:c>
      <x:c r="F54" s="110" t="str">
        <x:v>past actions/payoffs</x:v>
      </x:c>
      <x:c r="G54" s="110" t="str">
        <x:v>update mixed strategy</x:v>
      </x:c>
      <x:c r="H54" s="110" t="str">
        <x:v>minimize external/internal regret</x:v>
      </x:c>
      <x:c r="I54" s="110" t="str">
        <x:v>Correlated equilibrium / no-regret</x:v>
      </x:c>
      <x:c r="J54" s="110" t="str">
        <x:v>strategy regret、adaptation speed、action entropy</x:v>
      </x:c>
      <x:c r="K54" s="110" t="str">
        <x:v>刻画算法交易策略切换速度</x:v>
      </x:c>
      <x:c r="L54" s="110" t="str">
        <x:v>returns/flow/LOB</x:v>
      </x:c>
      <x:c r="M54" s="110" t="str">
        <x:v>regime / volatility</x:v>
      </x:c>
      <x:c r="N54" s="110" t="str">
        <x:v>online learning metrics as features</x:v>
      </x:c>
      <x:c r="O54" s="135" t="n">
        <x:v>3</x:v>
      </x:c>
      <x:c r="P54" s="135" t="n">
        <x:v>4</x:v>
      </x:c>
      <x:c r="Q54" s="135" t="n">
        <x:v>4</x:v>
      </x:c>
      <x:c r="R54" s="135" t="n">
        <x:v>4</x:v>
      </x:c>
      <x:c r="S54" s="135" t="n">
        <x:v>3</x:v>
      </x:c>
      <x:c r="T54" s="135" t="n">
        <x:v>5</x:v>
      </x:c>
      <x:c r="U54" s="136" t="n">
        <x:f>(0.30*O54+0.25*P54+0.15*Q54+0.15*R54+0.10*T54+0.05*(6-S54))/5*100</x:f>
        <x:v>75</x:v>
      </x:c>
      <x:c r="V54" s="137" t="str">
        <x:f>IF(U54&gt;=84,"P0",IF(U54&gt;=72,"P1",IF(U54&gt;=60,"P2","P3")))</x:f>
        <x:v>P1</x:v>
      </x:c>
      <x:c r="W54" s="110" t="str">
        <x:v>P2。很适合在线 regime feature。</x:v>
      </x:c>
    </x:row>
    <x:row r="55">
      <x:c r="A55" s="110" t="n">
        <x:v>51</x:v>
      </x:c>
      <x:c r="B55" s="110" t="str">
        <x:v>前沿方法 / Opponent Modeling</x:v>
      </x:c>
      <x:c r="C55" s="110" t="str">
        <x:v>Opponent modeling / recursive reasoning</x:v>
      </x:c>
      <x:c r="D55" s="110" t="str">
        <x:v>Dynamic Bayesian / cognitive hierarchy</x:v>
      </x:c>
      <x:c r="E55" s="110" t="str">
        <x:v>你 vs 其他交易者</x:v>
      </x:c>
      <x:c r="F55" s="110" t="str">
        <x:v>estimated opponent type/policy</x:v>
      </x:c>
      <x:c r="G55" s="110" t="str">
        <x:v>act conditional on inferred policy</x:v>
      </x:c>
      <x:c r="H55" s="110" t="str">
        <x:v>trading PnL</x:v>
      </x:c>
      <x:c r="I55" s="110" t="str">
        <x:v>Best response / level-k</x:v>
      </x:c>
      <x:c r="J55" s="110" t="str">
        <x:v>opponent-policy embeddings、type posterior</x:v>
      </x:c>
      <x:c r="K55" s="110" t="str">
        <x:v>可与 Transformer/SSM 结合：预测的不是价格而是下一步对手行为</x:v>
      </x:c>
      <x:c r="L55" s="110" t="str">
        <x:v>L2/L3/trades</x:v>
      </x:c>
      <x:c r="M55" s="110" t="str">
        <x:v>next event / 5m return</x:v>
      </x:c>
      <x:c r="N55" s="110" t="str">
        <x:v>sequence model → opponent action distribution → price head</x:v>
      </x:c>
      <x:c r="O55" s="135" t="n">
        <x:v>5</x:v>
      </x:c>
      <x:c r="P55" s="135" t="n">
        <x:v>5</x:v>
      </x:c>
      <x:c r="Q55" s="135" t="n">
        <x:v>3</x:v>
      </x:c>
      <x:c r="R55" s="135" t="n">
        <x:v>4</x:v>
      </x:c>
      <x:c r="S55" s="135" t="n">
        <x:v>5</x:v>
      </x:c>
      <x:c r="T55" s="135" t="n">
        <x:v>5</x:v>
      </x:c>
      <x:c r="U55" s="136" t="n">
        <x:f>(0.30*O55+0.25*P55+0.15*Q55+0.15*R55+0.10*T55+0.05*(6-S55))/5*100</x:f>
        <x:v>87.00000000000001</x:v>
      </x:c>
      <x:c r="V55" s="137" t="str">
        <x:f>IF(U55&gt;=84,"P0",IF(U55&gt;=72,"P1",IF(U55&gt;=60,"P2","P3")))</x:f>
        <x:v>P0</x:v>
      </x:c>
      <x:c r="W55" s="110" t="str">
        <x:v>P1。很前沿，也可能是深度学习与博弈论最好的连接点。</x:v>
      </x:c>
    </x:row>
    <x:row r="56">
      <x:c r="A56" s="110" t="n">
        <x:v>52</x:v>
      </x:c>
      <x:c r="B56" s="110" t="str">
        <x:v>前沿方法 / Bounded Rationality</x:v>
      </x:c>
      <x:c r="C56" s="110" t="str">
        <x:v>Quantal response / bounded rationality</x:v>
      </x:c>
      <x:c r="D56" s="110" t="str">
        <x:v>Behavioral game</x:v>
      </x:c>
      <x:c r="E56" s="110" t="str">
        <x:v>异质理性交易者</x:v>
      </x:c>
      <x:c r="F56" s="110" t="str">
        <x:v>payoff differences、noise temperature</x:v>
      </x:c>
      <x:c r="G56" s="110" t="str">
        <x:v>probabilistic best response</x:v>
      </x:c>
      <x:c r="H56" s="110" t="str">
        <x:v>expected payoff</x:v>
      </x:c>
      <x:c r="I56" s="110" t="str">
        <x:v>Quantal response equilibrium</x:v>
      </x:c>
      <x:c r="J56" s="110" t="str">
        <x:v>action stochasticity、temperature/irrationality proxy</x:v>
      </x:c>
      <x:c r="K56" s="110" t="str">
        <x:v>比硬 Nash 更现实；适合 noisy crypto participants</x:v>
      </x:c>
      <x:c r="L56" s="110" t="str">
        <x:v>L2/trades</x:v>
      </x:c>
      <x:c r="M56" s="110" t="str">
        <x:v>event flow / regime</x:v>
      </x:c>
      <x:c r="N56" s="110" t="str">
        <x:v>softmax discrete-choice structural model</x:v>
      </x:c>
      <x:c r="O56" s="135" t="n">
        <x:v>4</x:v>
      </x:c>
      <x:c r="P56" s="135" t="n">
        <x:v>4</x:v>
      </x:c>
      <x:c r="Q56" s="135" t="n">
        <x:v>4</x:v>
      </x:c>
      <x:c r="R56" s="135" t="n">
        <x:v>4</x:v>
      </x:c>
      <x:c r="S56" s="135" t="n">
        <x:v>3</x:v>
      </x:c>
      <x:c r="T56" s="135" t="n">
        <x:v>5</x:v>
      </x:c>
      <x:c r="U56" s="136" t="n">
        <x:f>(0.30*O56+0.25*P56+0.15*Q56+0.15*R56+0.10*T56+0.05*(6-S56))/5*100</x:f>
        <x:v>81.00000000000001</x:v>
      </x:c>
      <x:c r="V56" s="137" t="str">
        <x:f>IF(U56&gt;=84,"P0",IF(U56&gt;=72,"P1",IF(U56&gt;=60,"P2","P3")))</x:f>
        <x:v>P1</x:v>
      </x:c>
      <x:c r="W56" s="110" t="str">
        <x:v>P1/P2。实现成本不高，值得试。</x:v>
      </x:c>
    </x:row>
    <x:row r="57">
      <x:c r="A57" s="110" t="n">
        <x:v>53</x:v>
      </x:c>
      <x:c r="B57" s="110" t="str">
        <x:v>前沿方法 / Population Games</x:v>
      </x:c>
      <x:c r="C57" s="110" t="str">
        <x:v>Anonymous / population game</x:v>
      </x:c>
      <x:c r="D57" s="110" t="str">
        <x:v>Population game</x:v>
      </x:c>
      <x:c r="E57" s="110" t="str">
        <x:v>大量匿名策略群体</x:v>
      </x:c>
      <x:c r="F57" s="110" t="str">
        <x:v>distribution over strategies/states</x:v>
      </x:c>
      <x:c r="G57" s="110" t="str">
        <x:v>choose policy class</x:v>
      </x:c>
      <x:c r="H57" s="110" t="str">
        <x:v>population-dependent payoff</x:v>
      </x:c>
      <x:c r="I57" s="110" t="str">
        <x:v>Population equilibrium</x:v>
      </x:c>
      <x:c r="J57" s="110" t="str">
        <x:v>strategy share、crowding、flow composition</x:v>
      </x:c>
      <x:c r="K57" s="110" t="str">
        <x:v>实用版 MFG，适合从聚合市场数据估计</x:v>
      </x:c>
      <x:c r="L57" s="110" t="str">
        <x:v>aggregate flow/OI/LOB</x:v>
      </x:c>
      <x:c r="M57" s="110" t="str">
        <x:v>regime / reversal</x:v>
      </x:c>
      <x:c r="N57" s="110" t="str">
        <x:v>mixture model + population dynamics</x:v>
      </x:c>
      <x:c r="O57" s="135" t="n">
        <x:v>4</x:v>
      </x:c>
      <x:c r="P57" s="135" t="n">
        <x:v>5</x:v>
      </x:c>
      <x:c r="Q57" s="135" t="n">
        <x:v>4</x:v>
      </x:c>
      <x:c r="R57" s="135" t="n">
        <x:v>4</x:v>
      </x:c>
      <x:c r="S57" s="135" t="n">
        <x:v>4</x:v>
      </x:c>
      <x:c r="T57" s="135" t="n">
        <x:v>5</x:v>
      </x:c>
      <x:c r="U57" s="136" t="n">
        <x:f>(0.30*O57+0.25*P57+0.15*Q57+0.15*R57+0.10*T57+0.05*(6-S57))/5*100</x:f>
        <x:v>85</x:v>
      </x:c>
      <x:c r="V57" s="137" t="str">
        <x:f>IF(U57&gt;=84,"P0",IF(U57&gt;=72,"P1",IF(U57&gt;=60,"P2","P3")))</x:f>
        <x:v>P0</x:v>
      </x:c>
      <x:c r="W57" s="110" t="str">
        <x:v>P1。比完整 MFG 更容易落地。</x:v>
      </x:c>
    </x:row>
    <x:row r="58">
      <x:c r="A58" s="110" t="n">
        <x:v>54</x:v>
      </x:c>
      <x:c r="B58" s="110" t="str">
        <x:v>前沿方法 / Mechanism Design</x:v>
      </x:c>
      <x:c r="C58" s="110" t="str">
        <x:v>Exchange–maker principal-agent game</x:v>
      </x:c>
      <x:c r="D58" s="110" t="str">
        <x:v>Principal-agent / mechanism design</x:v>
      </x:c>
      <x:c r="E58" s="110" t="str">
        <x:v>交易所、market makers</x:v>
      </x:c>
      <x:c r="F58" s="110" t="str">
        <x:v>fees、obligations、quality targets</x:v>
      </x:c>
      <x:c r="G58" s="110" t="str">
        <x:v>set incentive / quote policy</x:v>
      </x:c>
      <x:c r="H58" s="110" t="str">
        <x:v>venue quality/revenue vs maker PnL</x:v>
      </x:c>
      <x:c r="I58" s="110" t="str">
        <x:v>Optimal contract / equilibrium</x:v>
      </x:c>
      <x:c r="J58" s="110" t="str">
        <x:v>rebate-adjusted spread、maker quality response</x:v>
      </x:c>
      <x:c r="K58" s="110" t="str">
        <x:v>用于解释 venue liquidity differences</x:v>
      </x:c>
      <x:c r="L58" s="110" t="str">
        <x:v>fee/market-maker program + LOB</x:v>
      </x:c>
      <x:c r="M58" s="110" t="str">
        <x:v>liquidity / venue lead</x:v>
      </x:c>
      <x:c r="N58" s="110" t="str">
        <x:v>cross-venue structural regression</x:v>
      </x:c>
      <x:c r="O58" s="135" t="n">
        <x:v>3</x:v>
      </x:c>
      <x:c r="P58" s="135" t="n">
        <x:v>3</x:v>
      </x:c>
      <x:c r="Q58" s="135" t="n">
        <x:v>3</x:v>
      </x:c>
      <x:c r="R58" s="135" t="n">
        <x:v>4</x:v>
      </x:c>
      <x:c r="S58" s="135" t="n">
        <x:v>4</x:v>
      </x:c>
      <x:c r="T58" s="135" t="n">
        <x:v>4</x:v>
      </x:c>
      <x:c r="U58" s="136" t="n">
        <x:f>(0.30*O58+0.25*P58+0.15*Q58+0.15*R58+0.10*T58+0.05*(6-S58))/5*100</x:f>
        <x:v>63.99999999999999</x:v>
      </x:c>
      <x:c r="V58" s="137" t="str">
        <x:f>IF(U58&gt;=84,"P0",IF(U58&gt;=72,"P1",IF(U58&gt;=60,"P2","P3")))</x:f>
        <x:v>P2</x:v>
      </x:c>
      <x:c r="W58" s="110" t="str">
        <x:v>P2/P3。更偏市场结构。</x:v>
      </x:c>
    </x:row>
    <x:row r="59">
      <x:c r="A59" s="110" t="n">
        <x:v>55</x:v>
      </x:c>
      <x:c r="B59" s="110" t="str">
        <x:v>前沿方法 / Market Design</x:v>
      </x:c>
      <x:c r="C59" s="110" t="str">
        <x:v>Frequent batch auction / anti-latency mechanism</x:v>
      </x:c>
      <x:c r="D59" s="110" t="str">
        <x:v>Auction / mechanism-design game</x:v>
      </x:c>
      <x:c r="E59" s="110" t="str">
        <x:v>HFT、investors、exchange</x:v>
      </x:c>
      <x:c r="F59" s="110" t="str">
        <x:v>batch interval、orders、latency</x:v>
      </x:c>
      <x:c r="G59" s="110" t="str">
        <x:v>submit before batch clear</x:v>
      </x:c>
      <x:c r="H59" s="110" t="str">
        <x:v>surplus - speed cost</x:v>
      </x:c>
      <x:c r="I59" s="110" t="str">
        <x:v>Auction equilibrium</x:v>
      </x:c>
      <x:c r="J59" s="110" t="str">
        <x:v>latency-arb rent、quote flicker reduction</x:v>
      </x:c>
      <x:c r="K59" s="110" t="str">
        <x:v>主要用于理解 continuous market 的 latency-race成本</x:v>
      </x:c>
      <x:c r="L59" s="110" t="str">
        <x:v>venue mechanism data</x:v>
      </x:c>
      <x:c r="M59" s="110" t="str">
        <x:v>liquidity / spread</x:v>
      </x:c>
      <x:c r="N59" s="110" t="str">
        <x:v>counterfactual simulator</x:v>
      </x:c>
      <x:c r="O59" s="135" t="n">
        <x:v>2</x:v>
      </x:c>
      <x:c r="P59" s="135" t="n">
        <x:v>2</x:v>
      </x:c>
      <x:c r="Q59" s="135" t="n">
        <x:v>2</x:v>
      </x:c>
      <x:c r="R59" s="135" t="n">
        <x:v>4</x:v>
      </x:c>
      <x:c r="S59" s="135" t="n">
        <x:v>4</x:v>
      </x:c>
      <x:c r="T59" s="135" t="n">
        <x:v>3</x:v>
      </x:c>
      <x:c r="U59" s="136" t="n">
        <x:f>(0.30*O59+0.25*P59+0.15*Q59+0.15*R59+0.10*T59+0.05*(6-S59))/5*100</x:f>
        <x:v>48</x:v>
      </x:c>
      <x:c r="V59" s="137" t="str">
        <x:f>IF(U59&gt;=84,"P0",IF(U59&gt;=72,"P1",IF(U59&gt;=60,"P2","P3")))</x:f>
        <x:v>P3</x:v>
      </x:c>
      <x:c r="W59" s="110" t="str">
        <x:v>P3。理论重要，对当前 BTC CEX 预测多为间接。</x:v>
      </x:c>
    </x:row>
    <x:row r="60">
      <x:c r="A60" s="110" t="n">
        <x:v>56</x:v>
      </x:c>
      <x:c r="B60" s="110" t="str">
        <x:v>前沿方法 / Market Design</x:v>
      </x:c>
      <x:c r="C60" s="110" t="str">
        <x:v>Call-auction / closing-auction strategic game</x:v>
      </x:c>
      <x:c r="D60" s="110" t="str">
        <x:v>Auction game</x:v>
      </x:c>
      <x:c r="E60" s="110" t="str">
        <x:v>buyers、sellers、MMs</x:v>
      </x:c>
      <x:c r="F60" s="110" t="str">
        <x:v>indicative clearing price、imbalance</x:v>
      </x:c>
      <x:c r="G60" s="110" t="str">
        <x:v>submit/modify/cancel auction orders</x:v>
      </x:c>
      <x:c r="H60" s="110" t="str">
        <x:v>execution surplus</x:v>
      </x:c>
      <x:c r="I60" s="110" t="str">
        <x:v>Auction equilibrium</x:v>
      </x:c>
      <x:c r="J60" s="110" t="str">
        <x:v>auction imbalance、indicative price response</x:v>
      </x:c>
      <x:c r="K60" s="110" t="str">
        <x:v>24/7 BTC 连续市场用处有限；部分 venue/ETF 场景可用</x:v>
      </x:c>
      <x:c r="L60" s="110" t="str">
        <x:v>auction data</x:v>
      </x:c>
      <x:c r="M60" s="110" t="str">
        <x:v>event price</x:v>
      </x:c>
      <x:c r="N60" s="110" t="str">
        <x:v>auction-specific model</x:v>
      </x:c>
      <x:c r="O60" s="135" t="n">
        <x:v>2</x:v>
      </x:c>
      <x:c r="P60" s="135" t="n">
        <x:v>1</x:v>
      </x:c>
      <x:c r="Q60" s="135" t="n">
        <x:v>2</x:v>
      </x:c>
      <x:c r="R60" s="135" t="n">
        <x:v>4</x:v>
      </x:c>
      <x:c r="S60" s="135" t="n">
        <x:v>3</x:v>
      </x:c>
      <x:c r="T60" s="135" t="n">
        <x:v>2</x:v>
      </x:c>
      <x:c r="U60" s="136" t="n">
        <x:f>(0.30*O60+0.25*P60+0.15*Q60+0.15*R60+0.10*T60+0.05*(6-S60))/5*100</x:f>
        <x:v>42.00000000000001</x:v>
      </x:c>
      <x:c r="V60" s="137" t="str">
        <x:f>IF(U60&gt;=84,"P0",IF(U60&gt;=72,"P1",IF(U60&gt;=60,"P2","P3")))</x:f>
        <x:v>P3</x:v>
      </x:c>
      <x:c r="W60" s="110" t="str">
        <x:v>P3 for BTC 5m。</x:v>
      </x:c>
    </x:row>
  </x:sheetData>
  <x:mergeCells>
    <x:mergeCell ref="A1:V2"/>
  </x:mergeCells>
  <x:conditionalFormatting sqref="U5:U6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V5:V60">
    <x:cfRule type="expression" dxfId="0" priority="2">
      <x:formula>V5="P0"</x:formula>
    </x:cfRule>
    <x:cfRule type="expression" dxfId="1" priority="3">
      <x:formula>V5="P1"</x:formula>
    </x:cfRule>
    <x:cfRule type="expression" dxfId="2" priority="4">
      <x:formula>V5="P2"</x:formula>
    </x:cfRule>
    <x:cfRule type="expression" dxfId="3" priority="5">
      <x:formula>V5="P3"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e60f81b53746f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0" hidden="0" customWidth="1"/>
    <x:col min="4" max="4" width="55" hidden="0" customWidth="1"/>
    <x:col min="5" max="5" width="32" hidden="0" customWidth="1"/>
    <x:col min="6" max="6" width="48" hidden="0" customWidth="1"/>
    <x:col min="7" max="7" width="24" hidden="0" customWidth="1"/>
    <x:col min="8" max="8" width="23" hidden="0" customWidth="1"/>
    <x:col min="9" max="9" width="10" hidden="0" customWidth="1"/>
    <x:col min="10" max="10" width="45" hidden="0" customWidth="1"/>
  </x:cols>
  <x:sheetData>
    <x:row r="1" ht="24" customHeight="1">
      <x:c r="A1" s="5" t="str">
        <x:v>Game-derived Feature Library — 如何把博弈论变成可训练的 5m 特征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102" t="str">
        <x:v>Feature ID</x:v>
      </x:c>
      <x:c r="B4" s="102" t="str">
        <x:v>Feature / Proxy</x:v>
      </x:c>
      <x:c r="C4" s="102" t="str">
        <x:v>Game-theory Origin</x:v>
      </x:c>
      <x:c r="D4" s="102" t="str">
        <x:v>Construction / Proxy Formula</x:v>
      </x:c>
      <x:c r="E4" s="102" t="str">
        <x:v>Output Variables</x:v>
      </x:c>
      <x:c r="F4" s="102" t="str">
        <x:v>Economic Interpretation</x:v>
      </x:c>
      <x:c r="G4" s="102" t="str">
        <x:v>Data</x:v>
      </x:c>
      <x:c r="H4" s="102" t="str">
        <x:v>Prediction Target</x:v>
      </x:c>
      <x:c r="I4" s="102" t="str">
        <x:v>Priority</x:v>
      </x:c>
      <x:c r="J4" s="102" t="str">
        <x:v>Implementation Note</x:v>
      </x:c>
    </x:row>
    <x:row r="5">
      <x:c r="A5" s="110" t="str">
        <x:v>GT01</x:v>
      </x:c>
      <x:c r="B5" s="110" t="str">
        <x:v>Kyle λ / price-impact coefficient</x:v>
      </x:c>
      <x:c r="C5" s="110" t="str">
        <x:v>Kyle informed-trading game</x:v>
      </x:c>
      <x:c r="D5" s="110" t="str">
        <x:v>回归 Δmid ~ λ·signed_volume，滚动/非线性均可</x:v>
      </x:c>
      <x:c r="E5" s="110" t="str">
        <x:v>lambda、lambda asymmetry、lambda z-score</x:v>
      </x:c>
      <x:c r="F5" s="110" t="str">
        <x:v>知情交易越强，同样订单流造成更大价格移动</x:v>
      </x:c>
      <x:c r="G5" s="110" t="str">
        <x:v>trades + mid</x:v>
      </x:c>
      <x:c r="H5" s="110" t="str">
        <x:v>return / impact</x:v>
      </x:c>
      <x:c r="I5" s="128" t="str">
        <x:v>P0</x:v>
      </x:c>
      <x:c r="J5" s="110" t="str">
        <x:v>建议 30s/1m/5m 多尺度同时估计</x:v>
      </x:c>
    </x:row>
    <x:row r="6">
      <x:c r="A6" s="110" t="str">
        <x:v>GT02</x:v>
      </x:c>
      <x:c r="B6" s="110" t="str">
        <x:v>Posterior P(informed)</x:v>
      </x:c>
      <x:c r="C6" s="110" t="str">
        <x:v>Glosten–Milgrom / Bayesian mixture</x:v>
      </x:c>
      <x:c r="D6" s="110" t="str">
        <x:v>用交易方向、size、spread、后续 quote revision 更新知情概率</x:v>
      </x:c>
      <x:c r="E6" s="110" t="str">
        <x:v>p_informed、posterior change、entropy</x:v>
      </x:c>
      <x:c r="F6" s="110" t="str">
        <x:v>高 posterior 往往伴随后续漂移与 spread widening</x:v>
      </x:c>
      <x:c r="G6" s="110" t="str">
        <x:v>trades + quotes</x:v>
      </x:c>
      <x:c r="H6" s="110" t="str">
        <x:v>direction / spread</x:v>
      </x:c>
      <x:c r="I6" s="128" t="str">
        <x:v>P0</x:v>
      </x:c>
      <x:c r="J6" s="110" t="str">
        <x:v>比固定 VPIN 更灵活</x:v>
      </x:c>
    </x:row>
    <x:row r="7">
      <x:c r="A7" s="110" t="str">
        <x:v>GT03</x:v>
      </x:c>
      <x:c r="B7" s="110" t="str">
        <x:v>Adverse-selection spread component</x:v>
      </x:c>
      <x:c r="C7" s="110" t="str">
        <x:v>Glosten–Milgrom</x:v>
      </x:c>
      <x:c r="D7" s="110" t="str">
        <x:v>effective spread 中拆出交易后 mid move 部分</x:v>
      </x:c>
      <x:c r="E7" s="110" t="str">
        <x:v>realized spread、price impact component</x:v>
      </x:c>
      <x:c r="F7" s="110" t="str">
        <x:v>识别 maker 何时在为信息风险收费</x:v>
      </x:c>
      <x:c r="G7" s="110" t="str">
        <x:v>trades + quotes</x:v>
      </x:c>
      <x:c r="H7" s="110" t="str">
        <x:v>vol / spread</x:v>
      </x:c>
      <x:c r="I7" s="128" t="str">
        <x:v>P0</x:v>
      </x:c>
      <x:c r="J7" s="110" t="str">
        <x:v>可直接作为 liquidity regime</x:v>
      </x:c>
    </x:row>
    <x:row r="8">
      <x:c r="A8" s="110" t="str">
        <x:v>GT04</x:v>
      </x:c>
      <x:c r="B8" s="110" t="str">
        <x:v>Strategic aggressiveness index</x:v>
      </x:c>
      <x:c r="C8" s="110" t="str">
        <x:v>Signaling / Parlour</x:v>
      </x:c>
      <x:c r="D8" s="110" t="str">
        <x:v>market order 占比、cross-spread size、distance、urgency 综合</x:v>
      </x:c>
      <x:c r="E8" s="110" t="str">
        <x:v>aggressiveness zscore</x:v>
      </x:c>
      <x:c r="F8" s="110" t="str">
        <x:v>参与者主动放弃价格换取速度通常代表更强意图</x:v>
      </x:c>
      <x:c r="G8" s="110" t="str">
        <x:v>L2/L3 + trades</x:v>
      </x:c>
      <x:c r="H8" s="110" t="str">
        <x:v>direction</x:v>
      </x:c>
      <x:c r="I8" s="128" t="str">
        <x:v>P0</x:v>
      </x:c>
      <x:c r="J8" s="110" t="str">
        <x:v>可按 buy/sell 分方向</x:v>
      </x:c>
    </x:row>
    <x:row r="9">
      <x:c r="A9" s="110" t="str">
        <x:v>GT05</x:v>
      </x:c>
      <x:c r="B9" s="110" t="str">
        <x:v>Patience / impatience latent factor</x:v>
      </x:c>
      <x:c r="C9" s="110" t="str">
        <x:v>Foucault-Kadan-Kandel</x:v>
      </x:c>
      <x:c r="D9" s="110" t="str">
        <x:v>market/limit ratio + order lifetime + cancel hazard</x:v>
      </x:c>
      <x:c r="E9" s="110" t="str">
        <x:v>impatience factor</x:v>
      </x:c>
      <x:c r="F9" s="110" t="str">
        <x:v>impatience 上升→流动性变脆、波动率上升</x:v>
      </x:c>
      <x:c r="G9" s="110" t="str">
        <x:v>L3 preferred</x:v>
      </x:c>
      <x:c r="H9" s="110" t="str">
        <x:v>vol / tail</x:v>
      </x:c>
      <x:c r="I9" s="128" t="str">
        <x:v>P0</x:v>
      </x:c>
      <x:c r="J9" s="110" t="str">
        <x:v>适合 HMM / dynamic factor</x:v>
      </x:c>
    </x:row>
    <x:row r="10">
      <x:c r="A10" s="110" t="str">
        <x:v>GT06</x:v>
      </x:c>
      <x:c r="B10" s="110" t="str">
        <x:v>Queue value / queue pressure</x:v>
      </x:c>
      <x:c r="C10" s="110" t="str">
        <x:v>Queue-position game</x:v>
      </x:c>
      <x:c r="D10" s="110" t="str">
        <x:v>queue ahead、fill hazard、price-improvement probability</x:v>
      </x:c>
      <x:c r="E10" s="110" t="str">
        <x:v>queue_value_bid - queue_value_ask</x:v>
      </x:c>
      <x:c r="F10" s="110" t="str">
        <x:v>比裸 queue imbalance 更接近真实最佳反应</x:v>
      </x:c>
      <x:c r="G10" s="110" t="str">
        <x:v>L3</x:v>
      </x:c>
      <x:c r="H10" s="110" t="str">
        <x:v>next move</x:v>
      </x:c>
      <x:c r="I10" s="128" t="str">
        <x:v>P0</x:v>
      </x:c>
      <x:c r="J10" s="110" t="str">
        <x:v>L2 可用 depth+depletion 近似</x:v>
      </x:c>
    </x:row>
    <x:row r="11">
      <x:c r="A11" s="110" t="str">
        <x:v>GT07</x:v>
      </x:c>
      <x:c r="B11" s="110" t="str">
        <x:v>Cancel pressure / liquidity fragility</x:v>
      </x:c>
      <x:c r="C11" s="110" t="str">
        <x:v>Cancellation game</x:v>
      </x:c>
      <x:c r="D11" s="110" t="str">
        <x:v>cancel/add ratio、order age、reprice distance、cancel burst</x:v>
      </x:c>
      <x:c r="E11" s="110" t="str">
        <x:v>fragility_bid/ask</x:v>
      </x:c>
      <x:c r="F11" s="110" t="str">
        <x:v>大量撤单代表 displayed depth 不可信</x:v>
      </x:c>
      <x:c r="G11" s="110" t="str">
        <x:v>L3 preferred</x:v>
      </x:c>
      <x:c r="H11" s="110" t="str">
        <x:v>tail / slippage</x:v>
      </x:c>
      <x:c r="I11" s="128" t="str">
        <x:v>P0</x:v>
      </x:c>
      <x:c r="J11" s="110" t="str">
        <x:v>crypto venue 很关键</x:v>
      </x:c>
    </x:row>
    <x:row r="12">
      <x:c r="A12" s="110" t="str">
        <x:v>GT08</x:v>
      </x:c>
      <x:c r="B12" s="110" t="str">
        <x:v>Undercut competition score</x:v>
      </x:c>
      <x:c r="C12" s="110" t="str">
        <x:v>Spread competition</x:v>
      </x:c>
      <x:c r="D12" s="110" t="str">
        <x:v>inside-spread improvements / quote lifetime / quote density</x:v>
      </x:c>
      <x:c r="E12" s="110" t="str">
        <x:v>undercut_rate、compression_speed</x:v>
      </x:c>
      <x:c r="F12" s="110" t="str">
        <x:v>竞争越激烈，短期 spread 越稳；突然停止可预示 volatility jump</x:v>
      </x:c>
      <x:c r="G12" s="110" t="str">
        <x:v>L2/L3</x:v>
      </x:c>
      <x:c r="H12" s="110" t="str">
        <x:v>spread / vol</x:v>
      </x:c>
      <x:c r="I12" s="128" t="str">
        <x:v>P1</x:v>
      </x:c>
      <x:c r="J12" s="110" t="str">
        <x:v>适合做 change-point</x:v>
      </x:c>
    </x:row>
    <x:row r="13">
      <x:c r="A13" s="110" t="str">
        <x:v>GT09</x:v>
      </x:c>
      <x:c r="B13" s="110" t="str">
        <x:v>Maker withdrawal asymmetry</x:v>
      </x:c>
      <x:c r="C13" s="110" t="str">
        <x:v>Maker–taker game</x:v>
      </x:c>
      <x:c r="D13" s="110" t="str">
        <x:v>bid/ask depth 的同步/非同步撤出速度</x:v>
      </x:c>
      <x:c r="E13" s="110" t="str">
        <x:v>withdrawal_bid - withdrawal_ask</x:v>
      </x:c>
      <x:c r="F13" s="110" t="str">
        <x:v>maker 避免被 informed taker 打中时会提前撤流动性</x:v>
      </x:c>
      <x:c r="G13" s="110" t="str">
        <x:v>L2/L3</x:v>
      </x:c>
      <x:c r="H13" s="110" t="str">
        <x:v>direction / tail</x:v>
      </x:c>
      <x:c r="I13" s="128" t="str">
        <x:v>P0</x:v>
      </x:c>
      <x:c r="J13" s="110" t="str">
        <x:v>比静态 imbalance 更早</x:v>
      </x:c>
    </x:row>
    <x:row r="14">
      <x:c r="A14" s="110" t="str">
        <x:v>GT10</x:v>
      </x:c>
      <x:c r="B14" s="110" t="str">
        <x:v>Impact decay half-life</x:v>
      </x:c>
      <x:c r="C14" s="110" t="str">
        <x:v>Transient-impact game</x:v>
      </x:c>
      <x:c r="D14" s="110" t="str">
        <x:v>冲击后 mid-price 回落曲线拟合 transient kernel</x:v>
      </x:c>
      <x:c r="E14" s="110" t="str">
        <x:v>half_life、permanent_share</x:v>
      </x:c>
      <x:c r="F14" s="110" t="str">
        <x:v>决定追趋势还是做反转</x:v>
      </x:c>
      <x:c r="G14" s="110" t="str">
        <x:v>trades + mid</x:v>
      </x:c>
      <x:c r="H14" s="110" t="str">
        <x:v>continuation/reversal</x:v>
      </x:c>
      <x:c r="I14" s="128" t="str">
        <x:v>P0</x:v>
      </x:c>
      <x:c r="J14" s="110" t="str">
        <x:v>5m horizon 强相关</x:v>
      </x:c>
    </x:row>
    <x:row r="15">
      <x:c r="A15" s="110" t="str">
        <x:v>GT11</x:v>
      </x:c>
      <x:c r="B15" s="110" t="str">
        <x:v>Hot-potato oscillation index</x:v>
      </x:c>
      <x:c r="C15" s="110" t="str">
        <x:v>Market-impact Nash game</x:v>
      </x:c>
      <x:c r="D15" s="110" t="str">
        <x:v>trade sign 高频交替 + 高 turnover + 低永久冲击</x:v>
      </x:c>
      <x:c r="E15" s="110" t="str">
        <x:v>alternation_rate、impact_efficiency</x:v>
      </x:c>
      <x:c r="F15" s="110" t="str">
        <x:v>过滤“巨量成交但信息含量低”的假信号</x:v>
      </x:c>
      <x:c r="G15" s="110" t="str">
        <x:v>trades</x:v>
      </x:c>
      <x:c r="H15" s="110" t="str">
        <x:v>reversal / vol</x:v>
      </x:c>
      <x:c r="I15" s="128" t="str">
        <x:v>P1</x:v>
      </x:c>
      <x:c r="J15" s="110" t="str">
        <x:v>与 λ 联合最有用</x:v>
      </x:c>
    </x:row>
    <x:row r="16">
      <x:c r="A16" s="110" t="str">
        <x:v>GT12</x:v>
      </x:c>
      <x:c r="B16" s="110" t="str">
        <x:v>Predation vulnerability score</x:v>
      </x:c>
      <x:c r="C16" s="110" t="str">
        <x:v>Predatory trading</x:v>
      </x:c>
      <x:c r="D16" s="110" t="str">
        <x:v>forced-flow proxy × thin-depth × impact convexity × liquidation proximity</x:v>
      </x:c>
      <x:c r="E16" s="110" t="str">
        <x:v>predation_score</x:v>
      </x:c>
      <x:c r="F16" s="110" t="str">
        <x:v>越高越容易出现 front-run + liquidity withdrawal + cascade</x:v>
      </x:c>
      <x:c r="G16" s="110" t="str">
        <x:v>perp+LOB</x:v>
      </x:c>
      <x:c r="H16" s="110" t="str">
        <x:v>tail return</x:v>
      </x:c>
      <x:c r="I16" s="128" t="str">
        <x:v>P0</x:v>
      </x:c>
      <x:c r="J16" s="110" t="str">
        <x:v>crypto-native 核心</x:v>
      </x:c>
    </x:row>
    <x:row r="17">
      <x:c r="A17" s="110" t="str">
        <x:v>GT13</x:v>
      </x:c>
      <x:c r="B17" s="110" t="str">
        <x:v>Liquidation urgency / preemption</x:v>
      </x:c>
      <x:c r="C17" s="110" t="str">
        <x:v>First-mover liquidation game</x:v>
      </x:c>
      <x:c r="D17" s="110" t="str">
        <x:v>distance-to-liquidation、OI、funding、depth、mark-index gap</x:v>
      </x:c>
      <x:c r="E17" s="110" t="str">
        <x:v>urgency_long/short</x:v>
      </x:c>
      <x:c r="F17" s="110" t="str">
        <x:v>越接近强平，理性仓位越倾向先减仓</x:v>
      </x:c>
      <x:c r="G17" s="110" t="str">
        <x:v>perp data</x:v>
      </x:c>
      <x:c r="H17" s="110" t="str">
        <x:v>tail direction</x:v>
      </x:c>
      <x:c r="I17" s="128" t="str">
        <x:v>P0</x:v>
      </x:c>
      <x:c r="J17" s="110" t="str">
        <x:v>分多空做两个变量</x:v>
      </x:c>
    </x:row>
    <x:row r="18">
      <x:c r="A18" s="110" t="str">
        <x:v>GT14</x:v>
      </x:c>
      <x:c r="B18" s="110" t="str">
        <x:v>Crowding pressure</x:v>
      </x:c>
      <x:c r="C18" s="110" t="str">
        <x:v>Mean-field trade crowding</x:v>
      </x:c>
      <x:c r="D18" s="110" t="str">
        <x:v>signed flow persistence × OI build × basis/funding × impact</x:v>
      </x:c>
      <x:c r="E18" s="110" t="str">
        <x:v>crowding_long/short</x:v>
      </x:c>
      <x:c r="F18" s="110" t="str">
        <x:v>同一方向 agent 太多时，短期可强化趋势，之后反转风险上升</x:v>
      </x:c>
      <x:c r="G18" s="110" t="str">
        <x:v>perp+trades</x:v>
      </x:c>
      <x:c r="H18" s="110" t="str">
        <x:v>continuation/reversal</x:v>
      </x:c>
      <x:c r="I18" s="128" t="str">
        <x:v>P0</x:v>
      </x:c>
      <x:c r="J18" s="110" t="str">
        <x:v>需要非线性阈值</x:v>
      </x:c>
    </x:row>
    <x:row r="19">
      <x:c r="A19" s="110" t="str">
        <x:v>GT15</x:v>
      </x:c>
      <x:c r="B19" s="110" t="str">
        <x:v>Crowding marginal impact</x:v>
      </x:c>
      <x:c r="C19" s="110" t="str">
        <x:v>Mean-field game</x:v>
      </x:c>
      <x:c r="D19" s="110" t="str">
        <x:v>单位新增 flow 对 price impact 的边际变化</x:v>
      </x:c>
      <x:c r="E19" s="110" t="str">
        <x:v>dImpact/dFlow</x:v>
      </x:c>
      <x:c r="F19" s="110" t="str">
        <x:v>边际冲击陡增意味着 crowd approaching capacity</x:v>
      </x:c>
      <x:c r="G19" s="110" t="str">
        <x:v>trades+LOB</x:v>
      </x:c>
      <x:c r="H19" s="110" t="str">
        <x:v>tail / reversal</x:v>
      </x:c>
      <x:c r="I19" s="128" t="str">
        <x:v>P1</x:v>
      </x:c>
      <x:c r="J19" s="110" t="str">
        <x:v>可用 spline / local regression</x:v>
      </x:c>
    </x:row>
    <x:row r="20">
      <x:c r="A20" s="110" t="str">
        <x:v>GT16</x:v>
      </x:c>
      <x:c r="B20" s="110" t="str">
        <x:v>Strategy entropy</x:v>
      </x:c>
      <x:c r="C20" s="110" t="str">
        <x:v>Minority / population game</x:v>
      </x:c>
      <x:c r="D20" s="110" t="str">
        <x:v>从 trend/MM/arb/noise flow signatures 推断策略占比</x:v>
      </x:c>
      <x:c r="E20" s="110" t="str">
        <x:v>entropy、dominant_share</x:v>
      </x:c>
      <x:c r="F20" s="110" t="str">
        <x:v>低 entropy=单一策略过度占优，容易拥挤</x:v>
      </x:c>
      <x:c r="G20" s="110" t="str">
        <x:v>aggregate market data</x:v>
      </x:c>
      <x:c r="H20" s="110" t="str">
        <x:v>regime</x:v>
      </x:c>
      <x:c r="I20" s="128" t="str">
        <x:v>P1</x:v>
      </x:c>
      <x:c r="J20" s="110" t="str">
        <x:v>不必显式辨认账户</x:v>
      </x:c>
    </x:row>
    <x:row r="21">
      <x:c r="A21" s="110" t="str">
        <x:v>GT17</x:v>
      </x:c>
      <x:c r="B21" s="110" t="str">
        <x:v>Replicator fitness gap</x:v>
      </x:c>
      <x:c r="C21" s="110" t="str">
        <x:v>Evolutionary game</x:v>
      </x:c>
      <x:c r="D21" s="110" t="str">
        <x:v>估计趋势/反转/做市策略近期收益差</x:v>
      </x:c>
      <x:c r="E21" s="110" t="str">
        <x:v>fitness_gap</x:v>
      </x:c>
      <x:c r="F21" s="110" t="str">
        <x:v>相对 fitness 决定策略份额漂移</x:v>
      </x:c>
      <x:c r="G21" s="110" t="str">
        <x:v>returns/LOB</x:v>
      </x:c>
      <x:c r="H21" s="110" t="str">
        <x:v>regime</x:v>
      </x:c>
      <x:c r="I21" s="128" t="str">
        <x:v>P2</x:v>
      </x:c>
      <x:c r="J21" s="110" t="str">
        <x:v>低成本 experimental feature</x:v>
      </x:c>
    </x:row>
    <x:row r="22">
      <x:c r="A22" s="110" t="str">
        <x:v>GT18</x:v>
      </x:c>
      <x:c r="B22" s="110" t="str">
        <x:v>Spoofability expected gain</x:v>
      </x:c>
      <x:c r="C22" s="110" t="str">
        <x:v>Spoofing game</x:v>
      </x:c>
      <x:c r="D22" s="110" t="str">
        <x:v>E[诱导价格收益]-执行风险-检测/取消成本</x:v>
      </x:c>
      <x:c r="E22" s="110" t="str">
        <x:v>spoof_gain_bid/ask</x:v>
      </x:c>
      <x:c r="F22" s="110" t="str">
        <x:v>如果大单有正 manipulation incentive，depth 可信度下降</x:v>
      </x:c>
      <x:c r="G22" s="110" t="str">
        <x:v>L3</x:v>
      </x:c>
      <x:c r="H22" s="110" t="str">
        <x:v>false breakout / reversal</x:v>
      </x:c>
      <x:c r="I22" s="128" t="str">
        <x:v>P0</x:v>
      </x:c>
      <x:c r="J22" s="110" t="str">
        <x:v>建议与 order distance 一起建模</x:v>
      </x:c>
    </x:row>
    <x:row r="23">
      <x:c r="A23" s="110" t="str">
        <x:v>GT19</x:v>
      </x:c>
      <x:c r="B23" s="110" t="str">
        <x:v>Spoof probability</x:v>
      </x:c>
      <x:c r="C23" s="110" t="str">
        <x:v>Adversarial signaling</x:v>
      </x:c>
      <x:c r="D23" s="110" t="str">
        <x:v>order size、distance、lifetime、cancel pattern、induced move</x:v>
      </x:c>
      <x:c r="E23" s="110" t="str">
        <x:v>p_spoof</x:v>
      </x:c>
      <x:c r="F23" s="110" t="str">
        <x:v>直接做 depth reliability haircut</x:v>
      </x:c>
      <x:c r="G23" s="110" t="str">
        <x:v>L3</x:v>
      </x:c>
      <x:c r="H23" s="110" t="str">
        <x:v>reversal</x:v>
      </x:c>
      <x:c r="I23" s="128" t="str">
        <x:v>P0</x:v>
      </x:c>
      <x:c r="J23" s="110" t="str">
        <x:v>可训练 probabilistic NN / GBM</x:v>
      </x:c>
    </x:row>
    <x:row r="24">
      <x:c r="A24" s="110" t="str">
        <x:v>GT20</x:v>
      </x:c>
      <x:c r="B24" s="110" t="str">
        <x:v>Cross-venue arbitrage pressure</x:v>
      </x:c>
      <x:c r="C24" s="110" t="str">
        <x:v>Latency race</x:v>
      </x:c>
      <x:c r="D24" s="110" t="str">
        <x:v>price gap / fee / latency / available depth</x:v>
      </x:c>
      <x:c r="E24" s="110" t="str">
        <x:v>arb_edge_net、leader_score</x:v>
      </x:c>
      <x:c r="F24" s="110" t="str">
        <x:v>领先 venue 的 order flow 常先于其他 venue 价格调整</x:v>
      </x:c>
      <x:c r="G24" s="110" t="str">
        <x:v>multi-venue L2/trades</x:v>
      </x:c>
      <x:c r="H24" s="110" t="str">
        <x:v>direction</x:v>
      </x:c>
      <x:c r="I24" s="128" t="str">
        <x:v>P0</x:v>
      </x:c>
      <x:c r="J24" s="110" t="str">
        <x:v>BTC 最实用之一</x:v>
      </x:c>
    </x:row>
    <x:row r="25">
      <x:c r="A25" s="110" t="str">
        <x:v>GT21</x:v>
      </x:c>
      <x:c r="B25" s="110" t="str">
        <x:v>Stale-quote exposure</x:v>
      </x:c>
      <x:c r="C25" s="110" t="str">
        <x:v>Latency race</x:v>
      </x:c>
      <x:c r="D25" s="110" t="str">
        <x:v>quote age × cross-venue price move × cancel latency</x:v>
      </x:c>
      <x:c r="E25" s="110" t="str">
        <x:v>stale_quote_risk</x:v>
      </x:c>
      <x:c r="F25" s="110" t="str">
        <x:v>stale quote 一旦被 hit，常造成瞬时价格跟随</x:v>
      </x:c>
      <x:c r="G25" s="110" t="str">
        <x:v>multi-venue</x:v>
      </x:c>
      <x:c r="H25" s="110" t="str">
        <x:v>next move</x:v>
      </x:c>
      <x:c r="I25" s="128" t="str">
        <x:v>P1</x:v>
      </x:c>
      <x:c r="J25" s="110" t="str">
        <x:v>要求较高频 timestamp</x:v>
      </x:c>
    </x:row>
    <x:row r="26">
      <x:c r="A26" s="110" t="str">
        <x:v>GT22</x:v>
      </x:c>
      <x:c r="B26" s="110" t="str">
        <x:v>Maker competition synchrony</x:v>
      </x:c>
      <x:c r="C26" s="110" t="str">
        <x:v>Repeated dealer game</x:v>
      </x:c>
      <x:c r="D26" s="110" t="str">
        <x:v>多个 venue/price levels 的 quote widening 同步度</x:v>
      </x:c>
      <x:c r="E26" s="110" t="str">
        <x:v>spread_sync、withdrawal_sync</x:v>
      </x:c>
      <x:c r="F26" s="110" t="str">
        <x:v>同步 widening 可能是共同 toxicity 而非独立噪声</x:v>
      </x:c>
      <x:c r="G26" s="110" t="str">
        <x:v>multi-venue L2</x:v>
      </x:c>
      <x:c r="H26" s="110" t="str">
        <x:v>vol</x:v>
      </x:c>
      <x:c r="I26" s="128" t="str">
        <x:v>P1</x:v>
      </x:c>
      <x:c r="J26" s="110" t="str">
        <x:v>可做 network features</x:v>
      </x:c>
    </x:row>
    <x:row r="27">
      <x:c r="A27" s="110" t="str">
        <x:v>GT23</x:v>
      </x:c>
      <x:c r="B27" s="110" t="str">
        <x:v>Tacit-collusion spread residual</x:v>
      </x:c>
      <x:c r="C27" s="110" t="str">
        <x:v>Repeated MARL game</x:v>
      </x:c>
      <x:c r="D27" s="110" t="str">
        <x:v>实际 spread - fundamentals/vol/inventory 可解释 spread</x:v>
      </x:c>
      <x:c r="E27" s="110" t="str">
        <x:v>excess_spread_persistence</x:v>
      </x:c>
      <x:c r="F27" s="110" t="str">
        <x:v>异常持久宽 spread 可能反映弱竞争/共同策略</x:v>
      </x:c>
      <x:c r="G27" s="110" t="str">
        <x:v>L2</x:v>
      </x:c>
      <x:c r="H27" s="110" t="str">
        <x:v>spread</x:v>
      </x:c>
      <x:c r="I27" s="128" t="str">
        <x:v>P2</x:v>
      </x:c>
      <x:c r="J27" s="110" t="str">
        <x:v>研究性质更强</x:v>
      </x:c>
    </x:row>
    <x:row r="28">
      <x:c r="A28" s="110" t="str">
        <x:v>GT24</x:v>
      </x:c>
      <x:c r="B28" s="110" t="str">
        <x:v>Equilibrium gap</x:v>
      </x:c>
      <x:c r="C28" s="110" t="str">
        <x:v>General game</x:v>
      </x:c>
      <x:c r="D28" s="110" t="str">
        <x:v>当前观察 action 与估计 best response 的 payoff gap</x:v>
      </x:c>
      <x:c r="E28" s="110" t="str">
        <x:v>epsilon_equilibrium_gap</x:v>
      </x:c>
      <x:c r="F28" s="110" t="str">
        <x:v>gap 变大=市场处于调整/非平衡，通常伴随更高短线波动</x:v>
      </x:c>
      <x:c r="G28" s="110" t="str">
        <x:v>L2/L3 + structural model</x:v>
      </x:c>
      <x:c r="H28" s="110" t="str">
        <x:v>vol / direction</x:v>
      </x:c>
      <x:c r="I28" s="128" t="str">
        <x:v>P1</x:v>
      </x:c>
      <x:c r="J28" s="110" t="str">
        <x:v>这是非常通用的 meta-feature</x:v>
      </x:c>
    </x:row>
    <x:row r="29">
      <x:c r="A29" s="110" t="str">
        <x:v>GT25</x:v>
      </x:c>
      <x:c r="B29" s="110" t="str">
        <x:v>Opponent-type posterior</x:v>
      </x:c>
      <x:c r="C29" s="110" t="str">
        <x:v>Opponent modeling</x:v>
      </x:c>
      <x:c r="D29" s="110" t="str">
        <x:v>将对手分为 maker/taker/informed/forced/arb/spoofer</x:v>
      </x:c>
      <x:c r="E29" s="110" t="str">
        <x:v>p_type_*</x:v>
      </x:c>
      <x:c r="F29" s="110" t="str">
        <x:v>预测下一步行为比直接预测价格更结构化</x:v>
      </x:c>
      <x:c r="G29" s="110" t="str">
        <x:v>L2/L3</x:v>
      </x:c>
      <x:c r="H29" s="110" t="str">
        <x:v>next event → 5m return</x:v>
      </x:c>
      <x:c r="I29" s="128" t="str">
        <x:v>P1</x:v>
      </x:c>
      <x:c r="J29" s="110" t="str">
        <x:v>sequence model 可输出 type posterior</x:v>
      </x:c>
    </x:row>
    <x:row r="30">
      <x:c r="A30" s="110" t="str">
        <x:v>GT26</x:v>
      </x:c>
      <x:c r="B30" s="110" t="str">
        <x:v>Opponent policy embedding</x:v>
      </x:c>
      <x:c r="C30" s="110" t="str">
        <x:v>Opponent modeling + deep sequence</x:v>
      </x:c>
      <x:c r="D30" s="110" t="str">
        <x:v>用历史 action-state 序列编码对手 policy</x:v>
      </x:c>
      <x:c r="E30" s="110" t="str">
        <x:v>policy_embedding</x:v>
      </x:c>
      <x:c r="F30" s="110" t="str">
        <x:v>将博弈结构嵌入 Transformer/SSM</x:v>
      </x:c>
      <x:c r="G30" s="110" t="str">
        <x:v>L3/identified or aggregate</x:v>
      </x:c>
      <x:c r="H30" s="110" t="str">
        <x:v>direction / liquidity</x:v>
      </x:c>
      <x:c r="I30" s="128" t="str">
        <x:v>P1</x:v>
      </x:c>
      <x:c r="J30" s="110" t="str">
        <x:v>前沿方向</x:v>
      </x:c>
    </x:row>
    <x:row r="31">
      <x:c r="A31" s="110" t="str">
        <x:v>GT27</x:v>
      </x:c>
      <x:c r="B31" s="110" t="str">
        <x:v>Best-response pressure</x:v>
      </x:c>
      <x:c r="C31" s="110" t="str">
        <x:v>Fictitious play</x:v>
      </x:c>
      <x:c r="D31" s="110" t="str">
        <x:v>给定最近对手 action frequency 计算当前最佳反应倾向</x:v>
      </x:c>
      <x:c r="E31" s="110" t="str">
        <x:v>BR_buy - BR_sell</x:v>
      </x:c>
      <x:c r="F31" s="110" t="str">
        <x:v>市场在向哪种反应迁移可预测下一阶段流量</x:v>
      </x:c>
      <x:c r="G31" s="110" t="str">
        <x:v>flow/LOB</x:v>
      </x:c>
      <x:c r="H31" s="110" t="str">
        <x:v>regime / direction</x:v>
      </x:c>
      <x:c r="I31" s="128" t="str">
        <x:v>P2</x:v>
      </x:c>
      <x:c r="J31" s="110" t="str">
        <x:v>可先做简化 payoff matrix</x:v>
      </x:c>
    </x:row>
    <x:row r="32">
      <x:c r="A32" s="110" t="str">
        <x:v>GT28</x:v>
      </x:c>
      <x:c r="B32" s="110" t="str">
        <x:v>Regret / adaptation speed</x:v>
      </x:c>
      <x:c r="C32" s="110" t="str">
        <x:v>No-regret learning</x:v>
      </x:c>
      <x:c r="D32" s="110" t="str">
        <x:v>策略实际 payoff 与 hindsight best-action payoff 差</x:v>
      </x:c>
      <x:c r="E32" s="110" t="str">
        <x:v>regret_level、regret_slope</x:v>
      </x:c>
      <x:c r="F32" s="110" t="str">
        <x:v>高 regret 会触发策略切换，带来 regime change</x:v>
      </x:c>
      <x:c r="G32" s="110" t="str">
        <x:v>strategy proxy</x:v>
      </x:c>
      <x:c r="H32" s="110" t="str">
        <x:v>regime</x:v>
      </x:c>
      <x:c r="I32" s="128" t="str">
        <x:v>P2</x:v>
      </x:c>
      <x:c r="J32" s="110" t="str">
        <x:v>适合在线模型</x:v>
      </x:c>
    </x:row>
    <x:row r="33">
      <x:c r="A33" s="110" t="str">
        <x:v>GT29</x:v>
      </x:c>
      <x:c r="B33" s="110" t="str">
        <x:v>QRE temperature</x:v>
      </x:c>
      <x:c r="C33" s="110" t="str">
        <x:v>Quantal response</x:v>
      </x:c>
      <x:c r="D33" s="110" t="str">
        <x:v>用 action probabilities 对 payoff 差拟合 softmax temperature</x:v>
      </x:c>
      <x:c r="E33" s="110" t="str">
        <x:v>temperature</x:v>
      </x:c>
      <x:c r="F33" s="110" t="str">
        <x:v>temperature 高=参与者行为更 noisy/非理性</x:v>
      </x:c>
      <x:c r="G33" s="110" t="str">
        <x:v>LOB/trades</x:v>
      </x:c>
      <x:c r="H33" s="110" t="str">
        <x:v>vol / predictability</x:v>
      </x:c>
      <x:c r="I33" s="128" t="str">
        <x:v>P2</x:v>
      </x:c>
      <x:c r="J33" s="110" t="str">
        <x:v>高温度 regime 降低方向 alpha 权重</x:v>
      </x:c>
    </x:row>
    <x:row r="34">
      <x:c r="A34" s="110" t="str">
        <x:v>GT30</x:v>
      </x:c>
      <x:c r="B34" s="110" t="str">
        <x:v>Public-TWAP response elasticity</x:v>
      </x:c>
      <x:c r="C34" s="110" t="str">
        <x:v>Stackelberg / sunshine trading</x:v>
      </x:c>
      <x:c r="D34" s="110" t="str">
        <x:v>已知剩余执行量对 spread/depth/price 的响应斜率</x:v>
      </x:c>
      <x:c r="E34" s="110" t="str">
        <x:v>follower_elasticity</x:v>
      </x:c>
      <x:c r="F34" s="110" t="str">
        <x:v>followers 的供流/捕食反应可预测后续 impact</x:v>
      </x:c>
      <x:c r="G34" s="110" t="str">
        <x:v>public TWAP + LOB</x:v>
      </x:c>
      <x:c r="H34" s="110" t="str">
        <x:v>impact</x:v>
      </x:c>
      <x:c r="I34" s="128" t="str">
        <x:v>P1</x:v>
      </x:c>
      <x:c r="J34" s="110" t="str">
        <x:v>Hyperliquid 等场景特别有价值</x:v>
      </x:c>
    </x:row>
    <x:row r="35">
      <x:c r="A35" s="110" t="str">
        <x:v>GT31</x:v>
      </x:c>
      <x:c r="B35" s="110" t="str">
        <x:v>Mempool fee pressure</x:v>
      </x:c>
      <x:c r="C35" s="110" t="str">
        <x:v>Bitcoin fee game</x:v>
      </x:c>
      <x:c r="D35" s="110" t="str">
        <x:v>fee percentiles、mempool bytes、confirmation backlog</x:v>
      </x:c>
      <x:c r="E35" s="110" t="str">
        <x:v>fee_pressure</x:v>
      </x:c>
      <x:c r="F35" s="110" t="str">
        <x:v>更偏链上需求/风险辅助，不是主 price alpha</x:v>
      </x:c>
      <x:c r="G35" s="110" t="str">
        <x:v>on-chain</x:v>
      </x:c>
      <x:c r="H35" s="110" t="str">
        <x:v>event vol</x:v>
      </x:c>
      <x:c r="I35" s="128" t="str">
        <x:v>P3</x:v>
      </x:c>
      <x:c r="J35" s="110" t="str">
        <x:v>只放结构风险层</x:v>
      </x:c>
    </x:row>
    <x:row r="36">
      <x:c r="A36" s="110" t="str">
        <x:v>GT32</x:v>
      </x:c>
      <x:c r="B36" s="110" t="str">
        <x:v>Mining strategic-risk flag</x:v>
      </x:c>
      <x:c r="C36" s="110" t="str">
        <x:v>Selfish mining / miner games</x:v>
      </x:c>
      <x:c r="D36" s="110" t="str">
        <x:v>hash concentration、orphan/block anomalies、fee share</x:v>
      </x:c>
      <x:c r="E36" s="110" t="str">
        <x:v>mining_risk</x:v>
      </x:c>
      <x:c r="F36" s="110" t="str">
        <x:v>极端时影响 protocol confidence</x:v>
      </x:c>
      <x:c r="G36" s="110" t="str">
        <x:v>on-chain</x:v>
      </x:c>
      <x:c r="H36" s="110" t="str">
        <x:v>tail event</x:v>
      </x:c>
      <x:c r="I36" s="128" t="str">
        <x:v>P3</x:v>
      </x:c>
      <x:c r="J36" s="110" t="str">
        <x:v>不要和 5m 核心模型混淆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34ca1c0c07ea402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0" hidden="0" customWidth="1"/>
    <x:col min="3" max="3" width="36" hidden="0" customWidth="1"/>
    <x:col min="4" max="4" width="31" hidden="0" customWidth="1"/>
    <x:col min="5" max="5" width="28" hidden="0" customWidth="1"/>
    <x:col min="6" max="6" width="62" hidden="0" customWidth="1"/>
    <x:col min="7" max="7" width="22" hidden="0" customWidth="1"/>
    <x:col min="8" max="8" width="47" hidden="0" customWidth="1"/>
    <x:col min="9" max="9" width="80" hidden="0" customWidth="1"/>
  </x:cols>
  <x:sheetData>
    <x:row r="1" ht="24" customHeight="1">
      <x:c r="A1" s="5" t="str">
        <x:v>论文库 — 经典博弈论、市场微观结构与 2025–2026 前沿研究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3">
      <x:c r="A3" s="303" t="str">
        <x:v>General financial-market game theory library. Prediction-market-specific canonical + 2025–2026 frontier literature is expanded in 14_PM_Literature.</x:v>
      </x:c>
      <x:c r="B3" s="303"/>
      <x:c r="C3" s="303"/>
      <x:c r="D3" s="303"/>
      <x:c r="E3" s="303"/>
      <x:c r="F3" s="303"/>
      <x:c r="G3" s="303"/>
      <x:c r="H3" s="303"/>
      <x:c r="I3" s="303"/>
    </x:row>
    <x:row r="4">
      <x:c r="A4" s="102" t="str">
        <x:v>Year</x:v>
      </x:c>
      <x:c r="B4" s="102" t="str">
        <x:v>Paper</x:v>
      </x:c>
      <x:c r="C4" s="102" t="str">
        <x:v>Authors</x:v>
      </x:c>
      <x:c r="D4" s="102" t="str">
        <x:v>Venue</x:v>
      </x:c>
      <x:c r="E4" s="102" t="str">
        <x:v>Theme</x:v>
      </x:c>
      <x:c r="F4" s="102" t="str">
        <x:v>Core Contribution</x:v>
      </x:c>
      <x:c r="G4" s="102" t="str">
        <x:v>BTC 5m Relevance</x:v>
      </x:c>
      <x:c r="H4" s="102" t="str">
        <x:v>Practical Use</x:v>
      </x:c>
      <x:c r="I4" s="102" t="str">
        <x:v>Source URL</x:v>
      </x:c>
    </x:row>
    <x:row r="5">
      <x:c r="A5" s="128" t="n">
        <x:v>1985</x:v>
      </x:c>
      <x:c r="B5" s="110" t="str">
        <x:v>Continuous Auctions and Insider Trading</x:v>
      </x:c>
      <x:c r="C5" s="110" t="str">
        <x:v>Albert S. Kyle</x:v>
      </x:c>
      <x:c r="D5" s="110" t="str">
        <x:v>Econometrica</x:v>
      </x:c>
      <x:c r="E5" s="110" t="str">
        <x:v>信息不对称 / Kyle</x:v>
      </x:c>
      <x:c r="F5" s="110" t="str">
        <x:v>知情交易者选择交易强度，做市商从总订单流推断价值，得到价格冲击 λ。</x:v>
      </x:c>
      <x:c r="G5" s="110" t="str">
        <x:v>极高</x:v>
      </x:c>
      <x:c r="H5" s="110" t="str">
        <x:v>P0：滚动 Kyle λ、知情流量后验。</x:v>
      </x:c>
      <x:c r="I5" s="110" t="str">
        <x:v>https://www.econometricsociety.org/publications/econometrica/browse/1985/11/01/continuous-auctions-and-insider-trading</x:v>
      </x:c>
    </x:row>
    <x:row r="6">
      <x:c r="A6" s="128" t="n">
        <x:v>1985</x:v>
      </x:c>
      <x:c r="B6" s="110" t="str">
        <x:v>Bid, Ask and Transaction Prices in a Specialist Market with Heterogeneously Informed Traders</x:v>
      </x:c>
      <x:c r="C6" s="110" t="str">
        <x:v>Lawrence Glosten; Paul Milgrom</x:v>
      </x:c>
      <x:c r="D6" s="110" t="str">
        <x:v>Journal of Financial Economics</x:v>
      </x:c>
      <x:c r="E6" s="110" t="str">
        <x:v>信息不对称 / Bayesian</x:v>
      </x:c>
      <x:c r="F6" s="110" t="str">
        <x:v>bid-ask spread 内生于 adverse selection；交易方向会更新做市商对真实价值的后验。</x:v>
      </x:c>
      <x:c r="G6" s="110" t="str">
        <x:v>极高</x:v>
      </x:c>
      <x:c r="H6" s="110" t="str">
        <x:v>P0：P(informed)、adverse-selection spread。</x:v>
      </x:c>
      <x:c r="I6" s="110" t="str">
        <x:v>https://www.sciencedirect.com/science/article/abs/pii/0304405X85900443</x:v>
      </x:c>
    </x:row>
    <x:row r="7">
      <x:c r="A7" s="128" t="n">
        <x:v>1998</x:v>
      </x:c>
      <x:c r="B7" s="110" t="str">
        <x:v>Price Dynamics in Limit Order Markets</x:v>
      </x:c>
      <x:c r="C7" s="110" t="str">
        <x:v>Christine A. Parlour</x:v>
      </x:c>
      <x:c r="D7" s="110" t="str">
        <x:v>Review of Financial Studies</x:v>
      </x:c>
      <x:c r="E7" s="110" t="str">
        <x:v>LOB strategic order choice</x:v>
      </x:c>
      <x:c r="F7" s="110" t="str">
        <x:v>交易者根据当前订单簿状态战略性选择 limit 或 market order，执行概率内生。</x:v>
      </x:c>
      <x:c r="G7" s="110" t="str">
        <x:v>极高</x:v>
      </x:c>
      <x:c r="H7" s="110" t="str">
        <x:v>P0：queue state→order-choice→next move。</x:v>
      </x:c>
      <x:c r="I7" s="110" t="str">
        <x:v>https://academic.oup.com/rfs/article-abstract/11/4/789/1578190</x:v>
      </x:c>
    </x:row>
    <x:row r="8">
      <x:c r="A8" s="128" t="n">
        <x:v>2003</x:v>
      </x:c>
      <x:c r="B8" s="110" t="str">
        <x:v>Liquidity-Based Competition for Order Flow</x:v>
      </x:c>
      <x:c r="C8" s="110" t="str">
        <x:v>Christine A. Parlour; Duane J. Seppi</x:v>
      </x:c>
      <x:c r="D8" s="110" t="str">
        <x:v>Review of Financial Studies</x:v>
      </x:c>
      <x:c r="E8" s="110" t="str">
        <x:v>Venue / liquidity competition</x:v>
      </x:c>
      <x:c r="F8" s="110" t="str">
        <x:v>交易场所围绕流动性供给竞争订单流，展示市场结构与流动性竞争的 equilibrium。</x:v>
      </x:c>
      <x:c r="G8" s="110" t="str">
        <x:v>高</x:v>
      </x:c>
      <x:c r="H8" s="110" t="str">
        <x:v>跨 venue BTC order-flow competition。</x:v>
      </x:c>
      <x:c r="I8" s="110" t="str">
        <x:v>https://academic.oup.com/rfs/article-abstract/16/2/301/1581827</x:v>
      </x:c>
    </x:row>
    <x:row r="9">
      <x:c r="A9" s="128" t="n">
        <x:v>2005</x:v>
      </x:c>
      <x:c r="B9" s="110" t="str">
        <x:v>Limit Order Book as a Market for Liquidity</x:v>
      </x:c>
      <x:c r="C9" s="110" t="str">
        <x:v>Thierry Foucault; Ohad Kadan; Eugene Kandel</x:v>
      </x:c>
      <x:c r="D9" s="110" t="str">
        <x:v>Review of Financial Studies</x:v>
      </x:c>
      <x:c r="E9" s="110" t="str">
        <x:v>Patience / liquidity game</x:v>
      </x:c>
      <x:c r="F9" s="110" t="str">
        <x:v>patient traders 倾向限价单，impatient traders 倾向市价单；耐心结构决定 LOB 动态。</x:v>
      </x:c>
      <x:c r="G9" s="110" t="str">
        <x:v>极高</x:v>
      </x:c>
      <x:c r="H9" s="110" t="str">
        <x:v>P0/P1：impatience latent factor。</x:v>
      </x:c>
      <x:c r="I9" s="110" t="str">
        <x:v>https://academic.oup.com/rfs/article/18/4/1171/1595760</x:v>
      </x:c>
    </x:row>
    <x:row r="10">
      <x:c r="A10" s="128" t="n">
        <x:v>2005</x:v>
      </x:c>
      <x:c r="B10" s="110" t="str">
        <x:v>Equilibrium in a Dynamic Limit Order Market</x:v>
      </x:c>
      <x:c r="C10" s="110" t="str">
        <x:v>Ronald L. Goettler; Christine A. Parlour; Uday Rajan</x:v>
      </x:c>
      <x:c r="D10" s="110" t="str">
        <x:v>Journal of Finance</x:v>
      </x:c>
      <x:c r="E10" s="110" t="str">
        <x:v>Dynamic stochastic LOB game</x:v>
      </x:c>
      <x:c r="F10" s="110" t="str">
        <x:v>动态随机博弈刻画订单价格、数量和时间优先级的 equilibrium。</x:v>
      </x:c>
      <x:c r="G10" s="110" t="str">
        <x:v>高</x:v>
      </x:c>
      <x:c r="H10" s="110" t="str">
        <x:v>P1：LOB simulator / structural benchmark。</x:v>
      </x:c>
      <x:c r="I10" s="110" t="str">
        <x:v>https://onlinelibrary.wiley.com/doi/10.1111/j.1540-6261.2005.00795.x</x:v>
      </x:c>
    </x:row>
    <x:row r="11">
      <x:c r="A11" s="128" t="n">
        <x:v>2005</x:v>
      </x:c>
      <x:c r="B11" s="110" t="str">
        <x:v>Predatory Trading</x:v>
      </x:c>
      <x:c r="C11" s="110" t="str">
        <x:v>Markus K. Brunnermeier; Lasse Heje Pedersen</x:v>
      </x:c>
      <x:c r="D11" s="110" t="str">
        <x:v>Journal of Finance</x:v>
      </x:c>
      <x:c r="E11" s="110" t="str">
        <x:v>Predatory trading</x:v>
      </x:c>
      <x:c r="F11" s="110" t="str">
        <x:v>捕食者利用/诱发他人被迫减仓，流动性撤出与冲击可自我强化。</x:v>
      </x:c>
      <x:c r="G11" s="110" t="str">
        <x:v>极高</x:v>
      </x:c>
      <x:c r="H11" s="110" t="str">
        <x:v>P0：强平/去杠杆 predation score。</x:v>
      </x:c>
      <x:c r="I11" s="110" t="str">
        <x:v>https://onlinelibrary.wiley.com/doi/10.1111/j.1540-6261.2005.00781.x</x:v>
      </x:c>
    </x:row>
    <x:row r="12">
      <x:c r="A12" s="128" t="n">
        <x:v>2007</x:v>
      </x:c>
      <x:c r="B12" s="110" t="str">
        <x:v>Episodic Liquidity Crises: Cooperative and Predatory Trading</x:v>
      </x:c>
      <x:c r="C12" s="110" t="str">
        <x:v>Bruce I. Carlin; Miguel Sousa Lobo; S. Viswanathan</x:v>
      </x:c>
      <x:c r="D12" s="110" t="str">
        <x:v>Journal of Finance</x:v>
      </x:c>
      <x:c r="E12" s="110" t="str">
        <x:v>Repeated cooperation / predation</x:v>
      </x:c>
      <x:c r="F12" s="110" t="str">
        <x:v>流动性提供者平时合作，压力下合作破裂并转为捕食，造成 episodic liquidity crisis。</x:v>
      </x:c>
      <x:c r="G12" s="110" t="str">
        <x:v>高</x:v>
      </x:c>
      <x:c r="H12" s="110" t="str">
        <x:v>P1：liquidity-regime break detector。</x:v>
      </x:c>
      <x:c r="I12" s="110" t="str">
        <x:v>https://onlinelibrary.wiley.com/doi/10.1111/j.1540-6261.2007.01274.x</x:v>
      </x:c>
    </x:row>
    <x:row r="13">
      <x:c r="A13" s="128" t="n">
        <x:v>2008</x:v>
      </x:c>
      <x:c r="B13" s="110" t="str">
        <x:v>High-Frequency Trading in a Limit Order Book</x:v>
      </x:c>
      <x:c r="C13" s="110" t="str">
        <x:v>Marco Avellaneda; Sasha Stoikov</x:v>
      </x:c>
      <x:c r="D13" s="110" t="str">
        <x:v>Quantitative Finance</x:v>
      </x:c>
      <x:c r="E13" s="110" t="str">
        <x:v>Market-making control baseline</x:v>
      </x:c>
      <x:c r="F13" s="110" t="str">
        <x:v>以库存风险和订单到达强度推导 optimal reservation price 与 spread。严格说是单代理控制，但为做市博弈基线。</x:v>
      </x:c>
      <x:c r="G13" s="110" t="str">
        <x:v>高</x:v>
      </x:c>
      <x:c r="H13" s="110" t="str">
        <x:v>P1 baseline：maker reservation/spread proxy。</x:v>
      </x:c>
      <x:c r="I13" s="110" t="str">
        <x:v>https://www.tandfonline.com/doi/full/10.1080/14697680701381228</x:v>
      </x:c>
    </x:row>
    <x:row r="14">
      <x:c r="A14" s="128" t="n">
        <x:v>2008</x:v>
      </x:c>
      <x:c r="B14" s="110" t="str">
        <x:v>Informed Traders and Limit Order Markets</x:v>
      </x:c>
      <x:c r="C14" s="110" t="str">
        <x:v>Ronald L. Goettler; Christine A. Parlour; Uday Rajan</x:v>
      </x:c>
      <x:c r="D14" s="110" t="str">
        <x:v>Working paper / SSRN</x:v>
      </x:c>
      <x:c r="E14" s="110" t="str">
        <x:v>Dynamic Bayesian LOB game</x:v>
      </x:c>
      <x:c r="F14" s="110" t="str">
        <x:v>动态随机博弈加入信息获取与知情交易，LOB 可放大基本面波动。</x:v>
      </x:c>
      <x:c r="G14" s="110" t="str">
        <x:v>高</x:v>
      </x:c>
      <x:c r="H14" s="110" t="str">
        <x:v>P1：latent informed type + LOB volatility multiplier。</x:v>
      </x:c>
      <x:c r="I14" s="110" t="str">
        <x:v>https://papers.ssrn.com/sol3/Delivery.cfm/SSRN_ID1091746_code140429.pdf?abstractid=933358</x:v>
      </x:c>
    </x:row>
    <x:row r="15">
      <x:c r="A15" s="128" t="n">
        <x:v>2009</x:v>
      </x:c>
      <x:c r="B15" s="110" t="str">
        <x:v>A Dynamic Model of the Limit Order Book</x:v>
      </x:c>
      <x:c r="C15" s="110" t="str">
        <x:v>Ioanid Roşu</x:v>
      </x:c>
      <x:c r="D15" s="110" t="str">
        <x:v>Review of Financial Studies</x:v>
      </x:c>
      <x:c r="E15" s="110" t="str">
        <x:v>Markov LOB equilibrium</x:v>
      </x:c>
      <x:c r="F15" s="110" t="str">
        <x:v>战略流动性交易者在 limit/market order 间动态选择，bid/ask 由 book state 的 Markov equilibrium 决定。</x:v>
      </x:c>
      <x:c r="G15" s="110" t="str">
        <x:v>极高</x:v>
      </x:c>
      <x:c r="H15" s="110" t="str">
        <x:v>P0/P1：strategic book pressure。</x:v>
      </x:c>
      <x:c r="I15" s="110" t="str">
        <x:v>https://people.hec.edu/rosu/wp-content/uploads/sites/43/2020/03/limit_RFS_2009.pdf</x:v>
      </x:c>
    </x:row>
    <x:row r="16">
      <x:c r="A16" s="128" t="n">
        <x:v>2011</x:v>
      </x:c>
      <x:c r="B16" s="110" t="str">
        <x:v>Dealing with the Inventory Risk: A Solution to the Market Making Problem</x:v>
      </x:c>
      <x:c r="C16" s="110" t="str">
        <x:v>Olivier Guéant; Charles-Albert Lehalle; Joaquin Fernandez-Tapia</x:v>
      </x:c>
      <x:c r="D16" s="110" t="str">
        <x:v>Mathematics and Financial Economics</x:v>
      </x:c>
      <x:c r="E16" s="110" t="str">
        <x:v>Market-making control</x:v>
      </x:c>
      <x:c r="F16" s="110" t="str">
        <x:v>对 Avellaneda–Stoikov 做严谨化与可计算化，库存约束下的最优报价。</x:v>
      </x:c>
      <x:c r="G16" s="110" t="str">
        <x:v>高</x:v>
      </x:c>
      <x:c r="H16" s="110" t="str">
        <x:v>P1 baseline / calibration。</x:v>
      </x:c>
      <x:c r="I16" s="110" t="str">
        <x:v>https://arxiv.org/abs/1105.3115</x:v>
      </x:c>
    </x:row>
    <x:row r="17">
      <x:c r="A17" s="128" t="n">
        <x:v>2013</x:v>
      </x:c>
      <x:c r="B17" s="110" t="str">
        <x:v>A Market Impact Game under Transient Price Impact</x:v>
      </x:c>
      <x:c r="C17" s="110" t="str">
        <x:v>Alexander Schied; Tao Zhang</x:v>
      </x:c>
      <x:c r="D17" s="110" t="str">
        <x:v>Working paper / later publication</x:v>
      </x:c>
      <x:c r="E17" s="110" t="str">
        <x:v>Market-impact Nash game</x:v>
      </x:c>
      <x:c r="F17" s="110" t="str">
        <x:v>两个高频交易者在暂态冲击下竞争；低交易成本时出现 hot-potato trading。</x:v>
      </x:c>
      <x:c r="G17" s="110" t="str">
        <x:v>极高</x:v>
      </x:c>
      <x:c r="H17" s="110" t="str">
        <x:v>P0/P1：impact decay + hot-potato filter。</x:v>
      </x:c>
      <x:c r="I17" s="110" t="str">
        <x:v>https://arxiv.org/pdf/1305.4013</x:v>
      </x:c>
    </x:row>
    <x:row r="18">
      <x:c r="A18" s="128" t="n">
        <x:v>2015</x:v>
      </x:c>
      <x:c r="B18" s="110" t="str">
        <x:v>The High-Frequency Trading Arms Race: Frequent Batch Auctions as a Market Design Response</x:v>
      </x:c>
      <x:c r="C18" s="110" t="str">
        <x:v>Eric Budish; Peter Cramton; John Shim</x:v>
      </x:c>
      <x:c r="D18" s="110" t="str">
        <x:v>Quarterly Journal of Economics</x:v>
      </x:c>
      <x:c r="E18" s="110" t="str">
        <x:v>Latency race / mechanism design</x:v>
      </x:c>
      <x:c r="F18" s="110" t="str">
        <x:v>continuous-time priority 诱发速度军备竞赛；batch auctions 可改变战略激励。</x:v>
      </x:c>
      <x:c r="G18" s="110" t="str">
        <x:v>高</x:v>
      </x:c>
      <x:c r="H18" s="110" t="str">
        <x:v>P1：理解 cross-venue latency-arb。</x:v>
      </x:c>
      <x:c r="I18" s="110" t="str">
        <x:v>https://academic.oup.com/qje/article/130/4/1547/1916146</x:v>
      </x:c>
    </x:row>
    <x:row r="19">
      <x:c r="A19" s="128" t="n">
        <x:v>2015</x:v>
      </x:c>
      <x:c r="B19" s="110" t="str">
        <x:v>High-frequency limit of Nash equilibria in a market impact game with transient price impact</x:v>
      </x:c>
      <x:c r="C19" s="110" t="str">
        <x:v>Alexander Schied; Elias Strehle; Tao Zhang</x:v>
      </x:c>
      <x:c r="D19" s="110" t="str">
        <x:v>SIAM Journal on Financial Mathematics / preprint</x:v>
      </x:c>
      <x:c r="E19" s="110" t="str">
        <x:v>Market-impact game</x:v>
      </x:c>
      <x:c r="F19" s="110" t="str">
        <x:v>研究多代理执行博弈在高频极限下的 Nash 策略及成本。</x:v>
      </x:c>
      <x:c r="G19" s="110" t="str">
        <x:v>高</x:v>
      </x:c>
      <x:c r="H19" s="110" t="str">
        <x:v>P1：5m impact continuation/reversal theory。</x:v>
      </x:c>
      <x:c r="I19" s="110" t="str">
        <x:v>https://arxiv.org/pdf/1509.08281</x:v>
      </x:c>
    </x:row>
    <x:row r="20">
      <x:c r="A20" s="128" t="n">
        <x:v>2016</x:v>
      </x:c>
      <x:c r="B20" s="110" t="str">
        <x:v>Mean Field Game of Controls and an Application to Trade Crowding</x:v>
      </x:c>
      <x:c r="C20" s="110" t="str">
        <x:v>Pierre Cardaliaguet; Charles-Albert Lehalle</x:v>
      </x:c>
      <x:c r="D20" s="110" t="str">
        <x:v>Mathematics and Financial Economics</x:v>
      </x:c>
      <x:c r="E20" s="110" t="str">
        <x:v>Mean-field trade crowding</x:v>
      </x:c>
      <x:c r="F20" s="110" t="str">
        <x:v>把大量相似执行者的永久冲击相互作用放入 mean-field game，得到 crowding equilibrium。</x:v>
      </x:c>
      <x:c r="G20" s="110" t="str">
        <x:v>极高</x:v>
      </x:c>
      <x:c r="H20" s="110" t="str">
        <x:v>P0/P1：crowding state。</x:v>
      </x:c>
      <x:c r="I20" s="110" t="str">
        <x:v>https://arxiv.org/abs/1610.09904</x:v>
      </x:c>
    </x:row>
    <x:row r="21">
      <x:c r="A21" s="128" t="n">
        <x:v>2018</x:v>
      </x:c>
      <x:c r="B21" s="110" t="str">
        <x:v>Optimizing Market Making using Multi-Agent Reinforcement Learning</x:v>
      </x:c>
      <x:c r="C21" s="110" t="str">
        <x:v>Yagna Patel</x:v>
      </x:c>
      <x:c r="D21" s="110" t="str">
        <x:v>arXiv</x:v>
      </x:c>
      <x:c r="E21" s="110" t="str">
        <x:v>Bitcoin MARL</x:v>
      </x:c>
      <x:c r="F21" s="110" t="str">
        <x:v>用多智能体 RL 处理买卖决策与 limit-order placement，并以 Bitcoin 市场作为应用。</x:v>
      </x:c>
      <x:c r="G21" s="110" t="str">
        <x:v>中</x:v>
      </x:c>
      <x:c r="H21" s="110" t="str">
        <x:v>研究型：MARL benchmark。</x:v>
      </x:c>
      <x:c r="I21" s="110" t="str">
        <x:v>https://arxiv.org/abs/1812.10252</x:v>
      </x:c>
    </x:row>
    <x:row r="22">
      <x:c r="A22" s="128" t="n">
        <x:v>2019</x:v>
      </x:c>
      <x:c r="B22" s="110" t="str">
        <x:v>A market impact game under transient price impact</x:v>
      </x:c>
      <x:c r="C22" s="110" t="str">
        <x:v>Alexander Schied; Tao Zhang</x:v>
      </x:c>
      <x:c r="D22" s="110" t="str">
        <x:v>Mathematics / finance literature</x:v>
      </x:c>
      <x:c r="E22" s="110" t="str">
        <x:v>Market-impact Nash game</x:v>
      </x:c>
      <x:c r="F22" s="110" t="str">
        <x:v>发展高频交易者之间的暂态冲击 Nash 博弈与振荡交易现象。</x:v>
      </x:c>
      <x:c r="G22" s="110" t="str">
        <x:v>高</x:v>
      </x:c>
      <x:c r="H22" s="110" t="str">
        <x:v>P1：与交易成本/impact kernel 联合。</x:v>
      </x:c>
      <x:c r="I22" s="110" t="str">
        <x:v>https://arxiv.org/pdf/1305.4013</x:v>
      </x:c>
    </x:row>
    <x:row r="23">
      <x:c r="A23" s="128" t="n">
        <x:v>2019</x:v>
      </x:c>
      <x:c r="B23" s="110" t="str">
        <x:v>Nash equilibrium for risk-averse investors in a market impact game with transient price impact</x:v>
      </x:c>
      <x:c r="C23" s="110" t="str">
        <x:v>Xiangge Luo; Alexander Schied</x:v>
      </x:c>
      <x:c r="D23" s="110" t="str">
        <x:v>Finance and Stochastics / preprint</x:v>
      </x:c>
      <x:c r="E23" s="110" t="str">
        <x:v>N-player impact game</x:v>
      </x:c>
      <x:c r="F23" s="110" t="str">
        <x:v>风险厌恶多代理在暂态冲击与交易成本下的 Nash equilibrium。</x:v>
      </x:c>
      <x:c r="G23" s="110" t="str">
        <x:v>高</x:v>
      </x:c>
      <x:c r="H23" s="110" t="str">
        <x:v>P1：多方去杠杆与 crowding。</x:v>
      </x:c>
      <x:c r="I23" s="110" t="str">
        <x:v>https://arxiv.org/pdf/1807.03813</x:v>
      </x:c>
    </x:row>
    <x:row r="24">
      <x:c r="A24" s="128" t="n">
        <x:v>2019</x:v>
      </x:c>
      <x:c r="B24" s="110" t="str">
        <x:v>Flash Boys 2.0: Frontrunning, Transaction Reordering, and Consensus Instability in Decentralized Exchanges</x:v>
      </x:c>
      <x:c r="C24" s="110" t="str">
        <x:v>Philip Daian et al.</x:v>
      </x:c>
      <x:c r="D24" s="110" t="str">
        <x:v>IEEE S&amp;P</x:v>
      </x:c>
      <x:c r="E24" s="110" t="str">
        <x:v>MEV / priority auction game</x:v>
      </x:c>
      <x:c r="F24" s="110" t="str">
        <x:v>形式化 DEX priority gas auctions 与 front-running/transaction ordering strategic race。</x:v>
      </x:c>
      <x:c r="G24" s="110" t="str">
        <x:v>中（BTC 直接）</x:v>
      </x:c>
      <x:c r="H24" s="110" t="str">
        <x:v>P3 for BTC；cross-crypto stress / DEX research。</x:v>
      </x:c>
      <x:c r="I24" s="110" t="str">
        <x:v>https://arxiv.org/abs/1904.05234</x:v>
      </x:c>
    </x:row>
    <x:row r="25">
      <x:c r="A25" s="128" t="n">
        <x:v>2020</x:v>
      </x:c>
      <x:c r="B25" s="110" t="str">
        <x:v>Equilibrium Model of Limit Order Books – A Mean-field Game View</x:v>
      </x:c>
      <x:c r="C25" s="110" t="str">
        <x:v>Jin Ma; Eunjung Noh</x:v>
      </x:c>
      <x:c r="D25" s="110" t="str">
        <x:v>arXiv</x:v>
      </x:c>
      <x:c r="E25" s="110" t="str">
        <x:v>LOB mean-field equilibrium</x:v>
      </x:c>
      <x:c r="F25" s="110" t="str">
        <x:v>从 mean-field game 角度构建连续时间 LOB equilibrium 与流动性动态。</x:v>
      </x:c>
      <x:c r="G25" s="110" t="str">
        <x:v>高</x:v>
      </x:c>
      <x:c r="H25" s="110" t="str">
        <x:v>P1/P2：advanced structural LOB。</x:v>
      </x:c>
      <x:c r="I25" s="110" t="str">
        <x:v>https://arxiv.org/pdf/2002.12857</x:v>
      </x:c>
    </x:row>
    <x:row r="26">
      <x:c r="A26" s="128" t="n">
        <x:v>2020</x:v>
      </x:c>
      <x:c r="B26" s="110" t="str">
        <x:v>Multi-Agent Reinforcement Learning in a Realistic Limit Order Book Market Simulation</x:v>
      </x:c>
      <x:c r="C26" s="110" t="str">
        <x:v>Michaël Karpe; Jin Fang; Zhongyao Ma; Chen Wang</x:v>
      </x:c>
      <x:c r="D26" s="110" t="str">
        <x:v>arXiv / ABIDES</x:v>
      </x:c>
      <x:c r="E26" s="110" t="str">
        <x:v>MARL execution</x:v>
      </x:c>
      <x:c r="F26" s="110" t="str">
        <x:v>在 ABIDES 真实 LOB 仿真中训练 RL execution agent，并让多个 agent 共同形成市场环境。</x:v>
      </x:c>
      <x:c r="G26" s="110" t="str">
        <x:v>高（策略）</x:v>
      </x:c>
      <x:c r="H26" s="110" t="str">
        <x:v>P2：simulation / strategy robustness。</x:v>
      </x:c>
      <x:c r="I26" s="110" t="str">
        <x:v>https://arxiv.org/abs/2006.05574</x:v>
      </x:c>
    </x:row>
    <x:row r="27">
      <x:c r="A27" s="128" t="n">
        <x:v>2021</x:v>
      </x:c>
      <x:c r="B27" s="110" t="str">
        <x:v>Trading with the Crowd</x:v>
      </x:c>
      <x:c r="C27" s="110" t="str">
        <x:v>Eyal Neuman et al.</x:v>
      </x:c>
      <x:c r="D27" s="110" t="str">
        <x:v>arXiv</x:v>
      </x:c>
      <x:c r="E27" s="110" t="str">
        <x:v>Crowding / execution games</x:v>
      </x:c>
      <x:c r="F27" s="110" t="str">
        <x:v>研究多个执行者的 crowding、价格冲击与交易策略互动。</x:v>
      </x:c>
      <x:c r="G27" s="110" t="str">
        <x:v>高</x:v>
      </x:c>
      <x:c r="H27" s="110" t="str">
        <x:v>P1：crowding / predation proxy。</x:v>
      </x:c>
      <x:c r="I27" s="110" t="str">
        <x:v>https://arxiv.org/pdf/2106.09267</x:v>
      </x:c>
    </x:row>
    <x:row r="28">
      <x:c r="A28" s="128" t="n">
        <x:v>2022</x:v>
      </x:c>
      <x:c r="B28" s="110" t="str">
        <x:v>A mean-field game of market-making against strategic traders</x:v>
      </x:c>
      <x:c r="C28" s="110" t="str">
        <x:v>Bastien Baldacci et al.</x:v>
      </x:c>
      <x:c r="D28" s="110" t="str">
        <x:v>arXiv</x:v>
      </x:c>
      <x:c r="E28" s="110" t="str">
        <x:v>Market maker vs strategic traders</x:v>
      </x:c>
      <x:c r="F28" s="110" t="str">
        <x:v>做市商与战略交易者互动，订单流由 tactical traders 内生生成，而非完全外生。</x:v>
      </x:c>
      <x:c r="G28" s="110" t="str">
        <x:v>极高</x:v>
      </x:c>
      <x:c r="H28" s="110" t="str">
        <x:v>P1：maker response to strategic flow。</x:v>
      </x:c>
      <x:c r="I28" s="110" t="str">
        <x:v>https://arxiv.org/pdf/2203.13053</x:v>
      </x:c>
    </x:row>
    <x:row r="29">
      <x:c r="A29" s="128" t="n">
        <x:v>2022</x:v>
      </x:c>
      <x:c r="B29" s="110" t="str">
        <x:v>Can maker-taker fees prevent algorithmic cooperation in market making?</x:v>
      </x:c>
      <x:c r="C29" s="110" t="str">
        <x:v>Bingyan Han</x:v>
      </x:c>
      <x:c r="D29" s="110" t="str">
        <x:v>arXiv</x:v>
      </x:c>
      <x:c r="E29" s="110" t="str">
        <x:v>Repeated game / algorithmic cooperation</x:v>
      </x:c>
      <x:c r="F29" s="110" t="str">
        <x:v>把做市建模为 repeated general-sum game，研究 maker-taker fees 对算法合作/宽 spread 的影响。</x:v>
      </x:c>
      <x:c r="G29" s="110" t="str">
        <x:v>中高</x:v>
      </x:c>
      <x:c r="H29" s="110" t="str">
        <x:v>P2：spread competition regime。</x:v>
      </x:c>
      <x:c r="I29" s="110" t="str">
        <x:v>https://arxiv.org/abs/2211.00496</x:v>
      </x:c>
    </x:row>
    <x:row r="30">
      <x:c r="A30" s="128" t="n">
        <x:v>2023</x:v>
      </x:c>
      <x:c r="B30" s="110" t="str">
        <x:v>Market Making with Deep Reinforcement Learning from Limit Order Books</x:v>
      </x:c>
      <x:c r="C30" s="110" t="str">
        <x:v>Hong Guo; Jianwu Lin; Fanlin Huang</x:v>
      </x:c>
      <x:c r="D30" s="110" t="str">
        <x:v>arXiv</x:v>
      </x:c>
      <x:c r="E30" s="110" t="str">
        <x:v>Deep RL market making</x:v>
      </x:c>
      <x:c r="F30" s="110" t="str">
        <x:v>从 LOB 表征直接训练做市 RL agent，结合 attention 与连续动作空间。</x:v>
      </x:c>
      <x:c r="G30" s="110" t="str">
        <x:v>中高</x:v>
      </x:c>
      <x:c r="H30" s="110" t="str">
        <x:v>P2：strategy layer rather than raw alpha。</x:v>
      </x:c>
      <x:c r="I30" s="110" t="str">
        <x:v>https://arxiv.org/abs/2305.15821</x:v>
      </x:c>
    </x:row>
    <x:row r="31">
      <x:c r="A31" s="128" t="n">
        <x:v>2023</x:v>
      </x:c>
      <x:c r="B31" s="110" t="str">
        <x:v>Undetectable Selfish Mining</x:v>
      </x:c>
      <x:c r="C31" s="110" t="str">
        <x:v>Matheus V. X. Ferreira et al. / Bahrani et al.</x:v>
      </x:c>
      <x:c r="D31" s="110" t="str">
        <x:v>arXiv / CCS-related</x:v>
      </x:c>
      <x:c r="E31" s="110" t="str">
        <x:v>Mining game</x:v>
      </x:c>
      <x:c r="F31" s="110" t="str">
        <x:v>扩展 selfish mining 的战略空间并研究更难检测的偏离策略。</x:v>
      </x:c>
      <x:c r="G31" s="110" t="str">
        <x:v>低（5m price）</x:v>
      </x:c>
      <x:c r="H31" s="110" t="str">
        <x:v>P3：protocol-risk only。</x:v>
      </x:c>
      <x:c r="I31" s="110" t="str">
        <x:v>https://arxiv.org/abs/2309.06847</x:v>
      </x:c>
    </x:row>
    <x:row r="32">
      <x:c r="A32" s="128" t="n">
        <x:v>2024</x:v>
      </x:c>
      <x:c r="B32" s="110" t="str">
        <x:v>Limit Order Book Simulations: A Review</x:v>
      </x:c>
      <x:c r="C32" s="110" t="str">
        <x:v>Various authors</x:v>
      </x:c>
      <x:c r="D32" s="110" t="str">
        <x:v>arXiv</x:v>
      </x:c>
      <x:c r="E32" s="110" t="str">
        <x:v>LOB simulation / agent-based</x:v>
      </x:c>
      <x:c r="F32" s="110" t="str">
        <x:v>综述订单簿仿真方法，包括 agent-based 与现代 AI；是搭建战略市场仿真的入口。</x:v>
      </x:c>
      <x:c r="G32" s="110" t="str">
        <x:v>高（研究基础）</x:v>
      </x:c>
      <x:c r="H32" s="110" t="str">
        <x:v>P2：simulation architecture reference。</x:v>
      </x:c>
      <x:c r="I32" s="110" t="str">
        <x:v>https://arxiv.org/html/2402.17359v1</x:v>
      </x:c>
    </x:row>
    <x:row r="33">
      <x:c r="A33" s="128" t="n">
        <x:v>2024</x:v>
      </x:c>
      <x:c r="B33" s="110" t="str">
        <x:v>Modelling crypto markets by multi-agent reinforcement learning</x:v>
      </x:c>
      <x:c r="C33" s="110" t="str">
        <x:v>Various authors</x:v>
      </x:c>
      <x:c r="D33" s="110" t="str">
        <x:v>arXiv</x:v>
      </x:c>
      <x:c r="E33" s="110" t="str">
        <x:v>Crypto MARL</x:v>
      </x:c>
      <x:c r="F33" s="110" t="str">
        <x:v>以多智能体强化学习建模 crypto market microstructure 与 agent interaction。</x:v>
      </x:c>
      <x:c r="G33" s="110" t="str">
        <x:v>中高</x:v>
      </x:c>
      <x:c r="H33" s="110" t="str">
        <x:v>P2：crypto-specific simulation。</x:v>
      </x:c>
      <x:c r="I33" s="110" t="str">
        <x:v>https://arxiv.org/html/2402.10803v1</x:v>
      </x:c>
    </x:row>
    <x:row r="34">
      <x:c r="A34" s="128" t="n">
        <x:v>2025</x:v>
      </x:c>
      <x:c r="B34" s="110" t="str">
        <x:v>Learning the Spoofability of Limit Order Books With Interpretable Probabilistic Neural Networks</x:v>
      </x:c>
      <x:c r="C34" s="110" t="str">
        <x:v>Timothée Fabre; Damien Challet</x:v>
      </x:c>
      <x:c r="D34" s="110" t="str">
        <x:v>arXiv</x:v>
      </x:c>
      <x:c r="E34" s="110" t="str">
        <x:v>Spoofing / adversarial game</x:v>
      </x:c>
      <x:c r="F34" s="110" t="str">
        <x:v>用 L3 crypto data、Hawkes features 和概率神经网络估计大单操纵激励与 spoofability。</x:v>
      </x:c>
      <x:c r="G34" s="110" t="str">
        <x:v>极高</x:v>
      </x:c>
      <x:c r="H34" s="110" t="str">
        <x:v>P0/P1：spoof gain + depth reliability。</x:v>
      </x:c>
      <x:c r="I34" s="110" t="str">
        <x:v>https://arxiv.org/abs/2504.15908</x:v>
      </x:c>
    </x:row>
    <x:row r="35">
      <x:c r="A35" s="128" t="n">
        <x:v>2025</x:v>
      </x:c>
      <x:c r="B35" s="110" t="str">
        <x:v>Optimal Execution and Macroscopic Market Making</x:v>
      </x:c>
      <x:c r="C35" s="110" t="str">
        <x:v>Ivan Guo; Shijia Jin</x:v>
      </x:c>
      <x:c r="D35" s="110" t="str">
        <x:v>arXiv</x:v>
      </x:c>
      <x:c r="E35" s="110" t="str">
        <x:v>Stochastic game: makers vs executors</x:v>
      </x:c>
      <x:c r="F35" s="110" t="str">
        <x:v>将 market makers 与 optimal-execution traders 放进同一个 stochastic game，使报价与订单流都内生。</x:v>
      </x:c>
      <x:c r="G35" s="110" t="str">
        <x:v>极高</x:v>
      </x:c>
      <x:c r="H35" s="110" t="str">
        <x:v>P1：前沿、结构最贴近真实市场之一。</x:v>
      </x:c>
      <x:c r="I35" s="110" t="str">
        <x:v>https://arxiv.org/abs/2504.06717</x:v>
      </x:c>
    </x:row>
    <x:row r="36">
      <x:c r="A36" s="128" t="n">
        <x:v>2025</x:v>
      </x:c>
      <x:c r="B36" s="110" t="str">
        <x:v>ABIDES-MARL: A Multi-Agent Reinforcement Learning Environment for Endogenous Price Formation and Execution in a Limit Order Book</x:v>
      </x:c>
      <x:c r="C36" s="110" t="str">
        <x:v>Patrick Cheridito; Jean-Loup Dupret; Zhexin Wu</x:v>
      </x:c>
      <x:c r="D36" s="110" t="str">
        <x:v>arXiv</x:v>
      </x:c>
      <x:c r="E36" s="110" t="str">
        <x:v>MARL / endogenous price formation</x:v>
      </x:c>
      <x:c r="F36" s="110" t="str">
        <x:v>同步多个 adaptive agents 与现实 LOB simulator，用于研究复杂金融市场博弈的 equilibrium behavior。</x:v>
      </x:c>
      <x:c r="G36" s="110" t="str">
        <x:v>高</x:v>
      </x:c>
      <x:c r="H36" s="110" t="str">
        <x:v>P2：战略仿真与反事实测试。</x:v>
      </x:c>
      <x:c r="I36" s="110" t="str">
        <x:v>https://arxiv.org/abs/2511.02016</x:v>
      </x:c>
    </x:row>
    <x:row r="37">
      <x:c r="A37" s="128" t="n">
        <x:v>2025</x:v>
      </x:c>
      <x:c r="B37" s="110" t="str">
        <x:v>Multi-Agent Reinforcement Learning for Market Making</x:v>
      </x:c>
      <x:c r="C37" s="110" t="str">
        <x:v>Z. Wang et al.</x:v>
      </x:c>
      <x:c r="D37" s="110" t="str">
        <x:v>arXiv</x:v>
      </x:c>
      <x:c r="E37" s="110" t="str">
        <x:v>MARL / algorithmic market making</x:v>
      </x:c>
      <x:c r="F37" s="110" t="str">
        <x:v>研究异质多智能体做市如何共同塑造价格、流动性与潜在算法合作。</x:v>
      </x:c>
      <x:c r="G37" s="110" t="str">
        <x:v>中高</x:v>
      </x:c>
      <x:c r="H37" s="110" t="str">
        <x:v>P2：spread/competition research。</x:v>
      </x:c>
      <x:c r="I37" s="110" t="str">
        <x:v>https://arxiv.org/pdf/2510.25929</x:v>
      </x:c>
    </x:row>
    <x:row r="38">
      <x:c r="A38" s="128" t="n">
        <x:v>2025</x:v>
      </x:c>
      <x:c r="B38" s="110" t="str">
        <x:v>Market Making with Fads, Informed, and Uninformed Traders</x:v>
      </x:c>
      <x:c r="C38" s="110" t="str">
        <x:v>Emilio Barucci et al.</x:v>
      </x:c>
      <x:c r="D38" s="110" t="str">
        <x:v>arXiv</x:v>
      </x:c>
      <x:c r="E38" s="110" t="str">
        <x:v>Market making with heterogeneous types</x:v>
      </x:c>
      <x:c r="F38" s="110" t="str">
        <x:v>在做市框架中显式加入 fad、informed 与 uninformed traders，强化交易者类型互动。</x:v>
      </x:c>
      <x:c r="G38" s="110" t="str">
        <x:v>高</x:v>
      </x:c>
      <x:c r="H38" s="110" t="str">
        <x:v>P1/P2：latent type + maker policy。</x:v>
      </x:c>
      <x:c r="I38" s="110" t="str">
        <x:v>https://arxiv.org/pdf/2501.03658</x:v>
      </x:c>
    </x:row>
    <x:row r="39">
      <x:c r="A39" s="128" t="n">
        <x:v>2026</x:v>
      </x:c>
      <x:c r="B39" s="110" t="str">
        <x:v>Online Market Making and the Value of Observing the Limit Order Book</x:v>
      </x:c>
      <x:c r="C39" s="110" t="str">
        <x:v>D. Maran et al.</x:v>
      </x:c>
      <x:c r="D39" s="110" t="str">
        <x:v>arXiv</x:v>
      </x:c>
      <x:c r="E39" s="110" t="str">
        <x:v>Online learning / strategic market making</x:v>
      </x:c>
      <x:c r="F39" s="110" t="str">
        <x:v>研究做市者观察 LOB 对学习与定价的价值，强调 LOB 是公开的 intent ledger。</x:v>
      </x:c>
      <x:c r="G39" s="110" t="str">
        <x:v>高</x:v>
      </x:c>
      <x:c r="H39" s="110" t="str">
        <x:v>P1：LOB state value / online learning。</x:v>
      </x:c>
      <x:c r="I39" s="110" t="str">
        <x:v>https://arxiv.org/pdf/2605.19584</x:v>
      </x:c>
    </x:row>
    <x:row r="40">
      <x:c r="A40" s="128" t="n">
        <x:v>2026</x:v>
      </x:c>
      <x:c r="B40" s="110" t="str">
        <x:v>Market Impact and Adverse Selection on Hyperliquid</x:v>
      </x:c>
      <x:c r="C40" s="110" t="str">
        <x:v>Various authors</x:v>
      </x:c>
      <x:c r="D40" s="110" t="str">
        <x:v>arXiv</x:v>
      </x:c>
      <x:c r="E40" s="110" t="str">
        <x:v>Sunshine trading / public TWAP</x:v>
      </x:c>
      <x:c r="F40" s="110" t="str">
        <x:v>利用 Hyperliquid 公开 TWAP 订单研究预披露交易意图、market impact 与 adverse selection。</x:v>
      </x:c>
      <x:c r="G40" s="110" t="str">
        <x:v>极高（特定 venue）</x:v>
      </x:c>
      <x:c r="H40" s="110" t="str">
        <x:v>P1：public execution response elasticity。</x:v>
      </x:c>
      <x:c r="I40" s="110" t="str">
        <x:v>https://arxiv.org/html/2606.15715v1</x:v>
      </x:c>
    </x:row>
    <x:row r="41">
      <x:c r="A41" s="128" t="n">
        <x:v>2026</x:v>
      </x:c>
      <x:c r="B41" s="110" t="str">
        <x:v>Public Trader Identity: Adverse Selection and Return Predictability in an On-Chain Limit Order Book</x:v>
      </x:c>
      <x:c r="C41" s="110" t="str">
        <x:v>Various authors</x:v>
      </x:c>
      <x:c r="D41" s="110" t="str">
        <x:v>arXiv</x:v>
      </x:c>
      <x:c r="E41" s="110" t="str">
        <x:v>Identity / adverse selection</x:v>
      </x:c>
      <x:c r="F41" s="110" t="str">
        <x:v>基于公开钱包身份的全深度 on-chain LOB，研究交易者身份、adverse selection 与 return predictability。</x:v>
      </x:c>
      <x:c r="G41" s="110" t="str">
        <x:v>极高（前沿）</x:v>
      </x:c>
      <x:c r="H41" s="110" t="str">
        <x:v>P1：若可识别 participant，价值很大。</x:v>
      </x:c>
      <x:c r="I41" s="110" t="str">
        <x:v>https://arxiv.org/html/2608.04373v1</x:v>
      </x:c>
    </x:row>
    <x:row r="42">
      <x:c r="A42" s="128" t="n">
        <x:v>2026</x:v>
      </x:c>
      <x:c r="B42" s="110" t="str">
        <x:v>Memory-Induced Supra-Competitive Outcomes Between Learning Agents in Optimal Execution</x:v>
      </x:c>
      <x:c r="C42" s="110" t="str">
        <x:v>Various authors</x:v>
      </x:c>
      <x:c r="D42" s="110" t="str">
        <x:v>arXiv</x:v>
      </x:c>
      <x:c r="E42" s="110" t="str">
        <x:v>Learning agents / repeated execution game</x:v>
      </x:c>
      <x:c r="F42" s="110" t="str">
        <x:v>研究带记忆的深度 RL agents 在共同执行环境中是否形成超竞争/合作型结果。</x:v>
      </x:c>
      <x:c r="G42" s="110" t="str">
        <x:v>中高</x:v>
      </x:c>
      <x:c r="H42" s="110" t="str">
        <x:v>P2：adaptive opponent / algorithmic cooperation。</x:v>
      </x:c>
      <x:c r="I42" s="110" t="str">
        <x:v>https://arxiv.org/html/2605.20348v1</x:v>
      </x:c>
    </x:row>
    <x:row r="43">
      <x:c r="A43" s="128" t="n">
        <x:v>2013</x:v>
      </x:c>
      <x:c r="B43" s="110" t="str">
        <x:v>Majority is not Enough: Bitcoin Mining is Vulnerable</x:v>
      </x:c>
      <x:c r="C43" s="110" t="str">
        <x:v>Ittay Eyal; Emin Gün Sirer</x:v>
      </x:c>
      <x:c r="D43" s="110" t="str">
        <x:v>FC / arXiv</x:v>
      </x:c>
      <x:c r="E43" s="110" t="str">
        <x:v>Bitcoin selfish-mining game</x:v>
      </x:c>
      <x:c r="F43" s="110" t="str">
        <x:v>证明 Bitcoin 挖矿协议并非完全 incentive-compatible，战略矿工可通过 withholding 提升收益。</x:v>
      </x:c>
      <x:c r="G43" s="110" t="str">
        <x:v>低（5m price）</x:v>
      </x:c>
      <x:c r="H43" s="110" t="str">
        <x:v>P3：protocol-risk。</x:v>
      </x:c>
      <x:c r="I43" s="110" t="str">
        <x:v>https://arxiv.org/abs/1311.0243</x:v>
      </x:c>
    </x:row>
    <x:row r="44">
      <x:c r="A44" s="128" t="n">
        <x:v>2014</x:v>
      </x:c>
      <x:c r="B44" s="110" t="str">
        <x:v>The Miner's Dilemma</x:v>
      </x:c>
      <x:c r="C44" s="110" t="str">
        <x:v>Ittay Eyal</x:v>
      </x:c>
      <x:c r="D44" s="110" t="str">
        <x:v>IEEE S&amp;P / arXiv</x:v>
      </x:c>
      <x:c r="E44" s="110" t="str">
        <x:v>Repeated mining game</x:v>
      </x:c>
      <x:c r="F44" s="110" t="str">
        <x:v>矿池可相互 block-withholding infiltration；无攻击不是一般 Nash equilibrium，并出现囚徒困境。</x:v>
      </x:c>
      <x:c r="G44" s="110" t="str">
        <x:v>低</x:v>
      </x:c>
      <x:c r="H44" s="110" t="str">
        <x:v>P3：protocol stability。</x:v>
      </x:c>
      <x:c r="I44" s="110" t="str">
        <x:v>https://arxiv.org/abs/1411.7099</x:v>
      </x:c>
    </x:row>
    <x:row r="45">
      <x:c r="A45" s="128" t="n">
        <x:v>2016</x:v>
      </x:c>
      <x:c r="B45" s="110" t="str">
        <x:v>On the Instability of Bitcoin Without the Block Reward</x:v>
      </x:c>
      <x:c r="C45" s="110" t="str">
        <x:v>Miles Carlsten; Harry Kalodner; S. Matthew Weinberg; Arvind Narayanan</x:v>
      </x:c>
      <x:c r="D45" s="110" t="str">
        <x:v>ACM CCS</x:v>
      </x:c>
      <x:c r="E45" s="110" t="str">
        <x:v>Bitcoin fee-market / mining game</x:v>
      </x:c>
      <x:c r="F45" s="110" t="str">
        <x:v>研究当 block reward 下降、矿工主要依赖交易费时的战略不稳定性与激励问题。</x:v>
      </x:c>
      <x:c r="G45" s="110" t="str">
        <x:v>低（短线）</x:v>
      </x:c>
      <x:c r="H45" s="110" t="str">
        <x:v>P3：长期 protocol / event risk。</x:v>
      </x:c>
      <x:c r="I45" s="110" t="str">
        <x:v>https://economics.princeton.edu/working-papers/on-the-instability-of-bitcoin-without-the-block-reward/</x:v>
      </x:c>
    </x:row>
  </x:sheetData>
  <x:mergeCells>
    <x:mergeCell ref="A1:I2"/>
    <x:mergeCell ref="A3:I3"/>
  </x:mergeCells>
  <x:pageMargins left="0.7" right="0.7" top="0.75" bottom="0.75" header="0.3" footer="0.3"/>
  <x:tableParts count="1">
    <x:tablePart xmlns:r="http://schemas.openxmlformats.org/officeDocument/2006/relationships" r:id="Rc08e971e5bb945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95" hidden="0" customWidth="1"/>
    <x:col min="4" max="4" width="43" hidden="0" customWidth="1"/>
    <x:col min="5" max="5" width="50" hidden="0" customWidth="1"/>
    <x:col min="6" max="6" width="45" hidden="0" customWidth="1"/>
    <x:col min="7" max="7" width="32" hidden="0" customWidth="1"/>
    <x:col min="8" max="8" width="50" hidden="0" customWidth="1"/>
    <x:col min="9" max="9" width="58" hidden="0" customWidth="1"/>
  </x:cols>
  <x:sheetData>
    <x:row r="1" ht="24" customHeight="1">
      <x:c r="A1" s="5" t="str">
        <x:v>模型蓝图 — 从博弈论概念到 5分钟生产模型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5"/>
      <x:c r="B2" s="5"/>
      <x:c r="C2" s="5"/>
      <x:c r="D2" s="5"/>
      <x:c r="E2" s="5"/>
      <x:c r="F2" s="5"/>
      <x:c r="G2" s="5"/>
      <x:c r="H2" s="5"/>
      <x:c r="I2" s="5"/>
    </x:row>
    <x:row r="4">
      <x:c r="A4" s="102" t="str">
        <x:v>ID</x:v>
      </x:c>
      <x:c r="B4" s="102" t="str">
        <x:v>Priority</x:v>
      </x:c>
      <x:c r="C4" s="102" t="str">
        <x:v>Blueprint</x:v>
      </x:c>
      <x:c r="D4" s="102" t="str">
        <x:v>Theory Stack</x:v>
      </x:c>
      <x:c r="E4" s="102" t="str">
        <x:v>Inputs</x:v>
      </x:c>
      <x:c r="F4" s="102" t="str">
        <x:v>Latent / Game State</x:v>
      </x:c>
      <x:c r="G4" s="102" t="str">
        <x:v>Outputs</x:v>
      </x:c>
      <x:c r="H4" s="102" t="str">
        <x:v>Estimation / Training</x:v>
      </x:c>
      <x:c r="I4" s="102" t="str">
        <x:v>My View</x:v>
      </x:c>
    </x:row>
    <x:row r="5">
      <x:c r="A5" s="110" t="str">
        <x:v>B1</x:v>
      </x:c>
      <x:c r="B5" s="128" t="str">
        <x:v>P0</x:v>
      </x:c>
      <x:c r="C5" s="110" t="str">
        <x:v>Bayesian Microstructure Filter</x:v>
      </x:c>
      <x:c r="D5" s="110" t="str">
        <x:v>Kyle + Glosten–Milgrom + HMM/Bayesian filter</x:v>
      </x:c>
      <x:c r="E5" s="110" t="str">
        <x:v>trade sign/size、OFI、spread、quote revisions、λ</x:v>
      </x:c>
      <x:c r="F5" s="110" t="str">
        <x:v>P(informed)、latent toxicity、expected impact</x:v>
      </x:c>
      <x:c r="G5" s="110" t="str">
        <x:v>5m return/direction + spread + vol</x:v>
      </x:c>
      <x:c r="H5" s="110" t="str">
        <x:v>滚动结构参数 + Bayesian posterior，再输入 XGBoost/TCN/Transformer</x:v>
      </x:c>
      <x:c r="I5" s="110" t="str">
        <x:v>最推荐先做：成本低、解释性强、很容易和现有时序模型融合。</x:v>
      </x:c>
    </x:row>
    <x:row r="6">
      <x:c r="A6" s="110" t="str">
        <x:v>B2</x:v>
      </x:c>
      <x:c r="B6" s="128" t="str">
        <x:v>P0/P1</x:v>
      </x:c>
      <x:c r="C6" s="110" t="str">
        <x:v>Strategic LOB State Model</x:v>
      </x:c>
      <x:c r="D6" s="110" t="str">
        <x:v>Parlour + Rosu + queue-position/cancel game</x:v>
      </x:c>
      <x:c r="E6" s="110" t="str">
        <x:v>depth、queue、adds/cancels、order lifetime、market-order aggressiveness</x:v>
      </x:c>
      <x:c r="F6" s="110" t="str">
        <x:v>impatience、queue value、maker withdrawal、best-response pressure</x:v>
      </x:c>
      <x:c r="G6" s="110" t="str">
        <x:v>next event → 5m return / liquidity</x:v>
      </x:c>
      <x:c r="H6" s="110" t="str">
        <x:v>先用 discrete-choice/hazard model；有 L3 再上 structural simulator</x:v>
      </x:c>
      <x:c r="I6" s="110" t="str">
        <x:v>如果已有 L2/L3，这是最值得长期打磨的游戏层。</x:v>
      </x:c>
    </x:row>
    <x:row r="7">
      <x:c r="A7" s="110" t="str">
        <x:v>B3</x:v>
      </x:c>
      <x:c r="B7" s="128" t="str">
        <x:v>P0</x:v>
      </x:c>
      <x:c r="C7" s="110" t="str">
        <x:v>Predation &amp; Liquidation Cascade Engine</x:v>
      </x:c>
      <x:c r="D7" s="110" t="str">
        <x:v>Predatory trading + preemption + transient-impact game</x:v>
      </x:c>
      <x:c r="E7" s="110" t="str">
        <x:v>OI、funding、liquidation feed、depth、impact、mark-index basis</x:v>
      </x:c>
      <x:c r="F7" s="110" t="str">
        <x:v>predation vulnerability、urgency、impact permanence</x:v>
      </x:c>
      <x:c r="G7" s="110" t="str">
        <x:v>5m tail return / crash-rally probability</x:v>
      </x:c>
      <x:c r="H7" s="110" t="str">
        <x:v>hazard model + nonlinear GBM / calibrated impact kernel</x:v>
      </x:c>
      <x:c r="I7" s="110" t="str">
        <x:v>BTC perp 特有 alpha；优先级甚至可高于复杂 Transformer。</x:v>
      </x:c>
    </x:row>
    <x:row r="8">
      <x:c r="A8" s="110" t="str">
        <x:v>B4</x:v>
      </x:c>
      <x:c r="B8" s="128" t="str">
        <x:v>P1</x:v>
      </x:c>
      <x:c r="C8" s="110" t="str">
        <x:v>Crowding / Mean-Field Layer</x:v>
      </x:c>
      <x:c r="D8" s="110" t="str">
        <x:v>Trade-crowding MFG + population/evolutionary game</x:v>
      </x:c>
      <x:c r="E8" s="110" t="str">
        <x:v>signed flow、OI、funding、basis、strategy-return proxies</x:v>
      </x:c>
      <x:c r="F8" s="110" t="str">
        <x:v>crowding、strategy entropy、marginal impact、fitness gap</x:v>
      </x:c>
      <x:c r="G8" s="110" t="str">
        <x:v>continuation vs reversal regime</x:v>
      </x:c>
      <x:c r="H8" s="110" t="str">
        <x:v>先做 population proxies；稳定后再尝试 MFG calibration</x:v>
      </x:c>
      <x:c r="I8" s="110" t="str">
        <x:v>用于判断动量何时还会继续、什么时候已经挤爆。</x:v>
      </x:c>
    </x:row>
    <x:row r="9">
      <x:c r="A9" s="110" t="str">
        <x:v>B5</x:v>
      </x:c>
      <x:c r="B9" s="128" t="str">
        <x:v>P0/P1</x:v>
      </x:c>
      <x:c r="C9" s="110" t="str">
        <x:v>Spoofing &amp; False-Liquidity Filter</x:v>
      </x:c>
      <x:c r="D9" s="110" t="str">
        <x:v>Adversarial signaling + spoofability</x:v>
      </x:c>
      <x:c r="E9" s="110" t="str">
        <x:v>L3 orders、distance、size、lifetime、cancel、induced move</x:v>
      </x:c>
      <x:c r="F9" s="110" t="str">
        <x:v>p_spoof、expected spoof gain、depth reliability haircut</x:v>
      </x:c>
      <x:c r="G9" s="110" t="str">
        <x:v>false breakout / reversal / slippage</x:v>
      </x:c>
      <x:c r="H9" s="110" t="str">
        <x:v>概率模型 + downstream return model</x:v>
      </x:c>
      <x:c r="I9" s="110" t="str">
        <x:v>如果交易低监管 venue，这个过滤器可能比单纯加一个深度特征更值钱。</x:v>
      </x:c>
    </x:row>
    <x:row r="10">
      <x:c r="A10" s="110" t="str">
        <x:v>B6</x:v>
      </x:c>
      <x:c r="B10" s="128" t="str">
        <x:v>P0/P1</x:v>
      </x:c>
      <x:c r="C10" s="110" t="str">
        <x:v>Cross-Venue Strategic Price Discovery</x:v>
      </x:c>
      <x:c r="D10" s="110" t="str">
        <x:v>Latency race + venue competition + arbitrage game</x:v>
      </x:c>
      <x:c r="E10" s="110" t="str">
        <x:v>Binance/OKX/Bybit/Hyperliquid L2/trades、fees、timestamps</x:v>
      </x:c>
      <x:c r="F10" s="110" t="str">
        <x:v>leader score、net arb edge、stale-quote exposure</x:v>
      </x:c>
      <x:c r="G10" s="110" t="str">
        <x:v>5m direction / convergence</x:v>
      </x:c>
      <x:c r="H10" s="110" t="str">
        <x:v>lead-lag network + race-pressure features + ensemble</x:v>
      </x:c>
      <x:c r="I10" s="110" t="str">
        <x:v>BTC 是多 venue 市场，这一层非常现实、可交易。</x:v>
      </x:c>
    </x:row>
    <x:row r="11">
      <x:c r="A11" s="110" t="str">
        <x:v>B7</x:v>
      </x:c>
      <x:c r="B11" s="128" t="str">
        <x:v>P1</x:v>
      </x:c>
      <x:c r="C11" s="110" t="str">
        <x:v>Opponent Modeling Sequence Model</x:v>
      </x:c>
      <x:c r="D11" s="110" t="str">
        <x:v>Inverse game / opponent modeling + Transformer/SSM</x:v>
      </x:c>
      <x:c r="E11" s="110" t="str">
        <x:v>state-action sequence: LOB + trades + inferred agent-type traces</x:v>
      </x:c>
      <x:c r="F11" s="110" t="str">
        <x:v>opponent type posterior、policy embedding、next action distribution</x:v>
      </x:c>
      <x:c r="G11" s="110" t="str">
        <x:v>next-event distribution → 5m return/vol heads</x:v>
      </x:c>
      <x:c r="H11" s="110" t="str">
        <x:v>sequence encoder 先预测对手动作，再预测价格；多任务训练</x:v>
      </x:c>
      <x:c r="I11" s="110" t="str">
        <x:v>我认为这是“深度学习 + 博弈论”最有潜力的前沿组合。</x:v>
      </x:c>
    </x:row>
    <x:row r="12">
      <x:c r="A12" s="110" t="str">
        <x:v>B8</x:v>
      </x:c>
      <x:c r="B12" s="128" t="str">
        <x:v>P2</x:v>
      </x:c>
      <x:c r="C12" s="110" t="str">
        <x:v>MARL / MFG Market Simulator</x:v>
      </x:c>
      <x:c r="D12" s="110" t="str">
        <x:v>ABIDES-MARL + stochastic games + MFG</x:v>
      </x:c>
      <x:c r="E12" s="110" t="str">
        <x:v>校准过的 LOB、agent classes、fees、latency、inventory</x:v>
      </x:c>
      <x:c r="F12" s="110" t="str">
        <x:v>equilibrium policies、counterfactual impact、strategy robustness</x:v>
      </x:c>
      <x:c r="G12" s="110" t="str">
        <x:v>不是直接 price forecast；用于验证与 stress test</x:v>
      </x:c>
      <x:c r="H12" s="110" t="str">
        <x:v>self-play / multi-agent RL / differentiable simulator</x:v>
      </x:c>
      <x:c r="I12" s="110" t="str">
        <x:v>应该在前面 P0/P1 做稳定后再建，不建议从这里起步。</x:v>
      </x:c>
    </x:row>
    <x:row r="15">
      <x:c r="A15" s="93" t="str">
        <x:v>推荐先后顺序</x:v>
      </x:c>
      <x:c r="B15" s="93"/>
      <x:c r="C15" s="93"/>
      <x:c r="D15" s="93"/>
      <x:c r="E15" s="93"/>
      <x:c r="F15" s="93"/>
      <x:c r="G15" s="93"/>
      <x:c r="H15" s="93"/>
      <x:c r="I15" s="93"/>
    </x:row>
    <x:row r="16">
      <x:c r="A16" s="114" t="str">
        <x:v>1</x:v>
      </x:c>
      <x:c r="B16" s="110" t="str">
        <x:v>B1 Bayesian Microstructure</x:v>
      </x:c>
      <x:c r="C16" s="110" t="str">
        <x:v>先证明 informed-flow / adverse-selection 有真实 OOS 增量。</x:v>
      </x:c>
    </x:row>
    <x:row r="17">
      <x:c r="A17" s="114" t="str">
        <x:v>2</x:v>
      </x:c>
      <x:c r="B17" s="110" t="str">
        <x:v>B2 Strategic LOB + B6 Cross-Venue</x:v>
      </x:c>
      <x:c r="C17" s="110" t="str">
        <x:v>把静态盘口升级为策略响应和跨 venue price discovery。</x:v>
      </x:c>
    </x:row>
    <x:row r="18">
      <x:c r="A18" s="114" t="str">
        <x:v>3</x:v>
      </x:c>
      <x:c r="B18" s="110" t="str">
        <x:v>B3 Predation + B5 Spoofing</x:v>
      </x:c>
      <x:c r="C18" s="110" t="str">
        <x:v>解决 BTC perp 尾部风险与 false-liquidity。</x:v>
      </x:c>
    </x:row>
    <x:row r="19">
      <x:c r="A19" s="114" t="str">
        <x:v>4</x:v>
      </x:c>
      <x:c r="B19" s="110" t="str">
        <x:v>B4 Crowding / Mean Field</x:v>
      </x:c>
      <x:c r="C19" s="110" t="str">
        <x:v>解决 continuation vs reversal。</x:v>
      </x:c>
    </x:row>
    <x:row r="20">
      <x:c r="A20" s="114" t="str">
        <x:v>5</x:v>
      </x:c>
      <x:c r="B20" s="110" t="str">
        <x:v>B7 Opponent Modeling</x:v>
      </x:c>
      <x:c r="C20" s="110" t="str">
        <x:v>让 sequence model 学“谁在做什么、为什么”。</x:v>
      </x:c>
    </x:row>
    <x:row r="21">
      <x:c r="A21" s="114" t="str">
        <x:v>6</x:v>
      </x:c>
      <x:c r="B21" s="110" t="str">
        <x:v>B8 MARL/MFG Simulator</x:v>
      </x:c>
      <x:c r="C21" s="110" t="str">
        <x:v>最后用于 self-play、反事实与策略稳健性。</x:v>
      </x:c>
    </x:row>
  </x:sheetData>
  <x:mergeCells>
    <x:mergeCell ref="A1:I2"/>
    <x:mergeCell ref="A15:I1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75" hidden="0" customWidth="1"/>
    <x:col min="4" max="4" width="55" hidden="0" customWidth="1"/>
    <x:col min="5" max="5" width="24" hidden="0" customWidth="1"/>
    <x:col min="6" max="6" width="55" hidden="0" customWidth="1"/>
    <x:col min="7" max="7" width="11" hidden="0" customWidth="1"/>
    <x:col min="8" max="8" width="10" hidden="0" customWidth="1"/>
  </x:cols>
  <x:sheetData>
    <x:row r="1" ht="24" customHeight="1">
      <x:c r="A1" s="5" t="str">
        <x:v>实验路线 — 如何判断博弈论模块是否真的增加 BTC 5m Alpha</x:v>
      </x:c>
      <x:c r="B1" s="5"/>
      <x:c r="C1" s="5"/>
      <x:c r="D1" s="5"/>
      <x:c r="E1" s="5"/>
      <x:c r="F1" s="5"/>
      <x:c r="G1" s="5"/>
      <x:c r="H1" s="5"/>
    </x:row>
    <x:row r="2" ht="24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02" t="str">
        <x:v>Order</x:v>
      </x:c>
      <x:c r="B4" s="102" t="str">
        <x:v>Workstream</x:v>
      </x:c>
      <x:c r="C4" s="102" t="str">
        <x:v>Experiment</x:v>
      </x:c>
      <x:c r="D4" s="102" t="str">
        <x:v>Model / Features</x:v>
      </x:c>
      <x:c r="E4" s="102" t="str">
        <x:v>GT Feature IDs</x:v>
      </x:c>
      <x:c r="F4" s="102" t="str">
        <x:v>Test Objective</x:v>
      </x:c>
      <x:c r="G4" s="102" t="str">
        <x:v>Priority</x:v>
      </x:c>
      <x:c r="H4" s="102" t="str">
        <x:v>Build Seq.</x:v>
      </x:c>
    </x:row>
    <x:row r="5">
      <x:c r="A5" s="128" t="n">
        <x:v>1</x:v>
      </x:c>
      <x:c r="B5" s="110" t="str">
        <x:v>Baseline</x:v>
      </x:c>
      <x:c r="C5" s="110" t="str">
        <x:v>非博弈基准</x:v>
      </x:c>
      <x:c r="D5" s="110" t="str">
        <x:v>XGBoost: returns + vol + OFI + spread + depth</x:v>
      </x:c>
      <x:c r="E5" s="110" t="str">
        <x:v>无</x:v>
      </x:c>
      <x:c r="F5" s="110" t="str">
        <x:v>建立真实可比 baseline</x:v>
      </x:c>
      <x:c r="G5" s="128" t="str">
        <x:v>P0</x:v>
      </x:c>
      <x:c r="H5" s="128" t="n">
        <x:v>1</x:v>
      </x:c>
    </x:row>
    <x:row r="6">
      <x:c r="A6" s="128" t="n">
        <x:v>2</x:v>
      </x:c>
      <x:c r="B6" s="110" t="str">
        <x:v>Information</x:v>
      </x:c>
      <x:c r="C6" s="110" t="str">
        <x:v>Kyle λ overlay</x:v>
      </x:c>
      <x:c r="D6" s="110" t="str">
        <x:v>Baseline + rolling Kyle λ / asymmetry</x:v>
      </x:c>
      <x:c r="E6" s="110" t="str">
        <x:v>GT01</x:v>
      </x:c>
      <x:c r="F6" s="110" t="str">
        <x:v>检验订单冲击系数是否提供增量 IC</x:v>
      </x:c>
      <x:c r="G6" s="128" t="str">
        <x:v>P0</x:v>
      </x:c>
      <x:c r="H6" s="128" t="n">
        <x:v>2</x:v>
      </x:c>
    </x:row>
    <x:row r="7">
      <x:c r="A7" s="128" t="n">
        <x:v>3</x:v>
      </x:c>
      <x:c r="B7" s="110" t="str">
        <x:v>Information</x:v>
      </x:c>
      <x:c r="C7" s="110" t="str">
        <x:v>P(informed) filter</x:v>
      </x:c>
      <x:c r="D7" s="110" t="str">
        <x:v>Baseline + Bayesian informed posterior</x:v>
      </x:c>
      <x:c r="E7" s="110" t="str">
        <x:v>GT02/GT03</x:v>
      </x:c>
      <x:c r="F7" s="110" t="str">
        <x:v>检验知情交易后验是否改善 direction/tail</x:v>
      </x:c>
      <x:c r="G7" s="128" t="str">
        <x:v>P0</x:v>
      </x:c>
      <x:c r="H7" s="128" t="n">
        <x:v>3</x:v>
      </x:c>
    </x:row>
    <x:row r="8">
      <x:c r="A8" s="128" t="n">
        <x:v>4</x:v>
      </x:c>
      <x:c r="B8" s="110" t="str">
        <x:v>LOB strategy</x:v>
      </x:c>
      <x:c r="C8" s="110" t="str">
        <x:v>Strategic aggressiveness</x:v>
      </x:c>
      <x:c r="D8" s="110" t="str">
        <x:v>加入 market-vs-limit / size / distance / urgency</x:v>
      </x:c>
      <x:c r="E8" s="110" t="str">
        <x:v>GT04</x:v>
      </x:c>
      <x:c r="F8" s="110" t="str">
        <x:v>识别真正 directional taker flow</x:v>
      </x:c>
      <x:c r="G8" s="128" t="str">
        <x:v>P0</x:v>
      </x:c>
      <x:c r="H8" s="128" t="n">
        <x:v>4</x:v>
      </x:c>
    </x:row>
    <x:row r="9">
      <x:c r="A9" s="128" t="n">
        <x:v>5</x:v>
      </x:c>
      <x:c r="B9" s="110" t="str">
        <x:v>LOB strategy</x:v>
      </x:c>
      <x:c r="C9" s="110" t="str">
        <x:v>Cancel &amp; fragility</x:v>
      </x:c>
      <x:c r="D9" s="110" t="str">
        <x:v>加入 cancel pressure / maker withdrawal</x:v>
      </x:c>
      <x:c r="E9" s="110" t="str">
        <x:v>GT07/GT09</x:v>
      </x:c>
      <x:c r="F9" s="110" t="str">
        <x:v>识别虚假深度与流动性撤退</x:v>
      </x:c>
      <x:c r="G9" s="128" t="str">
        <x:v>P0</x:v>
      </x:c>
      <x:c r="H9" s="128" t="n">
        <x:v>5</x:v>
      </x:c>
    </x:row>
    <x:row r="10">
      <x:c r="A10" s="128" t="n">
        <x:v>6</x:v>
      </x:c>
      <x:c r="B10" s="110" t="str">
        <x:v>LOB strategy</x:v>
      </x:c>
      <x:c r="C10" s="110" t="str">
        <x:v>Queue value</x:v>
      </x:c>
      <x:c r="D10" s="110" t="str">
        <x:v>queue imbalance → game-derived queue value/hazard</x:v>
      </x:c>
      <x:c r="E10" s="110" t="str">
        <x:v>GT06</x:v>
      </x:c>
      <x:c r="F10" s="110" t="str">
        <x:v>对比裸 imbalance 是否被显著超越</x:v>
      </x:c>
      <x:c r="G10" s="128" t="str">
        <x:v>P0</x:v>
      </x:c>
      <x:c r="H10" s="128" t="n">
        <x:v>6</x:v>
      </x:c>
    </x:row>
    <x:row r="11">
      <x:c r="A11" s="128" t="n">
        <x:v>7</x:v>
      </x:c>
      <x:c r="B11" s="110" t="str">
        <x:v>Impact</x:v>
      </x:c>
      <x:c r="C11" s="110" t="str">
        <x:v>Impact permanence</x:v>
      </x:c>
      <x:c r="D11" s="110" t="str">
        <x:v>加入 impact half-life / permanent share</x:v>
      </x:c>
      <x:c r="E11" s="110" t="str">
        <x:v>GT10</x:v>
      </x:c>
      <x:c r="F11" s="110" t="str">
        <x:v>判断 continuation vs reversal</x:v>
      </x:c>
      <x:c r="G11" s="128" t="str">
        <x:v>P0</x:v>
      </x:c>
      <x:c r="H11" s="128" t="n">
        <x:v>7</x:v>
      </x:c>
    </x:row>
    <x:row r="12">
      <x:c r="A12" s="128" t="n">
        <x:v>8</x:v>
      </x:c>
      <x:c r="B12" s="110" t="str">
        <x:v>Impact</x:v>
      </x:c>
      <x:c r="C12" s="110" t="str">
        <x:v>Hot-potato filter</x:v>
      </x:c>
      <x:c r="D12" s="110" t="str">
        <x:v>加入 trade-sign oscillation / low permanent impact filter</x:v>
      </x:c>
      <x:c r="E12" s="110" t="str">
        <x:v>GT11</x:v>
      </x:c>
      <x:c r="F12" s="110" t="str">
        <x:v>过滤高成交低信息的假趋势</x:v>
      </x:c>
      <x:c r="G12" s="128" t="str">
        <x:v>P1</x:v>
      </x:c>
      <x:c r="H12" s="128" t="n">
        <x:v>8</x:v>
      </x:c>
    </x:row>
    <x:row r="13">
      <x:c r="A13" s="128" t="n">
        <x:v>9</x:v>
      </x:c>
      <x:c r="B13" s="110" t="str">
        <x:v>Predation</x:v>
      </x:c>
      <x:c r="C13" s="110" t="str">
        <x:v>Liquidation urgency</x:v>
      </x:c>
      <x:c r="D13" s="110" t="str">
        <x:v>OI + funding + liquidation distance + depth</x:v>
      </x:c>
      <x:c r="E13" s="110" t="str">
        <x:v>GT12/GT13</x:v>
      </x:c>
      <x:c r="F13" s="110" t="str">
        <x:v>5m tail classifier</x:v>
      </x:c>
      <x:c r="G13" s="128" t="str">
        <x:v>P0</x:v>
      </x:c>
      <x:c r="H13" s="128" t="n">
        <x:v>9</x:v>
      </x:c>
    </x:row>
    <x:row r="14">
      <x:c r="A14" s="128" t="n">
        <x:v>10</x:v>
      </x:c>
      <x:c r="B14" s="110" t="str">
        <x:v>Predation</x:v>
      </x:c>
      <x:c r="C14" s="110" t="str">
        <x:v>Predation vulnerability</x:v>
      </x:c>
      <x:c r="D14" s="110" t="str">
        <x:v>forced-flow × thin-book × convex-impact</x:v>
      </x:c>
      <x:c r="E14" s="110" t="str">
        <x:v>GT12</x:v>
      </x:c>
      <x:c r="F14" s="110" t="str">
        <x:v>预判 cascade acceleration</x:v>
      </x:c>
      <x:c r="G14" s="128" t="str">
        <x:v>P0</x:v>
      </x:c>
      <x:c r="H14" s="128" t="n">
        <x:v>10</x:v>
      </x:c>
    </x:row>
    <x:row r="15">
      <x:c r="A15" s="128" t="n">
        <x:v>11</x:v>
      </x:c>
      <x:c r="B15" s="110" t="str">
        <x:v>Crowding</x:v>
      </x:c>
      <x:c r="C15" s="110" t="str">
        <x:v>Crowding pressure</x:v>
      </x:c>
      <x:c r="D15" s="110" t="str">
        <x:v>signed flow + OI build + funding/basis + impact</x:v>
      </x:c>
      <x:c r="E15" s="110" t="str">
        <x:v>GT14</x:v>
      </x:c>
      <x:c r="F15" s="110" t="str">
        <x:v>趋势延续/反转二分类</x:v>
      </x:c>
      <x:c r="G15" s="128" t="str">
        <x:v>P0/P1</x:v>
      </x:c>
      <x:c r="H15" s="128" t="n">
        <x:v>11</x:v>
      </x:c>
    </x:row>
    <x:row r="16">
      <x:c r="A16" s="128" t="n">
        <x:v>12</x:v>
      </x:c>
      <x:c r="B16" s="110" t="str">
        <x:v>Crowding</x:v>
      </x:c>
      <x:c r="C16" s="110" t="str">
        <x:v>Strategy entropy</x:v>
      </x:c>
      <x:c r="D16" s="110" t="str">
        <x:v>trend/MM/arb/noise latent-share entropy</x:v>
      </x:c>
      <x:c r="E16" s="110" t="str">
        <x:v>GT16</x:v>
      </x:c>
      <x:c r="F16" s="110" t="str">
        <x:v>识别 single-strategy dominance</x:v>
      </x:c>
      <x:c r="G16" s="128" t="str">
        <x:v>P1</x:v>
      </x:c>
      <x:c r="H16" s="128" t="n">
        <x:v>12</x:v>
      </x:c>
    </x:row>
    <x:row r="17">
      <x:c r="A17" s="128" t="n">
        <x:v>13</x:v>
      </x:c>
      <x:c r="B17" s="110" t="str">
        <x:v>Manipulation</x:v>
      </x:c>
      <x:c r="C17" s="110" t="str">
        <x:v>Spoofability filter</x:v>
      </x:c>
      <x:c r="D17" s="110" t="str">
        <x:v>p_spoof + expected spoof gain</x:v>
      </x:c>
      <x:c r="E17" s="110" t="str">
        <x:v>GT18/GT19</x:v>
      </x:c>
      <x:c r="F17" s="110" t="str">
        <x:v>降低 fake breakout 错误交易</x:v>
      </x:c>
      <x:c r="G17" s="128" t="str">
        <x:v>P0/P1</x:v>
      </x:c>
      <x:c r="H17" s="128" t="n">
        <x:v>13</x:v>
      </x:c>
    </x:row>
    <x:row r="18">
      <x:c r="A18" s="128" t="n">
        <x:v>14</x:v>
      </x:c>
      <x:c r="B18" s="110" t="str">
        <x:v>Cross-venue</x:v>
      </x:c>
      <x:c r="C18" s="110" t="str">
        <x:v>Leader / arb race</x:v>
      </x:c>
      <x:c r="D18" s="110" t="str">
        <x:v>multi-venue leader score + stale quote risk</x:v>
      </x:c>
      <x:c r="E18" s="110" t="str">
        <x:v>GT20/GT21</x:v>
      </x:c>
      <x:c r="F18" s="110" t="str">
        <x:v>预测 price discovery direction</x:v>
      </x:c>
      <x:c r="G18" s="128" t="str">
        <x:v>P0</x:v>
      </x:c>
      <x:c r="H18" s="128" t="n">
        <x:v>14</x:v>
      </x:c>
    </x:row>
    <x:row r="19">
      <x:c r="A19" s="128" t="n">
        <x:v>15</x:v>
      </x:c>
      <x:c r="B19" s="110" t="str">
        <x:v>Meta-game</x:v>
      </x:c>
      <x:c r="C19" s="110" t="str">
        <x:v>Equilibrium gap</x:v>
      </x:c>
      <x:c r="D19" s="110" t="str">
        <x:v>best-response payoff gap as meta-feature</x:v>
      </x:c>
      <x:c r="E19" s="110" t="str">
        <x:v>GT24</x:v>
      </x:c>
      <x:c r="F19" s="110" t="str">
        <x:v>检验 non-equilibrium 是否对应高 vol/edge</x:v>
      </x:c>
      <x:c r="G19" s="128" t="str">
        <x:v>P1</x:v>
      </x:c>
      <x:c r="H19" s="128" t="n">
        <x:v>15</x:v>
      </x:c>
    </x:row>
    <x:row r="20">
      <x:c r="A20" s="128" t="n">
        <x:v>16</x:v>
      </x:c>
      <x:c r="B20" s="110" t="str">
        <x:v>Behavioral</x:v>
      </x:c>
      <x:c r="C20" s="110" t="str">
        <x:v>QRE temperature</x:v>
      </x:c>
      <x:c r="D20" s="110" t="str">
        <x:v>soft best-response temperature</x:v>
      </x:c>
      <x:c r="E20" s="110" t="str">
        <x:v>GT29</x:v>
      </x:c>
      <x:c r="F20" s="110" t="str">
        <x:v>高噪声 regime 自动降低 directional size</x:v>
      </x:c>
      <x:c r="G20" s="128" t="str">
        <x:v>P2</x:v>
      </x:c>
      <x:c r="H20" s="128" t="n">
        <x:v>16</x:v>
      </x:c>
    </x:row>
    <x:row r="21">
      <x:c r="A21" s="128" t="n">
        <x:v>17</x:v>
      </x:c>
      <x:c r="B21" s="110" t="str">
        <x:v>Opponent modeling</x:v>
      </x:c>
      <x:c r="C21" s="110" t="str">
        <x:v>Opponent type posterior</x:v>
      </x:c>
      <x:c r="D21" s="110" t="str">
        <x:v>sequence model 预测 maker/informed/forced/arb/spoofer</x:v>
      </x:c>
      <x:c r="E21" s="110" t="str">
        <x:v>GT25</x:v>
      </x:c>
      <x:c r="F21" s="110" t="str">
        <x:v>先预测 actor type，再预测价格</x:v>
      </x:c>
      <x:c r="G21" s="128" t="str">
        <x:v>P1</x:v>
      </x:c>
      <x:c r="H21" s="128" t="n">
        <x:v>17</x:v>
      </x:c>
    </x:row>
    <x:row r="22">
      <x:c r="A22" s="128" t="n">
        <x:v>18</x:v>
      </x:c>
      <x:c r="B22" s="110" t="str">
        <x:v>Opponent modeling</x:v>
      </x:c>
      <x:c r="C22" s="110" t="str">
        <x:v>Policy embedding</x:v>
      </x:c>
      <x:c r="D22" s="110" t="str">
        <x:v>state-action encoder → opponent policy embedding</x:v>
      </x:c>
      <x:c r="E22" s="110" t="str">
        <x:v>GT26</x:v>
      </x:c>
      <x:c r="F22" s="110" t="str">
        <x:v>测试 embedding 对 5m return 的 OOS 增量</x:v>
      </x:c>
      <x:c r="G22" s="128" t="str">
        <x:v>P1</x:v>
      </x:c>
      <x:c r="H22" s="128" t="n">
        <x:v>18</x:v>
      </x:c>
    </x:row>
    <x:row r="23">
      <x:c r="A23" s="128" t="n">
        <x:v>19</x:v>
      </x:c>
      <x:c r="B23" s="110" t="str">
        <x:v>Inverse games</x:v>
      </x:c>
      <x:c r="C23" s="110" t="str">
        <x:v>Inverse RL objective inference</x:v>
      </x:c>
      <x:c r="D23" s="110" t="str">
        <x:v>推断 urgency/risk-aversion/alpha-strength</x:v>
      </x:c>
      <x:c r="E23" s="110" t="str">
        <x:v>GT25/GT26</x:v>
      </x:c>
      <x:c r="F23" s="110" t="str">
        <x:v>识别对手动机而非只看动作</x:v>
      </x:c>
      <x:c r="G23" s="128" t="str">
        <x:v>P1/P2</x:v>
      </x:c>
      <x:c r="H23" s="128" t="n">
        <x:v>19</x:v>
      </x:c>
    </x:row>
    <x:row r="24">
      <x:c r="A24" s="128" t="n">
        <x:v>20</x:v>
      </x:c>
      <x:c r="B24" s="110" t="str">
        <x:v>Population</x:v>
      </x:c>
      <x:c r="C24" s="110" t="str">
        <x:v>Replicator dynamics</x:v>
      </x:c>
      <x:c r="D24" s="110" t="str">
        <x:v>策略 fitness gap → share drift</x:v>
      </x:c>
      <x:c r="E24" s="110" t="str">
        <x:v>GT17</x:v>
      </x:c>
      <x:c r="F24" s="110" t="str">
        <x:v>低成本 crowding dynamics</x:v>
      </x:c>
      <x:c r="G24" s="128" t="str">
        <x:v>P2</x:v>
      </x:c>
      <x:c r="H24" s="128" t="n">
        <x:v>20</x:v>
      </x:c>
    </x:row>
    <x:row r="25">
      <x:c r="A25" s="128" t="n">
        <x:v>21</x:v>
      </x:c>
      <x:c r="B25" s="110" t="str">
        <x:v>Simulation</x:v>
      </x:c>
      <x:c r="C25" s="110" t="str">
        <x:v>ABIDES-MARL stress test</x:v>
      </x:c>
      <x:c r="D25" s="110" t="str">
        <x:v>把最佳 real-data strategy 放入多 agent LOB</x:v>
      </x:c>
      <x:c r="E25" s="110" t="str">
        <x:v>B8</x:v>
      </x:c>
      <x:c r="F25" s="110" t="str">
        <x:v>测试对手适应后 alpha 是否消失</x:v>
      </x:c>
      <x:c r="G25" s="128" t="str">
        <x:v>P2</x:v>
      </x:c>
      <x:c r="H25" s="128" t="n">
        <x:v>21</x:v>
      </x:c>
    </x:row>
    <x:row r="26">
      <x:c r="A26" s="128" t="n">
        <x:v>22</x:v>
      </x:c>
      <x:c r="B26" s="110" t="str">
        <x:v>Ensemble</x:v>
      </x:c>
      <x:c r="C26" s="110" t="str">
        <x:v>Game-aware ensemble</x:v>
      </x:c>
      <x:c r="D26" s="110" t="str">
        <x:v>Baseline TS + Bayesian + LOB strategy + predation + crowding + spoof + cross-venue</x:v>
      </x:c>
      <x:c r="E26" s="110" t="str">
        <x:v>All P0/P1</x:v>
      </x:c>
      <x:c r="F26" s="110" t="str">
        <x:v>最终 5m production stack；只有在各模块独立 OOS 有增量后再 ensemble</x:v>
      </x:c>
      <x:c r="G26" s="128" t="str">
        <x:v>P0</x:v>
      </x:c>
      <x:c r="H26" s="128" t="n">
        <x:v>22</x:v>
      </x:c>
    </x:row>
    <x:row r="29">
      <x:c r="A29" s="93" t="str">
        <x:v>统一验收标准：不因为模型“更高级”而降低统计要求</x:v>
      </x:c>
      <x:c r="B29" s="93"/>
      <x:c r="C29" s="93"/>
      <x:c r="D29" s="93"/>
      <x:c r="E29" s="93"/>
      <x:c r="F29" s="93"/>
      <x:c r="G29" s="93"/>
      <x:c r="H29" s="93"/>
    </x:row>
    <x:row r="30">
      <x:c r="A30" s="110" t="str">
        <x:v>Signal quality</x:v>
      </x:c>
      <x:c r="B30" s="110" t="str">
        <x:v>IC / Rank IC、directional AUC、Brier / log loss（概率）</x:v>
      </x:c>
      <x:c r="C30" s="110" t="str">
        <x:v>必须 OOS；按 volatility / liquidity / session 分桶</x:v>
      </x:c>
    </x:row>
    <x:row r="31">
      <x:c r="A31" s="110" t="str">
        <x:v>Economic value</x:v>
      </x:c>
      <x:c r="B31" s="110" t="str">
        <x:v>net Sharpe、return after fees/slippage、turnover、capacity</x:v>
      </x:c>
      <x:c r="C31" s="110" t="str">
        <x:v>5m 模型特别容易被成本吃掉</x:v>
      </x:c>
    </x:row>
    <x:row r="32">
      <x:c r="A32" s="110" t="str">
        <x:v>Tail value</x:v>
      </x:c>
      <x:c r="B32" s="110" t="str">
        <x:v>top/bottom 1% return recall、liquidation-cascade precision</x:v>
      </x:c>
      <x:c r="C32" s="110" t="str">
        <x:v>博弈论模块很可能主要贡献在 tails 而不是平均方向</x:v>
      </x:c>
    </x:row>
    <x:row r="33">
      <x:c r="A33" s="110" t="str">
        <x:v>Incrementality</x:v>
      </x:c>
      <x:c r="B33" s="110" t="str">
        <x:v>baseline vs +game feature 的 ΔIC / ΔPnL / likelihood ratio</x:v>
      </x:c>
      <x:c r="C33" s="110" t="str">
        <x:v>每个模块先单独证明增量，再 ensemble</x:v>
      </x:c>
    </x:row>
    <x:row r="34">
      <x:c r="A34" s="110" t="str">
        <x:v>Stability</x:v>
      </x:c>
      <x:c r="B34" s="110" t="str">
        <x:v>walk-forward、purge/embargo、venue/date/regime transfer</x:v>
      </x:c>
      <x:c r="C34" s="110" t="str">
        <x:v>2025–2026 最新模型同样不能跳过稳定性验证</x:v>
      </x:c>
    </x:row>
    <x:row r="35">
      <x:c r="A35" s="110" t="str">
        <x:v>Calibration</x:v>
      </x:c>
      <x:c r="B35" s="110" t="str">
        <x:v>predicted probability vs realized frequency</x:v>
      </x:c>
      <x:c r="C35" s="110" t="str">
        <x:v>尤其 P(informed)、p_spoof、tail probability 必须校准</x:v>
      </x:c>
    </x:row>
  </x:sheetData>
  <x:mergeCells>
    <x:mergeCell ref="A1:H2"/>
    <x:mergeCell ref="A29:H29"/>
  </x:mergeCells>
  <x:pageMargins left="0.7" right="0.7" top="0.75" bottom="0.75" header="0.3" footer="0.3"/>
  <x:tableParts count="1">
    <x:tablePart xmlns:r="http://schemas.openxmlformats.org/officeDocument/2006/relationships" r:id="Reba72e457144459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0" hidden="0" customWidth="1"/>
    <x:col min="3" max="3" width="48" hidden="0" customWidth="1"/>
  </x:cols>
  <x:sheetData>
    <x:row r="1" ht="24" customHeight="1">
      <x:c r="A1" s="5" t="str">
        <x:v>Source Index — Plain-text URLs</x:v>
      </x:c>
      <x:c r="B1" s="5"/>
      <x:c r="C1" s="5"/>
    </x:row>
    <x:row r="2" ht="24" customHeight="1">
      <x:c r="A2" s="5"/>
      <x:c r="B2" s="5"/>
      <x:c r="C2" s="5"/>
    </x:row>
    <x:row r="4">
      <x:c r="A4" s="102" t="str">
        <x:v>Source / Paper</x:v>
      </x:c>
      <x:c r="B4" s="102" t="str">
        <x:v>URL</x:v>
      </x:c>
      <x:c r="C4" s="102" t="str">
        <x:v>Notes</x:v>
      </x:c>
    </x:row>
    <x:row r="5">
      <x:c r="A5" s="110" t="str">
        <x:v>Kyle 1985</x:v>
      </x:c>
      <x:c r="B5" s="110" t="str">
        <x:v>https://www.econometricsociety.org/publications/econometrica/browse/1985/11/01/continuous-auctions-and-insider-trading</x:v>
      </x:c>
      <x:c r="C5" s="110" t="str">
        <x:v>Primary / author / journal / arXiv source used for the research map</x:v>
      </x:c>
    </x:row>
    <x:row r="6">
      <x:c r="A6" s="110" t="str">
        <x:v>Glosten &amp; Milgrom 1985</x:v>
      </x:c>
      <x:c r="B6" s="110" t="str">
        <x:v>https://www.sciencedirect.com/science/article/abs/pii/0304405X85900443</x:v>
      </x:c>
      <x:c r="C6" s="110" t="str">
        <x:v>Primary / author / journal / arXiv source used for the research map</x:v>
      </x:c>
    </x:row>
    <x:row r="7">
      <x:c r="A7" s="110" t="str">
        <x:v>Parlour 1998</x:v>
      </x:c>
      <x:c r="B7" s="110" t="str">
        <x:v>https://academic.oup.com/rfs/article-abstract/11/4/789/1578190</x:v>
      </x:c>
      <x:c r="C7" s="110" t="str">
        <x:v>Primary / author / journal / arXiv source used for the research map</x:v>
      </x:c>
    </x:row>
    <x:row r="8">
      <x:c r="A8" s="110" t="str">
        <x:v>Parlour &amp; Seppi 2003</x:v>
      </x:c>
      <x:c r="B8" s="110" t="str">
        <x:v>https://academic.oup.com/rfs/article-abstract/16/2/301/1581827</x:v>
      </x:c>
      <x:c r="C8" s="110" t="str">
        <x:v>Primary / author / journal / arXiv source used for the research map</x:v>
      </x:c>
    </x:row>
    <x:row r="9">
      <x:c r="A9" s="110" t="str">
        <x:v>Foucault, Kadan &amp; Kandel 2005</x:v>
      </x:c>
      <x:c r="B9" s="110" t="str">
        <x:v>https://academic.oup.com/rfs/article/18/4/1171/1595760</x:v>
      </x:c>
      <x:c r="C9" s="110" t="str">
        <x:v>Primary / author / journal / arXiv source used for the research map</x:v>
      </x:c>
    </x:row>
    <x:row r="10">
      <x:c r="A10" s="110" t="str">
        <x:v>Goettler, Parlour &amp; Rajan 2005</x:v>
      </x:c>
      <x:c r="B10" s="110" t="str">
        <x:v>https://onlinelibrary.wiley.com/doi/10.1111/j.1540-6261.2005.00795.x</x:v>
      </x:c>
      <x:c r="C10" s="110" t="str">
        <x:v>Primary / author / journal / arXiv source used for the research map</x:v>
      </x:c>
    </x:row>
    <x:row r="11">
      <x:c r="A11" s="110" t="str">
        <x:v>Brunnermeier &amp; Pedersen 2005</x:v>
      </x:c>
      <x:c r="B11" s="110" t="str">
        <x:v>https://onlinelibrary.wiley.com/doi/10.1111/j.1540-6261.2005.00781.x</x:v>
      </x:c>
      <x:c r="C11" s="110" t="str">
        <x:v>Primary / author / journal / arXiv source used for the research map</x:v>
      </x:c>
    </x:row>
    <x:row r="12">
      <x:c r="A12" s="110" t="str">
        <x:v>Carlin, Lobo &amp; Viswanathan 2007</x:v>
      </x:c>
      <x:c r="B12" s="110" t="str">
        <x:v>https://onlinelibrary.wiley.com/doi/10.1111/j.1540-6261.2007.01274.x</x:v>
      </x:c>
      <x:c r="C12" s="110" t="str">
        <x:v>Primary / author / journal / arXiv source used for the research map</x:v>
      </x:c>
    </x:row>
    <x:row r="13">
      <x:c r="A13" s="110" t="str">
        <x:v>Avellaneda &amp; Stoikov 2008</x:v>
      </x:c>
      <x:c r="B13" s="110" t="str">
        <x:v>https://www.tandfonline.com/doi/full/10.1080/14697680701381228</x:v>
      </x:c>
      <x:c r="C13" s="110" t="str">
        <x:v>Primary / author / journal / arXiv source used for the research map</x:v>
      </x:c>
    </x:row>
    <x:row r="14">
      <x:c r="A14" s="110" t="str">
        <x:v>Goettler, Parlour &amp; Rajan informed traders</x:v>
      </x:c>
      <x:c r="B14" s="110" t="str">
        <x:v>https://papers.ssrn.com/sol3/Delivery.cfm/SSRN_ID1091746_code140429.pdf?abstractid=933358</x:v>
      </x:c>
      <x:c r="C14" s="110" t="str">
        <x:v>Primary / author / journal / arXiv source used for the research map</x:v>
      </x:c>
    </x:row>
    <x:row r="15">
      <x:c r="A15" s="110" t="str">
        <x:v>Rosu 2009</x:v>
      </x:c>
      <x:c r="B15" s="110" t="str">
        <x:v>https://people.hec.edu/rosu/wp-content/uploads/sites/43/2020/03/limit_RFS_2009.pdf</x:v>
      </x:c>
      <x:c r="C15" s="110" t="str">
        <x:v>Primary / author / journal / arXiv source used for the research map</x:v>
      </x:c>
    </x:row>
    <x:row r="16">
      <x:c r="A16" s="110" t="str">
        <x:v>Guéant, Lehalle &amp; Fernandez-Tapia</x:v>
      </x:c>
      <x:c r="B16" s="110" t="str">
        <x:v>https://arxiv.org/abs/1105.3115</x:v>
      </x:c>
      <x:c r="C16" s="110" t="str">
        <x:v>Primary / author / journal / arXiv source used for the research map</x:v>
      </x:c>
    </x:row>
    <x:row r="17">
      <x:c r="A17" s="110" t="str">
        <x:v>Schied &amp; Zhang market-impact game</x:v>
      </x:c>
      <x:c r="B17" s="110" t="str">
        <x:v>https://arxiv.org/pdf/1305.4013</x:v>
      </x:c>
      <x:c r="C17" s="110" t="str">
        <x:v>Primary / author / journal / arXiv source used for the research map</x:v>
      </x:c>
    </x:row>
    <x:row r="18">
      <x:c r="A18" s="110" t="str">
        <x:v>Budish, Cramton &amp; Shim 2015</x:v>
      </x:c>
      <x:c r="B18" s="110" t="str">
        <x:v>https://academic.oup.com/qje/article/130/4/1547/1916146</x:v>
      </x:c>
      <x:c r="C18" s="110" t="str">
        <x:v>Primary / author / journal / arXiv source used for the research map</x:v>
      </x:c>
    </x:row>
    <x:row r="19">
      <x:c r="A19" s="110" t="str">
        <x:v>Cardaliaguet &amp; Lehalle trade crowding</x:v>
      </x:c>
      <x:c r="B19" s="110" t="str">
        <x:v>https://arxiv.org/abs/1610.09904</x:v>
      </x:c>
      <x:c r="C19" s="110" t="str">
        <x:v>Primary / author / journal / arXiv source used for the research map</x:v>
      </x:c>
    </x:row>
    <x:row r="20">
      <x:c r="A20" s="110" t="str">
        <x:v>Baldacci et al. MFG market making</x:v>
      </x:c>
      <x:c r="B20" s="110" t="str">
        <x:v>https://arxiv.org/pdf/2203.13053</x:v>
      </x:c>
      <x:c r="C20" s="110" t="str">
        <x:v>Primary / author / journal / arXiv source used for the research map</x:v>
      </x:c>
    </x:row>
    <x:row r="21">
      <x:c r="A21" s="110" t="str">
        <x:v>Ma &amp; Noh LOB MFG</x:v>
      </x:c>
      <x:c r="B21" s="110" t="str">
        <x:v>https://arxiv.org/pdf/2002.12857</x:v>
      </x:c>
      <x:c r="C21" s="110" t="str">
        <x:v>Primary / author / journal / arXiv source used for the research map</x:v>
      </x:c>
    </x:row>
    <x:row r="22">
      <x:c r="A22" s="110" t="str">
        <x:v>ABIDES multi-agent execution</x:v>
      </x:c>
      <x:c r="B22" s="110" t="str">
        <x:v>https://arxiv.org/abs/2006.05574</x:v>
      </x:c>
      <x:c r="C22" s="110" t="str">
        <x:v>Primary / author / journal / arXiv source used for the research map</x:v>
      </x:c>
    </x:row>
    <x:row r="23">
      <x:c r="A23" s="110" t="str">
        <x:v>ABIDES-MARL 2025</x:v>
      </x:c>
      <x:c r="B23" s="110" t="str">
        <x:v>https://arxiv.org/abs/2511.02016</x:v>
      </x:c>
      <x:c r="C23" s="110" t="str">
        <x:v>Primary / author / journal / arXiv source used for the research map</x:v>
      </x:c>
    </x:row>
    <x:row r="24">
      <x:c r="A24" s="110" t="str">
        <x:v>Spoofability 2025</x:v>
      </x:c>
      <x:c r="B24" s="110" t="str">
        <x:v>https://arxiv.org/abs/2504.15908</x:v>
      </x:c>
      <x:c r="C24" s="110" t="str">
        <x:v>Primary / author / journal / arXiv source used for the research map</x:v>
      </x:c>
    </x:row>
    <x:row r="25">
      <x:c r="A25" s="110" t="str">
        <x:v>Optimal Execution and Macroscopic Market Making 2025</x:v>
      </x:c>
      <x:c r="B25" s="110" t="str">
        <x:v>https://arxiv.org/abs/2504.06717</x:v>
      </x:c>
      <x:c r="C25" s="110" t="str">
        <x:v>Primary / author / journal / arXiv source used for the research map</x:v>
      </x:c>
    </x:row>
    <x:row r="26">
      <x:c r="A26" s="110" t="str">
        <x:v>Maker-taker fees &amp; algorithmic cooperation</x:v>
      </x:c>
      <x:c r="B26" s="110" t="str">
        <x:v>https://arxiv.org/abs/2211.00496</x:v>
      </x:c>
      <x:c r="C26" s="110" t="str">
        <x:v>Primary / author / journal / arXiv source used for the research map</x:v>
      </x:c>
    </x:row>
    <x:row r="27">
      <x:c r="A27" s="110" t="str">
        <x:v>Minority Games review</x:v>
      </x:c>
      <x:c r="B27" s="110" t="str">
        <x:v>https://arxiv.org/abs/0811.1479</x:v>
      </x:c>
      <x:c r="C27" s="110" t="str">
        <x:v>Primary / author / journal / arXiv source used for the research map</x:v>
      </x:c>
    </x:row>
    <x:row r="28">
      <x:c r="A28" s="110" t="str">
        <x:v>Minority Games and stylized facts</x:v>
      </x:c>
      <x:c r="B28" s="110" t="str">
        <x:v>https://arxiv.org/abs/cond-mat/0103024</x:v>
      </x:c>
      <x:c r="C28" s="110" t="str">
        <x:v>Primary / author / journal / arXiv source used for the research map</x:v>
      </x:c>
    </x:row>
    <x:row r="29">
      <x:c r="A29" s="110" t="str">
        <x:v>Flash Boys 2.0</x:v>
      </x:c>
      <x:c r="B29" s="110" t="str">
        <x:v>https://arxiv.org/abs/1904.05234</x:v>
      </x:c>
      <x:c r="C29" s="110" t="str">
        <x:v>Primary / author / journal / arXiv source used for the research map</x:v>
      </x:c>
    </x:row>
    <x:row r="30">
      <x:c r="A30" s="110" t="str">
        <x:v>Selfish Mining</x:v>
      </x:c>
      <x:c r="B30" s="110" t="str">
        <x:v>https://arxiv.org/abs/1311.0243</x:v>
      </x:c>
      <x:c r="C30" s="110" t="str">
        <x:v>Primary / author / journal / arXiv source used for the research map</x:v>
      </x:c>
    </x:row>
    <x:row r="31">
      <x:c r="A31" s="110" t="str">
        <x:v>The Miner's Dilemma</x:v>
      </x:c>
      <x:c r="B31" s="110" t="str">
        <x:v>https://arxiv.org/abs/1411.7099</x:v>
      </x:c>
      <x:c r="C31" s="110" t="str">
        <x:v>Primary / author / journal / arXiv source used for the research map</x:v>
      </x:c>
    </x:row>
    <x:row r="32">
      <x:c r="A32" s="110" t="str">
        <x:v>Bitcoin without block reward</x:v>
      </x:c>
      <x:c r="B32" s="110" t="str">
        <x:v>https://economics.princeton.edu/working-papers/on-the-instability-of-bitcoin-without-the-block-reward/</x:v>
      </x:c>
      <x:c r="C32" s="110" t="str">
        <x:v>Primary / author / journal / arXiv source used for the research map</x:v>
      </x:c>
    </x:row>
    <x:row r="33">
      <x:c r="A33" s="110" t="str">
        <x:v>Hyperliquid market impact / adverse selection 2026</x:v>
      </x:c>
      <x:c r="B33" s="110" t="str">
        <x:v>https://arxiv.org/html/2606.15715v1</x:v>
      </x:c>
      <x:c r="C33" s="110" t="str">
        <x:v>Primary / author / journal / arXiv source used for the research map</x:v>
      </x:c>
    </x:row>
    <x:row r="34">
      <x:c r="A34" s="110" t="str">
        <x:v>Public trader identity / on-chain LOB 2026</x:v>
      </x:c>
      <x:c r="B34" s="110" t="str">
        <x:v>https://arxiv.org/html/2608.04373v1</x:v>
      </x:c>
      <x:c r="C34" s="110" t="str">
        <x:v>Primary / author / journal / arXiv source used for the research map</x:v>
      </x:c>
    </x:row>
    <x:row r="35">
      <x:c r="A35" s="110" t="str">
        <x:v>Memory-induced learning-agent outcomes 2026</x:v>
      </x:c>
      <x:c r="B35" s="110" t="str">
        <x:v>https://arxiv.org/html/2605.20348v1</x:v>
      </x:c>
      <x:c r="C35" s="110" t="str">
        <x:v>Primary / author / journal / arXiv source used for the research map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904c9887b5f2426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44" hidden="0" customWidth="1"/>
    <x:col min="4" max="4" width="32" hidden="0" customWidth="1"/>
    <x:col min="5" max="5" width="45" hidden="0" customWidth="1"/>
    <x:col min="6" max="6" width="52" hidden="0" customWidth="1"/>
    <x:col min="7" max="7" width="22" hidden="0" customWidth="1"/>
    <x:col min="8" max="8" width="42" hidden="0" customWidth="1"/>
    <x:col min="9" max="9" width="30" hidden="0" customWidth="1"/>
    <x:col min="10" max="10" width="12" hidden="0" customWidth="1"/>
  </x:cols>
  <x:sheetData>
    <x:row r="1">
      <x:c r="A1" s="143" t="str">
        <x:v>Polymarket BTC 5m：博弈论策略地图</x:v>
      </x:c>
      <x:c r="B1" s="143"/>
      <x:c r="C1" s="143"/>
      <x:c r="D1" s="143"/>
      <x:c r="E1" s="143"/>
      <x:c r="F1" s="143"/>
      <x:c r="G1" s="143"/>
      <x:c r="H1" s="143"/>
      <x:c r="I1" s="143"/>
      <x:c r="J1" s="143"/>
    </x:row>
    <x:row r="2">
      <x:c r="A2" s="143"/>
      <x:c r="B2" s="143"/>
      <x:c r="C2" s="143"/>
      <x:c r="D2" s="143"/>
      <x:c r="E2" s="143"/>
      <x:c r="F2" s="143"/>
      <x:c r="G2" s="143"/>
      <x:c r="H2" s="143"/>
      <x:c r="I2" s="143"/>
      <x:c r="J2" s="143"/>
    </x:row>
    <x:row r="4">
      <x:c r="A4" s="156" t="str">
        <x:v>Priority</x:v>
      </x:c>
      <x:c r="B4" s="156" t="str">
        <x:v>Game / Concept</x:v>
      </x:c>
      <x:c r="C4" s="156" t="str">
        <x:v>Polymarket 5m Manifestation</x:v>
      </x:c>
      <x:c r="D4" s="156" t="str">
        <x:v>Observable Signal</x:v>
      </x:c>
      <x:c r="E4" s="156" t="str">
        <x:v>What It Means</x:v>
      </x:c>
      <x:c r="F4" s="156" t="str">
        <x:v>Action / Bet Rule</x:v>
      </x:c>
      <x:c r="G4" s="156" t="str">
        <x:v>High-Conviction Impact</x:v>
      </x:c>
      <x:c r="H4" s="156" t="str">
        <x:v>Failure Mode</x:v>
      </x:c>
      <x:c r="I4" s="156" t="str">
        <x:v>Data Needed</x:v>
      </x:c>
      <x:c r="J4" s="156" t="str">
        <x:v>Practical Rating</x:v>
      </x:c>
    </x:row>
    <x:row r="5">
      <x:c r="A5" s="110" t="str">
        <x:v>P0</x:v>
      </x:c>
      <x:c r="B5" s="110" t="str">
        <x:v>Bayesian informed trader vs crowd</x:v>
      </x:c>
      <x:c r="C5" s="110" t="str">
        <x:v>你的 BTC/LOB 模型与 Polymarket crowd probability 竞争</x:v>
      </x:c>
      <x:c r="D5" s="110" t="str">
        <x:v>q_model - executable ask</x:v>
      </x:c>
      <x:c r="E5" s="110" t="str">
        <x:v>市场是 prior，不是 oracle；关键是你比 crowd 多知道多少</x:v>
      </x:c>
      <x:c r="F5" s="110" t="str">
        <x:v>只在 fee/slippage 后 edge 为正时买；否则即使方向很确信也不买</x:v>
      </x:c>
      <x:c r="G5" s="110" t="str">
        <x:v>核心</x:v>
      </x:c>
      <x:c r="H5" s="110" t="str">
        <x:v>把“我很确信涨”误当成“Up 值得买”</x:v>
      </x:c>
      <x:c r="I5" s="110" t="str">
        <x:v>model q + CLOB ask/bid</x:v>
      </x:c>
      <x:c r="J5" s="110" t="str">
        <x:v>5/5</x:v>
      </x:c>
    </x:row>
    <x:row r="6">
      <x:c r="A6" s="110" t="str">
        <x:v>P0</x:v>
      </x:c>
      <x:c r="B6" s="110" t="str">
        <x:v>Odds / payoff game</x:v>
      </x:c>
      <x:c r="C6" s="110" t="str">
        <x:v>每股赢时兑付 $1、输时 $0</x:v>
      </x:c>
      <x:c r="D6" s="110" t="str">
        <x:v>entry p、fee、win payoff</x:v>
      </x:c>
      <x:c r="E6" s="110" t="str">
        <x:v>赔率决定同一胜率下的 EV 与最优仓位</x:v>
      </x:c>
      <x:c r="F6" s="110" t="str">
        <x:v>比较 q_LCB 与 all-in cost/share；用 reward/risk + Kelly</x:v>
      </x:c>
      <x:c r="G6" s="110" t="str">
        <x:v>核心</x:v>
      </x:c>
      <x:c r="H6" s="110" t="str">
        <x:v>只看胜率不看赔率</x:v>
      </x:c>
      <x:c r="I6" s="110" t="str">
        <x:v>quotes + fees</x:v>
      </x:c>
      <x:c r="J6" s="110" t="str">
        <x:v>5/5</x:v>
      </x:c>
    </x:row>
    <x:row r="7">
      <x:c r="A7" s="110" t="str">
        <x:v>P0</x:v>
      </x:c>
      <x:c r="B7" s="110" t="str">
        <x:v>Price-to-Beat barrier game</x:v>
      </x:c>
      <x:c r="C7" s="110" t="str">
        <x:v>所有玩家围绕固定起点价和固定终点竞争</x:v>
      </x:c>
      <x:c r="D7" s="110" t="str">
        <x:v>gap-to-beat / remaining sigma</x:v>
      </x:c>
      <x:c r="E7" s="110" t="str">
        <x:v>越接近结算，当前相对 barrier 的位置比长周期趋势更重要</x:v>
      </x:c>
      <x:c r="F7" s="110" t="str">
        <x:v>用 z=(current-start)/remaining vol；方向模型只是补充</x:v>
      </x:c>
      <x:c r="G7" s="110" t="str">
        <x:v>核心</x:v>
      </x:c>
      <x:c r="H7" s="110" t="str">
        <x:v>把普通 5m K线方向模型直接搬过来</x:v>
      </x:c>
      <x:c r="I7" s="110" t="str">
        <x:v>Chainlink price + start + vol</x:v>
      </x:c>
      <x:c r="J7" s="110" t="str">
        <x:v>5/5</x:v>
      </x:c>
    </x:row>
    <x:row r="8">
      <x:c r="A8" s="110" t="str">
        <x:v>P0</x:v>
      </x:c>
      <x:c r="B8" s="110" t="str">
        <x:v>Maker vs Taker game</x:v>
      </x:c>
      <x:c r="C8" s="110" t="str">
        <x:v>主动跨 spread 立即成交 vs 挂 post-only 等待</x:v>
      </x:c>
      <x:c r="D8" s="110" t="str">
        <x:v>taker fee、spread、fill probability</x:v>
      </x:c>
      <x:c r="E8" s="110" t="str">
        <x:v>maker 省 fee，但成交常带逆向选择且可能错过机会</x:v>
      </x:c>
      <x:c r="F8" s="110" t="str">
        <x:v>比较 taker EV 与 maker fill-adjusted EV；剩余时间短时机会衰减权重上升</x:v>
      </x:c>
      <x:c r="G8" s="110" t="str">
        <x:v>高</x:v>
      </x:c>
      <x:c r="H8" s="110" t="str">
        <x:v>一律挂单或一律吃单</x:v>
      </x:c>
      <x:c r="I8" s="110" t="str">
        <x:v>CLOB book + time left</x:v>
      </x:c>
      <x:c r="J8" s="110" t="str">
        <x:v>5/5</x:v>
      </x:c>
    </x:row>
    <x:row r="9">
      <x:c r="A9" s="110" t="str">
        <x:v>P0</x:v>
      </x:c>
      <x:c r="B9" s="110" t="str">
        <x:v>Adverse-selection / winner's curse</x:v>
      </x:c>
      <x:c r="C9" s="110" t="str">
        <x:v>你的 maker 单被成交，可能正因为对手拿到更新信息</x:v>
      </x:c>
      <x:c r="D9" s="110" t="str">
        <x:v>fill conditional return</x:v>
      </x:c>
      <x:c r="E9" s="110" t="str">
        <x:v>成交本身是信息</x:v>
      </x:c>
      <x:c r="F9" s="110" t="str">
        <x:v>maker q 要扣 adverse-fill penalty，不要把 0 fee 当免费午餐</x:v>
      </x:c>
      <x:c r="G9" s="110" t="str">
        <x:v>高</x:v>
      </x:c>
      <x:c r="H9" s="110" t="str">
        <x:v>只比较 maker fee=0</x:v>
      </x:c>
      <x:c r="I9" s="110" t="str">
        <x:v>fills + BTC price after fill</x:v>
      </x:c>
      <x:c r="J9" s="110" t="str">
        <x:v>5/5</x:v>
      </x:c>
    </x:row>
    <x:row r="10">
      <x:c r="A10" s="110" t="str">
        <x:v>P0</x:v>
      </x:c>
      <x:c r="B10" s="110" t="str">
        <x:v>Latency-arbitrage race</x:v>
      </x:c>
      <x:c r="C10" s="110" t="str">
        <x:v>BTC spot / Chainlink / Polymarket odds 更新不同步</x:v>
      </x:c>
      <x:c r="D10" s="110" t="str">
        <x:v>cross-feed gap、quote age</x:v>
      </x:c>
      <x:c r="E10" s="110" t="str">
        <x:v>短暂 stale quote 可能产生真实 edge，也可能来不及成交</x:v>
      </x:c>
      <x:c r="F10" s="110" t="str">
        <x:v>只有数据延迟低于 edge 半衰期时才追；否则用 maker 或 skip</x:v>
      </x:c>
      <x:c r="G10" s="110" t="str">
        <x:v>高</x:v>
      </x:c>
      <x:c r="H10" s="110" t="str">
        <x:v>用慢数据回测出虚假套利</x:v>
      </x:c>
      <x:c r="I10" s="110" t="str">
        <x:v>Chainlink/Binance/CLOB timestamps</x:v>
      </x:c>
      <x:c r="J10" s="110" t="str">
        <x:v>5/5</x:v>
      </x:c>
    </x:row>
    <x:row r="11">
      <x:c r="A11" s="110" t="str">
        <x:v>P0</x:v>
      </x:c>
      <x:c r="B11" s="110" t="str">
        <x:v>Liquidity / market-impact game</x:v>
      </x:c>
      <x:c r="C11" s="110" t="str">
        <x:v>大额下注会把自己需要的价格推差</x:v>
      </x:c>
      <x:c r="D11" s="110" t="str">
        <x:v>depth to max-fair-price</x:v>
      </x:c>
      <x:c r="E11" s="110" t="str">
        <x:v>可交易 edge 取决于计划仓位对应的 VWAP，不是 top-of-book</x:v>
      </x:c>
      <x:c r="F11" s="110" t="str">
        <x:v>按 depth 计算最大可下注金额；超出就分层或放弃</x:v>
      </x:c>
      <x:c r="G11" s="110" t="str">
        <x:v>核心</x:v>
      </x:c>
      <x:c r="H11" s="110" t="str">
        <x:v>用 best ask 估整个仓位</x:v>
      </x:c>
      <x:c r="I11" s="110" t="str">
        <x:v>full orderbook</x:v>
      </x:c>
      <x:c r="J11" s="110" t="str">
        <x:v>5/5</x:v>
      </x:c>
    </x:row>
    <x:row r="12">
      <x:c r="A12" s="110" t="str">
        <x:v>P0</x:v>
      </x:c>
      <x:c r="B12" s="110" t="str">
        <x:v>Conservative Kelly game</x:v>
      </x:c>
      <x:c r="C12" s="110" t="str">
        <x:v>下注规模是在收益率与破产风险之间优化</x:v>
      </x:c>
      <x:c r="D12" s="110" t="str">
        <x:v>q_LCB、cost、bankroll</x:v>
      </x:c>
      <x:c r="E12" s="110" t="str">
        <x:v>q 估计误差会让 full Kelly 极不稳定</x:v>
      </x:c>
      <x:c r="F12" s="110" t="str">
        <x:v>用 q_LCB + 1/4 Kelly + 单事件 cap；high conviction 只提高到 cap</x:v>
      </x:c>
      <x:c r="G12" s="110" t="str">
        <x:v>核心</x:v>
      </x:c>
      <x:c r="H12" s="110" t="str">
        <x:v>high conviction → all-in / martingale</x:v>
      </x:c>
      <x:c r="I12" s="110" t="str">
        <x:v>calibrated q + bankroll</x:v>
      </x:c>
      <x:c r="J12" s="110" t="str">
        <x:v>5/5</x:v>
      </x:c>
    </x:row>
    <x:row r="13">
      <x:c r="A13" s="110" t="str">
        <x:v>P1</x:v>
      </x:c>
      <x:c r="B13" s="110" t="str">
        <x:v>Crowding / over-chasing</x:v>
      </x:c>
      <x:c r="C13" s="110" t="str">
        <x:v>大家看到 BTC 已明显在 Price to Beat 上方后抢 Up</x:v>
      </x:c>
      <x:c r="D13" s="110" t="str">
        <x:v>odds jumps vs underlying gap</x:v>
      </x:c>
      <x:c r="E13" s="110" t="str">
        <x:v>胜率上升的同时赔率也恶化；后来的追单可能变成负 EV</x:v>
      </x:c>
      <x:c r="F13" s="110" t="str">
        <x:v>每次只问 max fair entry；市场贵过 fair value 就不追</x:v>
      </x:c>
      <x:c r="G13" s="110" t="str">
        <x:v>高</x:v>
      </x:c>
      <x:c r="H13" s="110" t="str">
        <x:v>“都到 90% 了所以更安全”</x:v>
      </x:c>
      <x:c r="I13" s="110" t="str">
        <x:v>odds path + underlying path</x:v>
      </x:c>
      <x:c r="J13" s="110" t="str">
        <x:v>5/5</x:v>
      </x:c>
    </x:row>
    <x:row r="14">
      <x:c r="A14" s="110" t="str">
        <x:v>P1</x:v>
      </x:c>
      <x:c r="B14" s="110" t="str">
        <x:v>Orderbook spoof / false liquidity</x:v>
      </x:c>
      <x:c r="C14" s="110" t="str">
        <x:v>临近结算盘口挂单可快速撤销</x:v>
      </x:c>
      <x:c r="D14" s="110" t="str">
        <x:v>cancel/replace、depth flicker</x:v>
      </x:c>
      <x:c r="E14" s="110" t="str">
        <x:v>displayed depth 可能不是可成交承诺</x:v>
      </x:c>
      <x:c r="F14" s="110" t="str">
        <x:v>对大仓位给 depth haircut；优先看真实成交与持续 depth</x:v>
      </x:c>
      <x:c r="G14" s="110" t="str">
        <x:v>中高</x:v>
      </x:c>
      <x:c r="H14" s="110" t="str">
        <x:v>看到大墙就当真实概率</x:v>
      </x:c>
      <x:c r="I14" s="110" t="str">
        <x:v>CLOB updates</x:v>
      </x:c>
      <x:c r="J14" s="110" t="str">
        <x:v>4/5</x:v>
      </x:c>
    </x:row>
    <x:row r="15">
      <x:c r="A15" s="110" t="str">
        <x:v>P1</x:v>
      </x:c>
      <x:c r="B15" s="110" t="str">
        <x:v>Sequential game / time decay</x:v>
      </x:c>
      <x:c r="C15" s="110" t="str">
        <x:v>5分钟窗口每一秒都在改变剩余信息集</x:v>
      </x:c>
      <x:c r="D15" s="110" t="str">
        <x:v>remaining seconds</x:v>
      </x:c>
      <x:c r="E15" s="110" t="str">
        <x:v>早期有时间等 maker；后期 state 更确定但 execution risk 更高</x:v>
      </x:c>
      <x:c r="F15" s="110" t="str">
        <x:v>按 300–180 / 180–60 / 60–15 / &lt;15s 切换执行模式</x:v>
      </x:c>
      <x:c r="G15" s="110" t="str">
        <x:v>高</x:v>
      </x:c>
      <x:c r="H15" s="110" t="str">
        <x:v>固定一套规则跑完整 5min</x:v>
      </x:c>
      <x:c r="I15" s="110" t="str">
        <x:v>event clock</x:v>
      </x:c>
      <x:c r="J15" s="110" t="str">
        <x:v>5/5</x:v>
      </x:c>
    </x:row>
    <x:row r="16">
      <x:c r="A16" s="110" t="str">
        <x:v>P1</x:v>
      </x:c>
      <x:c r="B16" s="110" t="str">
        <x:v>Repeated game / model calibration</x:v>
      </x:c>
      <x:c r="C16" s="110" t="str">
        <x:v>连续几百个 5m 事件重复发生</x:v>
      </x:c>
      <x:c r="D16" s="110" t="str">
        <x:v>calibration by probability bin</x:v>
      </x:c>
      <x:c r="E16" s="110" t="str">
        <x:v>真正 edge 应表现为可重复的 calibration/EV，不是几次连胜</x:v>
      </x:c>
      <x:c r="F16" s="110" t="str">
        <x:v>动态 shrink q；近期 calibration 变差自动降仓</x:v>
      </x:c>
      <x:c r="G16" s="110" t="str">
        <x:v>核心</x:v>
      </x:c>
      <x:c r="H16" s="110" t="str">
        <x:v>依据短期连胜加倍</x:v>
      </x:c>
      <x:c r="I16" s="110" t="str">
        <x:v>historical predictions/outcomes</x:v>
      </x:c>
      <x:c r="J16" s="110" t="str">
        <x:v>5/5</x:v>
      </x:c>
    </x:row>
    <x:row r="17">
      <x:c r="A17" s="110" t="str">
        <x:v>P1</x:v>
      </x:c>
      <x:c r="B17" s="110" t="str">
        <x:v>Correlated bankroll game</x:v>
      </x:c>
      <x:c r="C17" s="110" t="str">
        <x:v>相邻 5m BTC windows 不是独立赌局</x:v>
      </x:c>
      <x:c r="D17" s="110" t="str">
        <x:v>serial correlation / same regime</x:v>
      </x:c>
      <x:c r="E17" s="110" t="str">
        <x:v>连续仓位共享同一模型错误和市场 regime</x:v>
      </x:c>
      <x:c r="F17" s="110" t="str">
        <x:v>单事件 Kelly 外再设日内 exposure/drawdown cap</x:v>
      </x:c>
      <x:c r="G17" s="110" t="str">
        <x:v>高</x:v>
      </x:c>
      <x:c r="H17" s="110" t="str">
        <x:v>每局独立 Kelly 导致连续重仓</x:v>
      </x:c>
      <x:c r="I17" s="110" t="str">
        <x:v>bet history</x:v>
      </x:c>
      <x:c r="J17" s="110" t="str">
        <x:v>5/5</x:v>
      </x:c>
    </x:row>
    <x:row r="18">
      <x:c r="A18" s="110" t="str">
        <x:v>P1</x:v>
      </x:c>
      <x:c r="B18" s="110" t="str">
        <x:v>Opponent-flow inference</x:v>
      </x:c>
      <x:c r="C18" s="110" t="str">
        <x:v>Polymarket 内部买卖流可反映其他 informed trader 的行动</x:v>
      </x:c>
      <x:c r="D18" s="110" t="str">
        <x:v>aggressive buy/sell、spread move</x:v>
      </x:c>
      <x:c r="E18" s="110" t="str">
        <x:v>赔率变化本身包含信息，但要分辨 underlying move 与 PM-specific flow</x:v>
      </x:c>
      <x:c r="F18" s="110" t="str">
        <x:v>把 PM order-flow surprise 作为 q 的修正项，不直接追价</x:v>
      </x:c>
      <x:c r="G18" s="110" t="str">
        <x:v>中高</x:v>
      </x:c>
      <x:c r="H18" s="110" t="str">
        <x:v>把价格上涨全部当 BTC 信息</x:v>
      </x:c>
      <x:c r="I18" s="110" t="str">
        <x:v>CLOB trades/orderbook</x:v>
      </x:c>
      <x:c r="J18" s="110" t="str">
        <x:v>4/5</x:v>
      </x:c>
    </x:row>
    <x:row r="19">
      <x:c r="A19" s="110" t="str">
        <x:v>P1</x:v>
      </x:c>
      <x:c r="B19" s="110" t="str">
        <x:v>Cross-market confirmation game</x:v>
      </x:c>
      <x:c r="C19" s="110" t="str">
        <x:v>Binance/OKX/perp/Polymarket 参与者信息不同</x:v>
      </x:c>
      <x:c r="D19" s="110" t="str">
        <x:v>cross-venue OFI / basis / funding</x:v>
      </x:c>
      <x:c r="E19" s="110" t="str">
        <x:v>多个独立信号同向时，模型误判概率可能下降</x:v>
      </x:c>
      <x:c r="F19" s="110" t="str">
        <x:v>high-conviction score 加“independent signal agreement”，不是重复同源指标</x:v>
      </x:c>
      <x:c r="G19" s="110" t="str">
        <x:v>高</x:v>
      </x:c>
      <x:c r="H19" s="110" t="str">
        <x:v>多个高度相关指标伪装成多重确认</x:v>
      </x:c>
      <x:c r="I19" s="110" t="str">
        <x:v>multi-venue feeds</x:v>
      </x:c>
      <x:c r="J19" s="110" t="str">
        <x:v>5/5</x:v>
      </x:c>
    </x:row>
    <x:row r="20">
      <x:c r="A20" s="110" t="str">
        <x:v>P2</x:v>
      </x:c>
      <x:c r="B20" s="110" t="str">
        <x:v>Top-holder / identity inference</x:v>
      </x:c>
      <x:c r="C20" s="110" t="str">
        <x:v>部分市场可观察 activity / holders</x:v>
      </x:c>
      <x:c r="D20" s="110" t="str">
        <x:v>large recurring trader behavior</x:v>
      </x:c>
      <x:c r="E20" s="110" t="str">
        <x:v>若能识别稳定强 trader，可作 opponent model；但 5m 生命周期太短</x:v>
      </x:c>
      <x:c r="F20" s="110" t="str">
        <x:v>只作为辅助，不要机械跟单</x:v>
      </x:c>
      <x:c r="G20" s="110" t="str">
        <x:v>低中</x:v>
      </x:c>
      <x:c r="H20" s="110" t="str">
        <x:v>幸存者偏差/跟单延迟</x:v>
      </x:c>
      <x:c r="I20" s="110" t="str">
        <x:v>Polymarket analytics</x:v>
      </x:c>
      <x:c r="J20" s="110" t="str">
        <x:v>3/5</x:v>
      </x:c>
    </x:row>
    <x:row r="21">
      <x:c r="A21" s="110" t="str">
        <x:v>P2</x:v>
      </x:c>
      <x:c r="B21" s="110" t="str">
        <x:v>Minimax / adversarial robustness</x:v>
      </x:c>
      <x:c r="C21" s="110" t="str">
        <x:v>假设市场会在你最不利的 latency/slippage 下成交</x:v>
      </x:c>
      <x:c r="D21" s="110" t="str">
        <x:v>worst-case cost</x:v>
      </x:c>
      <x:c r="E21" s="110" t="str">
        <x:v>策略要对 fee、delay、价格跳动有余量</x:v>
      </x:c>
      <x:c r="F21" s="110" t="str">
        <x:v>用 stressed cost 再算 conservative edge</x:v>
      </x:c>
      <x:c r="G21" s="110" t="str">
        <x:v>中</x:v>
      </x:c>
      <x:c r="H21" s="110" t="str">
        <x:v>只用理想成交回测</x:v>
      </x:c>
      <x:c r="I21" s="110" t="str">
        <x:v>latency/slippage distribution</x:v>
      </x:c>
      <x:c r="J21" s="110" t="str">
        <x:v>4/5</x:v>
      </x:c>
    </x:row>
    <x:row r="22">
      <x:c r="A22" s="110" t="str">
        <x:v>P3</x:v>
      </x:c>
      <x:c r="B22" s="110" t="str">
        <x:v>Miner/MEV protocol games</x:v>
      </x:c>
      <x:c r="C22" s="110" t="str">
        <x:v>BTC 协议层战略行为</x:v>
      </x:c>
      <x:c r="D22" s="110" t="str">
        <x:v>on-chain stress</x:v>
      </x:c>
      <x:c r="E22" s="110" t="str">
        <x:v>对普通 5m Up/Down 多数时间远弱于 CLOB/spot microstructure</x:v>
      </x:c>
      <x:c r="F22" s="110" t="str">
        <x:v>只在异常链上事件作为 regime flag</x:v>
      </x:c>
      <x:c r="G22" s="110" t="str">
        <x:v>低</x:v>
      </x:c>
      <x:c r="H22" s="110" t="str">
        <x:v>把复杂 protocol theory 当短线核心</x:v>
      </x:c>
      <x:c r="I22" s="110" t="str">
        <x:v>on-chain</x:v>
      </x:c>
      <x:c r="J22" s="110" t="str">
        <x:v>2/5</x:v>
      </x:c>
    </x:row>
    <x:row r="24">
      <x:c r="A24" s="280" t="str">
        <x:v>v3 Additions — Prediction-Market-Specific Strategic Games</x:v>
      </x:c>
      <x:c r="B24" s="280"/>
      <x:c r="C24" s="280"/>
      <x:c r="D24" s="280"/>
      <x:c r="E24" s="280"/>
      <x:c r="F24" s="280"/>
      <x:c r="G24" s="280"/>
      <x:c r="H24" s="280"/>
      <x:c r="I24" s="280"/>
      <x:c r="J24" s="280"/>
    </x:row>
    <x:row r="25">
      <x:c r="A25" s="273" t="str">
        <x:v>Priority</x:v>
      </x:c>
      <x:c r="B25" s="273" t="str">
        <x:v>Game / Concept</x:v>
      </x:c>
      <x:c r="C25" s="273" t="str">
        <x:v>Polymarket BTC 5m Manifestation</x:v>
      </x:c>
      <x:c r="D25" s="273" t="str">
        <x:v>Observable Signal</x:v>
      </x:c>
      <x:c r="E25" s="273" t="str">
        <x:v>What It Means</x:v>
      </x:c>
      <x:c r="F25" s="273" t="str">
        <x:v>Action / Bet Rule</x:v>
      </x:c>
      <x:c r="G25" s="273" t="str">
        <x:v>High-Conviction Impact</x:v>
      </x:c>
      <x:c r="H25" s="273" t="str">
        <x:v>Failure Mode</x:v>
      </x:c>
      <x:c r="I25" s="273" t="str">
        <x:v>Data Needed</x:v>
      </x:c>
      <x:c r="J25" s="273" t="str">
        <x:v>Practical Rating</x:v>
      </x:c>
    </x:row>
    <x:row r="26">
      <x:c r="A26" s="110" t="str">
        <x:v>P0</x:v>
      </x:c>
      <x:c r="B26" s="110" t="str">
        <x:v>Settlement / outcome manipulation defense</x:v>
      </x:c>
      <x:c r="C26" s="110" t="str">
        <x:v>PM position and underlying BTC can become an endogenous two-market game near settlement</x:v>
      </x:c>
      <x:c r="D26" s="110" t="str">
        <x:v>final-sec spot-flow anomaly + close-to-barrier + basis + PM flow</x:v>
      </x:c>
      <x:c r="E26" s="110" t="str">
        <x:v>Near the boundary, abnormal underlying flow may be related to settlement incentives rather than ordinary alpha</x:v>
      </x:c>
      <x:c r="F26" s="110" t="str">
        <x:v>Use 15_Settlement_Risk as a one-way haircut / SKIP gate; never upgrade conviction because of anomalous final-second flow</x:v>
      </x:c>
      <x:c r="G26" s="110" t="str">
        <x:v>核心</x:v>
      </x:c>
      <x:c r="H26" s="110" t="str">
        <x:v>Assuming the underlying is always exogenous</x:v>
      </x:c>
      <x:c r="I26" s="110" t="str">
        <x:v>Binance/Chainlink + PM CLOB + event clock</x:v>
      </x:c>
      <x:c r="J26" s="110" t="str">
        <x:v>5/5</x:v>
      </x:c>
    </x:row>
    <x:row r="27">
      <x:c r="A27" s="110" t="str">
        <x:v>P0</x:v>
      </x:c>
      <x:c r="B27" s="110" t="str">
        <x:v>Strategic reticence / bluffing</x:v>
      </x:c>
      <x:c r="C27" s="110" t="str">
        <x:v>Informed players may shade, delay or split their probability revelation</x:v>
      </x:c>
      <x:c r="D27" s="110" t="str">
        <x:v>trade sequence, partial moves, delayed follow-through, inactivity</x:v>
      </x:c>
      <x:c r="E27" s="110" t="str">
        <x:v>One whale order is not the trader's full belief; silence or partial movement can be strategic</x:v>
      </x:c>
      <x:c r="F27" s="110" t="str">
        <x:v>Infer conviction from sequence + underlying confirmation, not single fill size</x:v>
      </x:c>
      <x:c r="G27" s="110" t="str">
        <x:v>高</x:v>
      </x:c>
      <x:c r="H27" s="110" t="str">
        <x:v>Treating every large buy as full-information truth</x:v>
      </x:c>
      <x:c r="I27" s="110" t="str">
        <x:v>PM trades + price path + underlying</x:v>
      </x:c>
      <x:c r="J27" s="110" t="str">
        <x:v>5/5</x:v>
      </x:c>
    </x:row>
    <x:row r="28">
      <x:c r="A28" s="110" t="str">
        <x:v>P0</x:v>
      </x:c>
      <x:c r="B28" s="110" t="str">
        <x:v>Ground-truth aggressor game</x:v>
      </x:c>
      <x:c r="C28" s="110" t="str">
        <x:v>Order-flow signals depend critically on who crossed the spread</x:v>
      </x:c>
      <x:c r="D28" s="110" t="str">
        <x:v>on-chain OrderFilled aggressor side vs heuristic direction</x:v>
      </x:c>
      <x:c r="E28" s="110" t="str">
        <x:v>Direction misclassification can flip VPIN/OFI/Kyle conclusions</x:v>
      </x:c>
      <x:c r="F28" s="110" t="str">
        <x:v>High-conviction engine should penalize heuristic trade-direction data; prefer authoritative on-chain direction</x:v>
      </x:c>
      <x:c r="G28" s="110" t="str">
        <x:v>高</x:v>
      </x:c>
      <x:c r="H28" s="110" t="str">
        <x:v>Tick-rule / feed direction treated as truth</x:v>
      </x:c>
      <x:c r="I28" s="110" t="str">
        <x:v>on-chain fills + CLOB</x:v>
      </x:c>
      <x:c r="J28" s="110" t="str">
        <x:v>5/5</x:v>
      </x:c>
    </x:row>
    <x:row r="29">
      <x:c r="A29" s="110" t="str">
        <x:v>P1</x:v>
      </x:c>
      <x:c r="B29" s="110" t="str">
        <x:v>Dynamic information aggregation near close</x:v>
      </x:c>
      <x:c r="C29" s="110" t="str">
        <x:v>As resolution approaches, strategic traders' pooled information can become increasingly embedded in market price</x:v>
      </x:c>
      <x:c r="D29" s="110" t="str">
        <x:v>PM prior calibration by time-to-close</x:v>
      </x:c>
      <x:c r="E29" s="110" t="str">
        <x:v>Market probability can deserve larger prior weight late—but not when settlement-manipulation risk is elevated</x:v>
      </x:c>
      <x:c r="F29" s="110" t="str">
        <x:v>Time-vary market-prior weight; override/downweight when manipulation-risk gate fires</x:v>
      </x:c>
      <x:c r="G29" s="110" t="str">
        <x:v>中高</x:v>
      </x:c>
      <x:c r="H29" s="110" t="str">
        <x:v>Blindly assuming late price is always more informative</x:v>
      </x:c>
      <x:c r="I29" s="110" t="str">
        <x:v>historical PM calibration + clock</x:v>
      </x:c>
      <x:c r="J29" s="110" t="str">
        <x:v>4/5</x:v>
      </x:c>
    </x:row>
    <x:row r="30">
      <x:c r="A30" s="110" t="str">
        <x:v>P1</x:v>
      </x:c>
      <x:c r="B30" s="110" t="str">
        <x:v>Whale vs herding crowd</x:v>
      </x:c>
      <x:c r="C30" s="110" t="str">
        <x:v>High-budget bettors can move odds and trigger followers independent of fundamentals</x:v>
      </x:c>
      <x:c r="D30" s="110" t="str">
        <x:v>impact/depth + underlying confirmation + persistence + herding</x:v>
      </x:c>
      <x:c r="E30" s="110" t="str">
        <x:v>Large capital is not synonymous with information; herding can prolong distortion</x:v>
      </x:c>
      <x:c r="F30" s="110" t="str">
        <x:v>Use 16_Whale_Herding classification; only small confirmation bonus for underlying-confirmed persistent whales</x:v>
      </x:c>
      <x:c r="G30" s="110" t="str">
        <x:v>高</x:v>
      </x:c>
      <x:c r="H30" s="110" t="str">
        <x:v>Mechanical whale-following / survivorship bias</x:v>
      </x:c>
      <x:c r="I30" s="110" t="str">
        <x:v>fill-side wallet data + BTC confirmation</x:v>
      </x:c>
      <x:c r="J30" s="110" t="str">
        <x:v>5/5</x:v>
      </x:c>
    </x:row>
    <x:row r="31">
      <x:c r="A31" s="110" t="str">
        <x:v>P0</x:v>
      </x:c>
      <x:c r="B31" s="110" t="str">
        <x:v>Belief-to-trade separation</x:v>
      </x:c>
      <x:c r="C31" s="110" t="str">
        <x:v>A good probability forecast can still lose through bad entry, sizing or execution</x:v>
      </x:c>
      <x:c r="D31" s="110" t="str">
        <x:v>q calibration vs executable price vs realized return</x:v>
      </x:c>
      <x:c r="E31" s="110" t="str">
        <x:v>Forecast confidence and profitable trading are separate optimization problems</x:v>
      </x:c>
      <x:c r="F31" s="110" t="str">
        <x:v>Selection, sizing, execution and hard risk caps remain deterministic modules outside forecast confidence</x:v>
      </x:c>
      <x:c r="G31" s="110" t="str">
        <x:v>核心</x:v>
      </x:c>
      <x:c r="H31" s="110" t="str">
        <x:v>High model confidence directly controls capital</x:v>
      </x:c>
      <x:c r="I31" s="110" t="str">
        <x:v>forecast archive + CLOB + PnL</x:v>
      </x:c>
      <x:c r="J31" s="110" t="str">
        <x:v>5/5</x:v>
      </x:c>
    </x:row>
    <x:row r="32">
      <x:c r="A32" s="110" t="str">
        <x:v>P1</x:v>
      </x:c>
      <x:c r="B32" s="110" t="str">
        <x:v>Cross-venue null-hypothesis discipline</x:v>
      </x:c>
      <x:c r="C32" s="110" t="str">
        <x:v>Polymarket may already absorb much of Binance microstructure information</x:v>
      </x:c>
      <x:c r="D32" s="110" t="str">
        <x:v>incremental OOS log-loss / PnL vs PM market prior</x:v>
      </x:c>
      <x:c r="E32" s="110" t="str">
        <x:v>Lead-lag exists, but a detectable lag is not automatically tradable after fees</x:v>
      </x:c>
      <x:c r="F32" s="110" t="str">
        <x:v>Every cross-venue feature must beat PM prior OOS after costs before entering high-conviction score</x:v>
      </x:c>
      <x:c r="G32" s="110" t="str">
        <x:v>高</x:v>
      </x:c>
      <x:c r="H32" s="110" t="str">
        <x:v>Backtest on synchronized-but-in-sample latency and declare alpha</x:v>
      </x:c>
      <x:c r="I32" s="110" t="str">
        <x:v>millisecond PM + Binance data</x:v>
      </x:c>
      <x:c r="J32" s="110" t="str">
        <x:v>5/5</x:v>
      </x:c>
    </x:row>
  </x:sheetData>
  <x:mergeCells>
    <x:mergeCell ref="A1:J2"/>
    <x:mergeCell ref="A24:J24"/>
  </x:mergeCells>
  <x:pageMargins left="0.7" right="0.7" top="0.75" bottom="0.75" header="0.3" footer="0.3"/>
  <x:tableParts count="1">
    <x:tablePart xmlns:r="http://schemas.openxmlformats.org/officeDocument/2006/relationships" r:id="R7e3374222b5e417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48" hidden="0" customWidth="1"/>
    <x:col min="5" max="5" width="35" hidden="0" customWidth="1"/>
    <x:col min="6" max="6" width="20" hidden="0" customWidth="1"/>
    <x:col min="8" max="8" width="31" hidden="0" customWidth="1"/>
    <x:col min="9" max="9" width="22" hidden="0" customWidth="1"/>
    <x:col min="10" max="10" width="45" hidden="0" customWidth="1"/>
  </x:cols>
  <x:sheetData>
    <x:row r="1">
      <x:c r="A1" s="143" t="str">
        <x:v>Polymarket BTC 5m：下注 / 赔率 / Kelly 仓位计算器</x:v>
      </x:c>
      <x:c r="B1" s="143"/>
      <x:c r="C1" s="143"/>
      <x:c r="D1" s="143"/>
      <x:c r="E1" s="143"/>
      <x:c r="F1" s="143"/>
      <x:c r="G1" s="143"/>
      <x:c r="H1" s="143"/>
      <x:c r="I1" s="143"/>
      <x:c r="J1" s="143"/>
    </x:row>
    <x:row r="2">
      <x:c r="A2" s="143"/>
      <x:c r="B2" s="143"/>
      <x:c r="C2" s="143"/>
      <x:c r="D2" s="143"/>
      <x:c r="E2" s="143"/>
      <x:c r="F2" s="143"/>
      <x:c r="G2" s="143"/>
      <x:c r="H2" s="143"/>
      <x:c r="I2" s="143"/>
      <x:c r="J2" s="143"/>
    </x:row>
    <x:row r="3">
      <x:c r="A3" s="181" t="str">
        <x:v>黄色 + 蓝字为可改输入；黑字为公式。默认参数仅用于研究/回测，请用自己的历史 calibration 替换。</x:v>
      </x:c>
      <x:c r="B3" s="181"/>
      <x:c r="C3" s="181"/>
      <x:c r="D3" s="181"/>
      <x:c r="E3" s="181"/>
      <x:c r="F3" s="181"/>
      <x:c r="G3" s="181"/>
      <x:c r="H3" s="181"/>
      <x:c r="I3" s="181"/>
      <x:c r="J3" s="181"/>
    </x:row>
    <x:row r="5">
      <x:c r="A5" s="155" t="str">
        <x:v>Inputs</x:v>
      </x:c>
      <x:c r="B5" s="155"/>
      <x:c r="E5" s="155" t="str">
        <x:v>Core Outputs</x:v>
      </x:c>
      <x:c r="F5" s="155"/>
      <x:c r="H5" s="155" t="str">
        <x:v>Maker vs Taker Execution Game</x:v>
      </x:c>
      <x:c r="I5" s="155"/>
      <x:c r="J5" s="155"/>
    </x:row>
    <x:row r="6">
      <x:c r="A6" s="185" t="str">
        <x:v>Bankroll (USDC)</x:v>
      </x:c>
      <x:c r="B6" s="193" t="n">
        <x:v>10000</x:v>
      </x:c>
      <x:c r="C6" s="190" t="str">
        <x:v>User assumption</x:v>
      </x:c>
      <x:c r="E6" s="185" t="str">
        <x:v>Selected Model Win Prob</x:v>
      </x:c>
      <x:c r="F6" s="197" t="n">
        <x:f>IF(B9="Up",B7,1-B7)</x:f>
        <x:v>0.62</x:v>
      </x:c>
      <x:c r="H6" s="185" t="str">
        <x:v>Taker Entry Ask</x:v>
      </x:c>
      <x:c r="I6" s="198" t="n">
        <x:f>IF(B9="Up",B10,B12)</x:f>
        <x:v>0.54</x:v>
      </x:c>
      <x:c r="J6" s="110" t="str">
        <x:v>actual executable ask</x:v>
      </x:c>
    </x:row>
    <x:row r="7">
      <x:c r="A7" s="185" t="str">
        <x:v>Model P(Up)</x:v>
      </x:c>
      <x:c r="B7" s="191" t="n">
        <x:v>0.62</x:v>
      </x:c>
      <x:c r="C7" s="190" t="str">
        <x:v>Calibrated model output</x:v>
      </x:c>
      <x:c r="E7" s="185" t="str">
        <x:v>Probability Lower Bound</x:v>
      </x:c>
      <x:c r="F7" s="197" t="n">
        <x:f>MAX(0,F6-B24*B8)</x:f>
        <x:v>0.588</x:v>
      </x:c>
      <x:c r="H7" s="185" t="str">
        <x:v>Taker Fee / Share</x:v>
      </x:c>
      <x:c r="I7" s="198" t="n">
        <x:f>B18*I6*(1-I6)</x:f>
        <x:v>0.017388</x:v>
      </x:c>
      <x:c r="J7" s="110" t="str">
        <x:v>current crypto taker fee curve</x:v>
      </x:c>
    </x:row>
    <x:row r="8">
      <x:c r="A8" s="185" t="str">
        <x:v>Model probability SE</x:v>
      </x:c>
      <x:c r="B8" s="191" t="n">
        <x:v>0.025</x:v>
      </x:c>
      <x:c r="C8" s="190" t="str">
        <x:v>Estimated from OOS calibration / ensemble dispersion</x:v>
      </x:c>
      <x:c r="E8" s="185" t="str">
        <x:v>Entry Price p</x:v>
      </x:c>
      <x:c r="F8" s="198" t="n">
        <x:f>IF(B14="Taker",IF(B9="Up",B10,B12),B15)</x:f>
        <x:v>0.54</x:v>
      </x:c>
      <x:c r="H8" s="185" t="str">
        <x:v>Taker EV / Share</x:v>
      </x:c>
      <x:c r="I8" s="198" t="n">
        <x:f>F6-(I6+I7+B19)</x:f>
        <x:v>0.060612</x:v>
      </x:c>
      <x:c r="J8" s="110" t="str">
        <x:v>q - all-in taker cost</x:v>
      </x:c>
    </x:row>
    <x:row r="9">
      <x:c r="A9" s="185" t="str">
        <x:v>Selected Side</x:v>
      </x:c>
      <x:c r="B9" s="189" t="str">
        <x:v>Up</x:v>
      </x:c>
      <x:c r="C9" s="190" t="str">
        <x:v>User decision / model direction</x:v>
      </x:c>
      <x:c r="E9" s="185" t="str">
        <x:v>Fee / Share</x:v>
      </x:c>
      <x:c r="F9" s="198" t="n">
        <x:f>IF(B14="Taker",B18*F8*(1-F8),0)</x:f>
        <x:v>0.017388</x:v>
      </x:c>
      <x:c r="H9" s="185" t="str">
        <x:v>Maker Limit</x:v>
      </x:c>
      <x:c r="I9" s="198" t="n">
        <x:f>B15</x:f>
        <x:v>0.53</x:v>
      </x:c>
      <x:c r="J9" s="110" t="str">
        <x:v>planned post-only price</x:v>
      </x:c>
    </x:row>
    <x:row r="10">
      <x:c r="A10" s="185" t="str">
        <x:v>Up Ask</x:v>
      </x:c>
      <x:c r="B10" s="192" t="n">
        <x:v>0.54</x:v>
      </x:c>
      <x:c r="C10" s="190" t="str">
        <x:v>Polymarket CLOB</x:v>
      </x:c>
      <x:c r="E10" s="185" t="str">
        <x:v>All-in Cost / Share</x:v>
      </x:c>
      <x:c r="F10" s="198" t="n">
        <x:f>MIN(0.999,F8+F9+B19)</x:f>
        <x:v>0.559388</x:v>
      </x:c>
      <x:c r="H10" s="185" t="str">
        <x:v>Maker q | Fill</x:v>
      </x:c>
      <x:c r="I10" s="198" t="n">
        <x:f>MAX(0,F6-B17)</x:f>
        <x:v>0.61</x:v>
      </x:c>
      <x:c r="J10" s="110" t="str">
        <x:v>penalize adverse selection conditional on fill</x:v>
      </x:c>
    </x:row>
    <x:row r="11">
      <x:c r="A11" s="185" t="str">
        <x:v>Up Bid</x:v>
      </x:c>
      <x:c r="B11" s="192" t="n">
        <x:v>0.52</x:v>
      </x:c>
      <x:c r="C11" s="190" t="str">
        <x:v>Polymarket CLOB</x:v>
      </x:c>
      <x:c r="E11" s="185" t="str">
        <x:v>Fee-adjusted Breakeven P</x:v>
      </x:c>
      <x:c r="F11" s="197" t="n">
        <x:f>F10</x:f>
        <x:v>0.559388</x:v>
      </x:c>
      <x:c r="H11" s="185" t="str">
        <x:v>Maker EV | Fill</x:v>
      </x:c>
      <x:c r="I11" s="198" t="n">
        <x:f>I10-I9</x:f>
        <x:v>0.07999999999999996</x:v>
      </x:c>
      <x:c r="J11" s="110" t="str">
        <x:v>conditional EV; maker fee = 0</x:v>
      </x:c>
    </x:row>
    <x:row r="12">
      <x:c r="A12" s="185" t="str">
        <x:v>Down Ask</x:v>
      </x:c>
      <x:c r="B12" s="192" t="n">
        <x:v>0.49</x:v>
      </x:c>
      <x:c r="C12" s="190" t="str">
        <x:v>Polymarket CLOB</x:v>
      </x:c>
      <x:c r="E12" s="185" t="str">
        <x:v>Raw Edge</x:v>
      </x:c>
      <x:c r="F12" s="197" t="n">
        <x:f>F6-F10</x:f>
        <x:v>0.060612</x:v>
      </x:c>
      <x:c r="H12" s="185" t="str">
        <x:v>Maker Expected EV / Attempt</x:v>
      </x:c>
      <x:c r="I12" s="198" t="n">
        <x:f>B16*MAX(0,I11)</x:f>
        <x:v>0.04799999999999997</x:v>
      </x:c>
      <x:c r="J12" s="110" t="str">
        <x:v>fill probability × conditional EV</x:v>
      </x:c>
    </x:row>
    <x:row r="13">
      <x:c r="A13" s="185" t="str">
        <x:v>Down Bid</x:v>
      </x:c>
      <x:c r="B13" s="192" t="n">
        <x:v>0.47</x:v>
      </x:c>
      <x:c r="C13" s="190" t="str">
        <x:v>Polymarket CLOB</x:v>
      </x:c>
      <x:c r="E13" s="185" t="str">
        <x:v>LCB Edge</x:v>
      </x:c>
      <x:c r="F13" s="197" t="n">
        <x:f>F7-F10</x:f>
        <x:v>0.02861199999999997</x:v>
      </x:c>
      <x:c r="H13" s="185" t="str">
        <x:v>Preferred Execution</x:v>
      </x:c>
      <x:c r="I13" s="185" t="str">
        <x:f>IF(MAX(I8,I12)&lt;=0,"SKIP",IF(AND(I12&gt;I8,B25&gt;30),"POST-ONLY MAKER","TAKER / CROSS"))</x:f>
        <x:v>TAKER / CROSS</x:v>
      </x:c>
      <x:c r="J13" s="110" t="str">
        <x:v>compare opportunity decay vs fee saving</x:v>
      </x:c>
    </x:row>
    <x:row r="14">
      <x:c r="A14" s="185" t="str">
        <x:v>Order Type</x:v>
      </x:c>
      <x:c r="B14" s="189" t="str">
        <x:v>Taker</x:v>
      </x:c>
      <x:c r="C14" s="190" t="str">
        <x:v>Maker or Taker</x:v>
      </x:c>
      <x:c r="E14" s="185" t="str">
        <x:v>Conservative Edge</x:v>
      </x:c>
      <x:c r="F14" s="197" t="n">
        <x:f>F7-F10-B20</x:f>
        <x:v>0.01861199999999997</x:v>
      </x:c>
    </x:row>
    <x:row r="15">
      <x:c r="A15" s="185" t="str">
        <x:v>Maker Limit Price</x:v>
      </x:c>
      <x:c r="B15" s="191" t="n">
        <x:v>0.53</x:v>
      </x:c>
      <x:c r="C15" s="190" t="str">
        <x:v>Planned post-only limit</x:v>
      </x:c>
      <x:c r="E15" s="185" t="str">
        <x:v>Gross Decimal Odds</x:v>
      </x:c>
      <x:c r="F15" s="199" t="n">
        <x:f>IFERROR(1/F8,0)</x:f>
        <x:v>1.8518518518518516</x:v>
      </x:c>
      <x:c r="H15" s="155" t="str">
        <x:v>Interpretation</x:v>
      </x:c>
      <x:c r="I15" s="155"/>
      <x:c r="J15" s="155"/>
    </x:row>
    <x:row r="16">
      <x:c r="A16" s="185" t="str">
        <x:v>Maker Fill Probability</x:v>
      </x:c>
      <x:c r="B16" s="191" t="n">
        <x:v>0.6</x:v>
      </x:c>
      <x:c r="C16" s="190" t="str">
        <x:v>Backtest from queue/fill model</x:v>
      </x:c>
      <x:c r="E16" s="185" t="str">
        <x:v>Net Profit if Win / Share</x:v>
      </x:c>
      <x:c r="F16" s="198" t="n">
        <x:f>1-F10</x:f>
        <x:v>0.440612</x:v>
      </x:c>
      <x:c r="H16" s="114" t="str">
        <x:v>High win probability ≠ good bet</x:v>
      </x:c>
      <x:c r="I16" s="110" t="str">
        <x:v>If q=70% but executable all-in cost is 72%, EV is negative.</x:v>
      </x:c>
    </x:row>
    <x:row r="17">
      <x:c r="A17" s="185" t="str">
        <x:v>Adverse Fill Penalty (prob pts)</x:v>
      </x:c>
      <x:c r="B17" s="191" t="n">
        <x:v>0.01</x:v>
      </x:c>
      <x:c r="C17" s="190" t="str">
        <x:v>Empirical maker fill winner's-curse adjustment</x:v>
      </x:c>
      <x:c r="E17" s="185" t="str">
        <x:v>Reward / Risk</x:v>
      </x:c>
      <x:c r="F17" s="198" t="n">
        <x:f>IFERROR(F16/F10,0)</x:f>
        <x:v>0.7876679514040344</x:v>
      </x:c>
      <x:c r="H17" s="114" t="str">
        <x:v>High conviction uses q lower bound</x:v>
      </x:c>
      <x:c r="I17" s="110" t="str">
        <x:v>Sizing uses q_L = q - z×SE, not point estimate q.</x:v>
      </x:c>
    </x:row>
    <x:row r="18">
      <x:c r="A18" s="185" t="str">
        <x:v>Crypto Taker Fee Rate</x:v>
      </x:c>
      <x:c r="B18" s="191" t="n">
        <x:v>0.07</x:v>
      </x:c>
      <x:c r="C18" s="190" t="str">
        <x:v>Polymarket official fee parameter</x:v>
      </x:c>
      <x:c r="E18" s="185" t="str">
        <x:v>Full Kelly (LCB)</x:v>
      </x:c>
      <x:c r="F18" s="197" t="n">
        <x:f>IF(F10&gt;=1,0,MAX(0,(F7-F10)/(1-F10)))</x:f>
        <x:v>0.06493695133133</x:v>
      </x:c>
      <x:c r="H18" s="114" t="str">
        <x:v>Kelly reacts to price</x:v>
      </x:c>
      <x:c r="I18" s="110" t="str">
        <x:v>At the same q, cheaper shares produce larger Kelly; expensive favorite shares can deserve zero size.</x:v>
      </x:c>
    </x:row>
    <x:row r="19">
      <x:c r="A19" s="185" t="str">
        <x:v>Expected Slippage / Share</x:v>
      </x:c>
      <x:c r="B19" s="191" t="n">
        <x:v>0.002</x:v>
      </x:c>
      <x:c r="C19" s="190" t="str">
        <x:v>User / empirical execution assumption</x:v>
      </x:c>
      <x:c r="E19" s="185" t="str">
        <x:v>Fractional Kelly</x:v>
      </x:c>
      <x:c r="F19" s="197" t="n">
        <x:f>F18*B21</x:f>
        <x:v>0.0162342378328325</x:v>
      </x:c>
      <x:c r="H19" s="114" t="str">
        <x:v>Maker has hidden cost</x:v>
      </x:c>
      <x:c r="I19" s="110" t="str">
        <x:v>Maker saves fees but often fills when the world moves against you; estimate adverse-fill penalty from your fills.</x:v>
      </x:c>
    </x:row>
    <x:row r="20">
      <x:c r="A20" s="185" t="str">
        <x:v>Safety Margin (prob pts)</x:v>
      </x:c>
      <x:c r="B20" s="191" t="n">
        <x:v>0.01</x:v>
      </x:c>
      <x:c r="C20" s="190" t="str">
        <x:v>Model-risk buffer</x:v>
      </x:c>
      <x:c r="E20" s="185" t="str">
        <x:v>Recommended Bankroll %</x:v>
      </x:c>
      <x:c r="F20" s="197" t="n">
        <x:f>IF(F14&gt;0,MIN(F19,B22,B23/B6),0)</x:f>
        <x:v>0.0162342378328325</x:v>
      </x:c>
      <x:c r="H20" s="114" t="str">
        <x:v>Hard cap is non-negotiable</x:v>
      </x:c>
      <x:c r="I20" s="110" t="str">
        <x:v>Consecutive BTC 5m events are correlated; fractional Kelly alone can still cluster exposure.</x:v>
      </x:c>
    </x:row>
    <x:row r="21">
      <x:c r="A21" s="185" t="str">
        <x:v>Fractional Kelly Multiplier</x:v>
      </x:c>
      <x:c r="B21" s="191" t="n">
        <x:v>0.25</x:v>
      </x:c>
      <x:c r="C21" s="190" t="str">
        <x:v>Conservative sizing assumption</x:v>
      </x:c>
      <x:c r="E21" s="185" t="str">
        <x:v>Recommended Bet (USDC)</x:v>
      </x:c>
      <x:c r="F21" s="200" t="n">
        <x:f>B6*F20</x:f>
        <x:v>162.342378328325</x:v>
      </x:c>
    </x:row>
    <x:row r="22">
      <x:c r="A22" s="185" t="str">
        <x:v>Max Bankroll per Event</x:v>
      </x:c>
      <x:c r="B22" s="191" t="n">
        <x:v>0.05</x:v>
      </x:c>
      <x:c r="C22" s="190" t="str">
        <x:v>Hard risk cap</x:v>
      </x:c>
      <x:c r="E22" s="185" t="str">
        <x:v>Shares</x:v>
      </x:c>
      <x:c r="F22" s="222" t="n">
        <x:f>IFERROR(F21/F10,0)</x:f>
        <x:v>290.21426689225547</x:v>
      </x:c>
    </x:row>
    <x:row r="23">
      <x:c r="A23" s="185" t="str">
        <x:v>Hard Max Bet (USDC)</x:v>
      </x:c>
      <x:c r="B23" s="193" t="n">
        <x:v>500</x:v>
      </x:c>
      <x:c r="C23" s="190" t="str">
        <x:v>Hard risk cap</x:v>
      </x:c>
      <x:c r="E23" s="185" t="str">
        <x:v>Expected PnL</x:v>
      </x:c>
      <x:c r="F23" s="200" t="n">
        <x:f>F22*(F6-F10)</x:f>
        <x:v>17.590467144873386</x:v>
      </x:c>
    </x:row>
    <x:row r="24">
      <x:c r="A24" s="185" t="str">
        <x:v>One-sided Confidence z</x:v>
      </x:c>
      <x:c r="B24" s="189" t="n">
        <x:v>1.28</x:v>
      </x:c>
      <x:c r="C24" s="190" t="str">
        <x:v>~90% one-sided lower bound</x:v>
      </x:c>
      <x:c r="E24" s="185" t="str">
        <x:v>Expected ROI</x:v>
      </x:c>
      <x:c r="F24" s="197" t="n">
        <x:f>IFERROR(F23/F21,0)</x:f>
        <x:v>0.10835412987050133</x:v>
      </x:c>
    </x:row>
    <x:row r="25">
      <x:c r="A25" s="185" t="str">
        <x:v>Remaining Seconds</x:v>
      </x:c>
      <x:c r="B25" s="189" t="n">
        <x:v>90</x:v>
      </x:c>
      <x:c r="C25" s="190" t="str">
        <x:v>Live event state</x:v>
      </x:c>
      <x:c r="E25" s="185" t="str">
        <x:v>Profit if Win</x:v>
      </x:c>
      <x:c r="F25" s="200" t="n">
        <x:f>F22*(1-F10)</x:f>
        <x:v>127.87188856393047</x:v>
      </x:c>
    </x:row>
    <x:row r="26">
      <x:c r="E26" s="185" t="str">
        <x:v>Loss if Lose</x:v>
      </x:c>
      <x:c r="F26" s="200" t="n">
        <x:f>-F21</x:f>
        <x:v>-162.342378328325</x:v>
      </x:c>
    </x:row>
    <x:row r="27">
      <x:c r="E27" s="185" t="str">
        <x:v>Max Fair Entry Price</x:v>
      </x:c>
      <x:c r="F27" s="198" t="n">
        <x:f>MAX(0,MIN(0.999,IF(B14="Taker",IF(B18=0,MAX(0,F7-B20-B19),((1+B18)-SQRT(MAX(0,(1+B18)^2-4*B18*MAX(0,F7-B20-B19))))/(2*B18)),MAX(0,F7-B20-B19))))</x:f>
        <x:v>0.558741539794823</x:v>
      </x:c>
    </x:row>
    <x:row r="28">
      <x:c r="E28" s="185" t="str">
        <x:v>Fair-Price Headroom</x:v>
      </x:c>
      <x:c r="F28" s="198" t="n">
        <x:f>F27-F8</x:f>
        <x:v>0.01874153979482296</x:v>
      </x:c>
    </x:row>
    <x:row r="29">
      <x:c r="E29" s="185" t="str">
        <x:v>Decision</x:v>
      </x:c>
      <x:c r="F29" s="202" t="str">
        <x:f>IF(F14&lt;=0,"SKIP",IF(AND(F20&gt;=0.03,F7&gt;=0.60),"HIGH CONVICTION / SIZE WITH CAP",IF(F20&gt;=0.01,"BET SMALL / NORMAL","TINY / OPTIONAL")))</x:f>
        <x:v>BET SMALL / NORMAL</x:v>
      </x:c>
    </x:row>
  </x:sheetData>
  <x:mergeCells>
    <x:mergeCell ref="A1:J2"/>
    <x:mergeCell ref="A3:J3"/>
    <x:mergeCell ref="A5:B5"/>
    <x:mergeCell ref="E5:F5"/>
    <x:mergeCell ref="H5:J5"/>
    <x:mergeCell ref="H15:J15"/>
  </x:mergeCells>
  <x:dataValidations count="2">
    <x:dataValidation type="list" sqref="B9">
      <x:formula1>"Up,Down"</x:formula1>
    </x:dataValidation>
    <x:dataValidation type="list" sqref="B14">
      <x:formula1>"Maker,Taker"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5" hidden="0" customWidth="1"/>
    <x:col min="4" max="4" width="30" hidden="0" customWidth="1"/>
    <x:col min="5" max="5" width="62" hidden="0" customWidth="1"/>
    <x:col min="6" max="6" width="20" hidden="0" customWidth="1"/>
  </x:cols>
  <x:sheetData>
    <x:row r="1">
      <x:c r="A1" s="143" t="str">
        <x:v>High Conviction：什么时候可以提高仓位？</x:v>
      </x:c>
      <x:c r="B1" s="143"/>
      <x:c r="C1" s="143"/>
      <x:c r="D1" s="143"/>
      <x:c r="E1" s="143"/>
      <x:c r="F1" s="143"/>
      <x:c r="G1" s="143"/>
      <x:c r="H1" s="143"/>
    </x:row>
    <x:row r="2">
      <x:c r="A2" s="143"/>
      <x:c r="B2" s="143"/>
      <x:c r="C2" s="143"/>
      <x:c r="D2" s="143"/>
      <x:c r="E2" s="143"/>
      <x:c r="F2" s="143"/>
      <x:c r="G2" s="143"/>
      <x:c r="H2" s="143"/>
    </x:row>
    <x:row r="3">
      <x:c r="A3" s="206" t="str">
        <x:v>核心原则：仓位由“保守 edge × calibration × liquidity × execution quality”决定，而不是由主观信心或连续胜负决定。</x:v>
      </x:c>
      <x:c r="B3" s="206"/>
      <x:c r="C3" s="206"/>
      <x:c r="D3" s="206"/>
      <x:c r="E3" s="206"/>
      <x:c r="F3" s="206"/>
      <x:c r="G3" s="206"/>
      <x:c r="H3" s="206"/>
    </x:row>
    <x:row r="5">
      <x:c r="A5" s="155" t="str">
        <x:v>Score Inputs</x:v>
      </x:c>
      <x:c r="B5" s="155"/>
      <x:c r="C5" s="155"/>
      <x:c r="E5" s="155" t="str">
        <x:v>Conviction Score / Decision</x:v>
      </x:c>
      <x:c r="F5" s="155"/>
      <x:c r="G5" s="155"/>
      <x:c r="H5" s="155"/>
    </x:row>
    <x:row r="6">
      <x:c r="A6" s="185" t="str">
        <x:v>Conservative Edge</x:v>
      </x:c>
      <x:c r="B6" s="210" t="n">
        <x:f>'08_Bet_Calculator'!F14</x:f>
        <x:v>0.01861199999999997</x:v>
      </x:c>
      <x:c r="C6" s="110" t="str">
        <x:v>Linked from bet calculator</x:v>
      </x:c>
      <x:c r="E6" s="185" t="str">
        <x:v>Edge Score (0-35)</x:v>
      </x:c>
      <x:c r="F6" s="196" t="n">
        <x:f>MIN(35,MAX(0,B6*350))</x:f>
        <x:v>6.514199999999989</x:v>
      </x:c>
    </x:row>
    <x:row r="7">
      <x:c r="A7" s="185" t="str">
        <x:v>q Lower Bound</x:v>
      </x:c>
      <x:c r="B7" s="210" t="n">
        <x:f>'08_Bet_Calculator'!F7</x:f>
        <x:v>0.588</x:v>
      </x:c>
      <x:c r="C7" s="110" t="str">
        <x:v>Linked</x:v>
      </x:c>
      <x:c r="E7" s="185" t="str">
        <x:v>Probability Score (0-15)</x:v>
      </x:c>
      <x:c r="F7" s="196" t="n">
        <x:f>MIN(15,MAX(0,(B7-0.50)*50))</x:f>
        <x:v>4.399999999999999</x:v>
      </x:c>
    </x:row>
    <x:row r="8">
      <x:c r="A8" s="185" t="str">
        <x:v>|Price-State z|</x:v>
      </x:c>
      <x:c r="B8" s="209" t="n">
        <x:f>ABS('11_Event_State'!F8)</x:f>
        <x:v>0.4160509156276654</x:v>
      </x:c>
      <x:c r="C8" s="110" t="str">
        <x:v>Linked</x:v>
      </x:c>
      <x:c r="E8" s="185" t="str">
        <x:v>State Score (0-15)</x:v>
      </x:c>
      <x:c r="F8" s="196" t="n">
        <x:f>MIN(15,B8*7.5)</x:f>
        <x:v>3.1203818672074903</x:v>
      </x:c>
    </x:row>
    <x:row r="9">
      <x:c r="A9" s="185" t="str">
        <x:v>Independent Signal Agreement</x:v>
      </x:c>
      <x:c r="B9" s="191" t="n">
        <x:v>0.8</x:v>
      </x:c>
      <x:c r="C9" s="110" t="str">
        <x:v>0-1: TS / OFI / cross-venue / perp agree?</x:v>
      </x:c>
      <x:c r="E9" s="185" t="str">
        <x:v>Signal Agreement (0-12)</x:v>
      </x:c>
      <x:c r="F9" s="196" t="n">
        <x:f>B9*12</x:f>
        <x:v>9.600000000000001</x:v>
      </x:c>
    </x:row>
    <x:row r="10">
      <x:c r="A10" s="185" t="str">
        <x:v>Orderbook Quality</x:v>
      </x:c>
      <x:c r="B10" s="191" t="n">
        <x:v>0.8</x:v>
      </x:c>
      <x:c r="C10" s="110" t="str">
        <x:v>0-1: spread, depth, stability</x:v>
      </x:c>
      <x:c r="E10" s="185" t="str">
        <x:v>LOB Quality (0-8)</x:v>
      </x:c>
      <x:c r="F10" s="196" t="n">
        <x:f>B10*8</x:f>
        <x:v>6.4</x:v>
      </x:c>
    </x:row>
    <x:row r="11">
      <x:c r="A11" s="185" t="str">
        <x:v>Data Freshness / Latency</x:v>
      </x:c>
      <x:c r="B11" s="191" t="n">
        <x:v>0.9</x:v>
      </x:c>
      <x:c r="C11" s="110" t="str">
        <x:v>0-1</x:v>
      </x:c>
      <x:c r="E11" s="185" t="str">
        <x:v>Freshness (0-5)</x:v>
      </x:c>
      <x:c r="F11" s="196" t="n">
        <x:f>B11*5</x:f>
        <x:v>4.5</x:v>
      </x:c>
    </x:row>
    <x:row r="12">
      <x:c r="A12" s="185" t="str">
        <x:v>Recent Calibration Quality</x:v>
      </x:c>
      <x:c r="B12" s="191" t="n">
        <x:v>0.85</x:v>
      </x:c>
      <x:c r="C12" s="110" t="str">
        <x:v>0-1: OOS calibration / Brier stability</x:v>
      </x:c>
      <x:c r="E12" s="185" t="str">
        <x:v>Calibration (0-5)</x:v>
      </x:c>
      <x:c r="F12" s="196" t="n">
        <x:f>B12*5</x:f>
        <x:v>4.25</x:v>
      </x:c>
    </x:row>
    <x:row r="13">
      <x:c r="A13" s="185" t="str">
        <x:v>Depth Coverage vs Planned Bet</x:v>
      </x:c>
      <x:c r="B13" s="189" t="n">
        <x:v>3</x:v>
      </x:c>
      <x:c r="C13" s="110" t="str">
        <x:v>&gt;1 means visible executable depth exceeds planned size</x:v>
      </x:c>
      <x:c r="E13" s="185" t="str">
        <x:v>Penalties</x:v>
      </x:c>
      <x:c r="F13" s="196" t="n">
        <x:f>IF(B13&lt;1.5,10,0)+IF(B14&gt;0.05,8,IF(B14&gt;0.03,4,0))+IF(B15&lt;8,10,IF(B15&lt;15,5,0))+IF(B16&gt;=70,25,IF(B16&gt;=50,15,IF(B16&gt;=30,7,0)))+IF(B17&gt;=60,12,IF(B17&gt;=45,6,0))+IF(B18&lt;0.8,8,0)</x:f>
        <x:v>27</x:v>
      </x:c>
    </x:row>
    <x:row r="14">
      <x:c r="A14" s="185" t="str">
        <x:v>Selected Spread</x:v>
      </x:c>
      <x:c r="B14" s="210" t="n">
        <x:f>IF('08_Bet_Calculator'!B9="Up",'08_Bet_Calculator'!B10-'08_Bet_Calculator'!B11,'08_Bet_Calculator'!B12-'08_Bet_Calculator'!B13)</x:f>
        <x:v>0.020000000000000018</x:v>
      </x:c>
      <x:c r="C14" s="110" t="str">
        <x:v>ask-bid</x:v>
      </x:c>
      <x:c r="E14" s="185" t="str">
        <x:v>Total Score (0-100)</x:v>
      </x:c>
      <x:c r="F14" s="211" t="n">
        <x:f>MAX(0,MIN(100,SUM(F6:F12)-F13))</x:f>
        <x:v>11.784581867207478</x:v>
      </x:c>
    </x:row>
    <x:row r="15">
      <x:c r="A15" s="185" t="str">
        <x:v>Remaining Seconds</x:v>
      </x:c>
      <x:c r="B15" s="209" t="n">
        <x:f>'08_Bet_Calculator'!B25</x:f>
        <x:v>90</x:v>
      </x:c>
      <x:c r="C15" s="110" t="str">
        <x:v>Linked</x:v>
      </x:c>
      <x:c r="E15" s="185" t="str">
        <x:v>Tier</x:v>
      </x:c>
      <x:c r="F15" s="202" t="str">
        <x:f>IF(OR(B6&lt;=0,B7&lt;0.55,B16&gt;=70),"SKIP",IF(AND(F14&gt;=90,B16&lt;30,B17&lt;45),"EXCEPTIONAL",IF(AND(F14&gt;=80,B16&lt;50),"HIGH CONVICTION",IF(F14&gt;=68,"NORMAL",IF(F14&gt;=55,"SMALL","SKIP")))))</x:f>
        <x:v>SKIP</x:v>
      </x:c>
    </x:row>
    <x:row r="16">
      <x:c r="A16" s="284" t="str">
        <x:v>Settlement Manipulation Risk</x:v>
      </x:c>
      <x:c r="B16" s="209" t="n">
        <x:f>'15_Settlement_Risk'!F14</x:f>
        <x:v>69.3</x:v>
      </x:c>
      <x:c r="C16" s="110" t="str">
        <x:v>0-100 defensive risk score</x:v>
      </x:c>
      <x:c r="E16" s="185" t="str">
        <x:v>Sizing Multiplier</x:v>
      </x:c>
      <x:c r="F16" s="197" t="n">
        <x:f>IF(F15="EXCEPTIONAL",0.40,IF(F15="HIGH CONVICTION",0.30,IF(F15="NORMAL",0.20,IF(F15="SMALL",0.10,0))))</x:f>
        <x:v>0</x:v>
      </x:c>
    </x:row>
    <x:row r="17">
      <x:c r="A17" s="284" t="str">
        <x:v>Whale / Herding Distortion Risk</x:v>
      </x:c>
      <x:c r="B17" s="209" t="n">
        <x:f>'16_Whale_Herding'!F13</x:f>
        <x:v>60.625</x:v>
      </x:c>
      <x:c r="C17" s="110" t="str">
        <x:v>0-100</x:v>
      </x:c>
      <x:c r="E17" s="185" t="str">
        <x:v>Recommended Bankroll %</x:v>
      </x:c>
      <x:c r="F17" s="197" t="n">
        <x:f>IF(F15="SKIP",0,MIN('08_Bet_Calculator'!F18*F16*'15_Settlement_Risk'!F16,'08_Bet_Calculator'!B22,'08_Bet_Calculator'!B23/'08_Bet_Calculator'!B6))</x:f>
        <x:v>0</x:v>
      </x:c>
    </x:row>
    <x:row r="18">
      <x:c r="A18" s="306" t="str">
        <x:v>Aggressor Direction Quality</x:v>
      </x:c>
      <x:c r="B18" s="310" t="n">
        <x:v>1</x:v>
      </x:c>
      <x:c r="C18" s="171" t="str">
        <x:v>1.0 = authoritative on-chain; use lower value for heuristic classifications</x:v>
      </x:c>
      <x:c r="D18" s="155"/>
      <x:c r="E18" s="224" t="str">
        <x:v>Recommended Bet USDC</x:v>
      </x:c>
      <x:c r="F18" s="225" t="n">
        <x:f>F17*'08_Bet_Calculator'!B6</x:f>
        <x:v>0</x:v>
      </x:c>
      <x:c r="G18" s="155"/>
      <x:c r="H18" s="155"/>
    </x:row>
    <x:row r="19">
      <x:c r="A19" s="156"/>
      <x:c r="B19" s="156"/>
      <x:c r="C19" s="156"/>
      <x:c r="D19" s="156"/>
      <x:c r="E19" s="156"/>
    </x:row>
    <x:row r="20">
      <x:c r="A20" s="110"/>
      <x:c r="B20" s="110"/>
      <x:c r="C20" s="110"/>
      <x:c r="D20" s="110"/>
      <x:c r="E20" s="110"/>
    </x:row>
    <x:row r="21">
      <x:c r="A21" s="168" t="str">
        <x:v>Sizing Tiers — “重仓”定义为相对仓位提升，而不是 all-in</x:v>
      </x:c>
      <x:c r="B21" s="168"/>
      <x:c r="C21" s="168"/>
      <x:c r="D21" s="168"/>
      <x:c r="E21" s="168"/>
      <x:c r="F21" s="155"/>
      <x:c r="G21" s="155"/>
      <x:c r="H21" s="155"/>
    </x:row>
    <x:row r="22">
      <x:c r="A22" s="156" t="str">
        <x:v>Tier</x:v>
      </x:c>
      <x:c r="B22" s="156" t="str">
        <x:v>Score / Gate</x:v>
      </x:c>
      <x:c r="C22" s="156" t="str">
        <x:v>Kelly Multiplier</x:v>
      </x:c>
      <x:c r="D22" s="156" t="str">
        <x:v>Typical Exposure</x:v>
      </x:c>
      <x:c r="E22" s="156" t="str">
        <x:v>Interpretation</x:v>
      </x:c>
    </x:row>
    <x:row r="23">
      <x:c r="A23" s="110" t="str">
        <x:v>SKIP</x:v>
      </x:c>
      <x:c r="B23" s="110" t="str">
        <x:v>&lt;55 or conservative edge ≤0</x:v>
      </x:c>
      <x:c r="C23" s="110" t="str">
        <x:v>0x</x:v>
      </x:c>
      <x:c r="D23" s="110" t="str">
        <x:v>0%</x:v>
      </x:c>
      <x:c r="E23" s="110" t="str">
        <x:v>赔率不划算 / 证据不足</x:v>
      </x:c>
    </x:row>
    <x:row r="24">
      <x:c r="A24" s="110" t="str">
        <x:v>SMALL</x:v>
      </x:c>
      <x:c r="B24" s="110" t="str">
        <x:v>55–67</x:v>
      </x:c>
      <x:c r="C24" s="110" t="str">
        <x:v>0.10× Full Kelly</x:v>
      </x:c>
      <x:c r="D24" s="110" t="str">
        <x:v>通常 &lt;1% bankroll</x:v>
      </x:c>
      <x:c r="E24" s="110" t="str">
        <x:v>探索性下注；主要用于持续校准</x:v>
      </x:c>
    </x:row>
    <x:row r="25">
      <x:c r="A25" s="110" t="str">
        <x:v>NORMAL</x:v>
      </x:c>
      <x:c r="B25" s="110" t="str">
        <x:v>68–79</x:v>
      </x:c>
      <x:c r="C25" s="110" t="str">
        <x:v>0.20× Full Kelly</x:v>
      </x:c>
      <x:c r="D25" s="110" t="str">
        <x:v>约 0.5–2% bankroll</x:v>
      </x:c>
      <x:c r="E25" s="110" t="str">
        <x:v>多个独立信号一致且 edge 明确</x:v>
      </x:c>
    </x:row>
    <x:row r="26">
      <x:c r="A26" s="110" t="str">
        <x:v>HIGH CONVICTION</x:v>
      </x:c>
      <x:c r="B26" s="110" t="str">
        <x:v>80–89</x:v>
      </x:c>
      <x:c r="C26" s="110" t="str">
        <x:v>0.30× Full Kelly</x:v>
      </x:c>
      <x:c r="D26" s="110" t="str">
        <x:v>通常 1–3% bankroll</x:v>
      </x:c>
      <x:c r="E26" s="110" t="str">
        <x:v>q_LCB 明显高于 breakeven；LOB/latency 也通过</x:v>
      </x:c>
    </x:row>
    <x:row r="27">
      <x:c r="A27" s="110" t="str">
        <x:v>EXCEPTIONAL</x:v>
      </x:c>
      <x:c r="B27" s="110" t="str">
        <x:v>≥90</x:v>
      </x:c>
      <x:c r="C27" s="110" t="str">
        <x:v>0.40× Full Kelly</x:v>
      </x:c>
      <x:c r="D27" s="110" t="str">
        <x:v>仍受单事件 hard cap</x:v>
      </x:c>
      <x:c r="E27" s="110" t="str">
        <x:v>极少出现；不允许因为胜率“看起来 95%”而突破风险上限</x:v>
      </x:c>
    </x:row>
  </x:sheetData>
  <x:mergeCells>
    <x:mergeCell ref="A1:H2"/>
    <x:mergeCell ref="A3:H3"/>
    <x:mergeCell ref="A5:C5"/>
    <x:mergeCell ref="E5:H5"/>
    <x:mergeCell ref="A21:H2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8" hidden="0" customWidth="1"/>
    <x:col min="6" max="6" width="16" hidden="0" customWidth="1"/>
    <x:col min="7" max="7" width="15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143" t="str">
        <x:v>赔率 / 胜率 / 筹码：Polymarket 5m Kelly Matrix</x:v>
      </x:c>
      <x:c r="B1" s="143"/>
      <x:c r="C1" s="143"/>
      <x:c r="D1" s="143"/>
      <x:c r="E1" s="143"/>
      <x:c r="F1" s="143"/>
      <x:c r="G1" s="143"/>
      <x:c r="H1" s="143"/>
      <x:c r="I1" s="143"/>
      <x:c r="J1" s="143"/>
      <x:c r="K1" s="143"/>
      <x:c r="L1" s="143"/>
      <x:c r="M1" s="143"/>
      <x:c r="N1" s="143"/>
    </x:row>
    <x:row r="2">
      <x:c r="A2" s="143"/>
      <x:c r="B2" s="143"/>
      <x:c r="C2" s="143"/>
      <x:c r="D2" s="143"/>
      <x:c r="E2" s="143"/>
      <x:c r="F2" s="143"/>
      <x:c r="G2" s="143"/>
      <x:c r="H2" s="143"/>
      <x:c r="I2" s="143"/>
      <x:c r="J2" s="143"/>
      <x:c r="K2" s="143"/>
      <x:c r="L2" s="143"/>
      <x:c r="M2" s="143"/>
      <x:c r="N2" s="143"/>
    </x:row>
    <x:row r="4">
      <x:c r="A4" s="156" t="str">
        <x:v>Share Price p</x:v>
      </x:c>
      <x:c r="B4" s="156" t="str">
        <x:v>Gross Implied P</x:v>
      </x:c>
      <x:c r="C4" s="156" t="str">
        <x:v>Taker Fee/Share</x:v>
      </x:c>
      <x:c r="D4" s="156" t="str">
        <x:v>All-in Cost*</x:v>
      </x:c>
      <x:c r="E4" s="156" t="str">
        <x:v>Fee-adjusted BE P</x:v>
      </x:c>
      <x:c r="F4" s="156" t="str">
        <x:v>Net Win Profit</x:v>
      </x:c>
      <x:c r="G4" s="156" t="str">
        <x:v>Reward/Risk</x:v>
      </x:c>
      <x:c r="H4" s="156" t="str">
        <x:v>Min q +1% Margin</x:v>
      </x:c>
      <x:c r="I4" s="156" t="str">
        <x:v>Kelly @55%</x:v>
      </x:c>
      <x:c r="J4" s="156" t="str">
        <x:v>Kelly @60%</x:v>
      </x:c>
      <x:c r="K4" s="156" t="str">
        <x:v>Kelly @65%</x:v>
      </x:c>
      <x:c r="L4" s="156" t="str">
        <x:v>Kelly @70%</x:v>
      </x:c>
      <x:c r="M4" s="156" t="str">
        <x:v>Kelly @75%</x:v>
      </x:c>
      <x:c r="N4" s="156" t="str">
        <x:v>Kelly @80%</x:v>
      </x:c>
    </x:row>
    <x:row r="5">
      <x:c r="A5" s="191" t="n">
        <x:v>0.05</x:v>
      </x:c>
      <x:c r="B5" s="197" t="n">
        <x:f>A5</x:f>
        <x:v>0.05</x:v>
      </x:c>
      <x:c r="C5" s="197" t="n">
        <x:f>'08_Bet_Calculator'!$B$18*A5*(1-A5)</x:f>
        <x:v>0.0033250000000000003</x:v>
      </x:c>
      <x:c r="D5" s="197" t="n">
        <x:f>MIN(0.999,A5+C5+'08_Bet_Calculator'!$B$19)</x:f>
        <x:v>0.055325000000000006</x:v>
      </x:c>
      <x:c r="E5" s="197" t="n">
        <x:f>D5</x:f>
        <x:v>0.055325000000000006</x:v>
      </x:c>
      <x:c r="F5" s="197" t="n">
        <x:f>1-D5</x:f>
        <x:v>0.944675</x:v>
      </x:c>
      <x:c r="G5" s="199" t="n">
        <x:f>IFERROR(F5/D5,0)</x:f>
        <x:v>17.07501129688206</x:v>
      </x:c>
      <x:c r="H5" s="197" t="n">
        <x:f>MIN(0.999,D5+'08_Bet_Calculator'!$B$20)</x:f>
        <x:v>0.06532500000000001</x:v>
      </x:c>
      <x:c r="I5" s="197" t="n">
        <x:f>IF(D5&gt;=1,0,MAX(0,(0.55-D5)/(1-D5)))</x:f>
        <x:v>0.523645698256014</x:v>
      </x:c>
      <x:c r="J5" s="197" t="n">
        <x:f>IF(D5&gt;=1,0,MAX(0,(0.6-D5)/(1-D5)))</x:f>
        <x:v>0.5765739540053457</x:v>
      </x:c>
      <x:c r="K5" s="197" t="n">
        <x:f>IF(D5&gt;=1,0,MAX(0,(0.65-D5)/(1-D5)))</x:f>
        <x:v>0.6295022097546775</x:v>
      </x:c>
      <x:c r="L5" s="197" t="n">
        <x:f>IF(D5&gt;=1,0,MAX(0,(0.7-D5)/(1-D5)))</x:f>
        <x:v>0.6824304655040093</x:v>
      </x:c>
      <x:c r="M5" s="197" t="n">
        <x:f>IF(D5&gt;=1,0,MAX(0,(0.75-D5)/(1-D5)))</x:f>
        <x:v>0.7353587212533411</x:v>
      </x:c>
      <x:c r="N5" s="197" t="n">
        <x:f>IF(D5&gt;=1,0,MAX(0,(0.8-D5)/(1-D5)))</x:f>
        <x:v>0.7882869770026729</x:v>
      </x:c>
    </x:row>
    <x:row r="6">
      <x:c r="A6" s="191" t="n">
        <x:v>0.1</x:v>
      </x:c>
      <x:c r="B6" s="197" t="n">
        <x:f>A6</x:f>
        <x:v>0.1</x:v>
      </x:c>
      <x:c r="C6" s="197" t="n">
        <x:f>'08_Bet_Calculator'!$B$18*A6*(1-A6)</x:f>
        <x:v>0.006300000000000001</x:v>
      </x:c>
      <x:c r="D6" s="197" t="n">
        <x:f>MIN(0.999,A6+C6+'08_Bet_Calculator'!$B$19)</x:f>
        <x:v>0.10830000000000001</x:v>
      </x:c>
      <x:c r="E6" s="197" t="n">
        <x:f>D6</x:f>
        <x:v>0.10830000000000001</x:v>
      </x:c>
      <x:c r="F6" s="197" t="n">
        <x:f>1-D6</x:f>
        <x:v>0.8916999999999999</x:v>
      </x:c>
      <x:c r="G6" s="199" t="n">
        <x:f>IFERROR(F6/D6,0)</x:f>
        <x:v>8.233610341643582</x:v>
      </x:c>
      <x:c r="H6" s="197" t="n">
        <x:f>MIN(0.999,D6+'08_Bet_Calculator'!$B$20)</x:f>
        <x:v>0.1183</x:v>
      </x:c>
      <x:c r="I6" s="197" t="n">
        <x:f>IF(D6&gt;=1,0,MAX(0,(0.55-D6)/(1-D6)))</x:f>
        <x:v>0.4953459683750141</x:v>
      </x:c>
      <x:c r="J6" s="197" t="n">
        <x:f>IF(D6&gt;=1,0,MAX(0,(0.6-D6)/(1-D6)))</x:f>
        <x:v>0.551418638555568</x:v>
      </x:c>
      <x:c r="K6" s="197" t="n">
        <x:f>IF(D6&gt;=1,0,MAX(0,(0.65-D6)/(1-D6)))</x:f>
        <x:v>0.6074913087361221</x:v>
      </x:c>
      <x:c r="L6" s="197" t="n">
        <x:f>IF(D6&gt;=1,0,MAX(0,(0.7-D6)/(1-D6)))</x:f>
        <x:v>0.663563978916676</x:v>
      </x:c>
      <x:c r="M6" s="197" t="n">
        <x:f>IF(D6&gt;=1,0,MAX(0,(0.75-D6)/(1-D6)))</x:f>
        <x:v>0.71963664909723</x:v>
      </x:c>
      <x:c r="N6" s="197" t="n">
        <x:f>IF(D6&gt;=1,0,MAX(0,(0.8-D6)/(1-D6)))</x:f>
        <x:v>0.7757093192777841</x:v>
      </x:c>
    </x:row>
    <x:row r="7">
      <x:c r="A7" s="191" t="n">
        <x:v>0.15</x:v>
      </x:c>
      <x:c r="B7" s="197" t="n">
        <x:f>A7</x:f>
        <x:v>0.15</x:v>
      </x:c>
      <x:c r="C7" s="197" t="n">
        <x:f>'08_Bet_Calculator'!$B$18*A7*(1-A7)</x:f>
        <x:v>0.008925</x:v>
      </x:c>
      <x:c r="D7" s="197" t="n">
        <x:f>MIN(0.999,A7+C7+'08_Bet_Calculator'!$B$19)</x:f>
        <x:v>0.16092499999999998</x:v>
      </x:c>
      <x:c r="E7" s="197" t="n">
        <x:f>D7</x:f>
        <x:v>0.16092499999999998</x:v>
      </x:c>
      <x:c r="F7" s="197" t="n">
        <x:f>1-D7</x:f>
        <x:v>0.839075</x:v>
      </x:c>
      <x:c r="G7" s="199" t="n">
        <x:f>IFERROR(F7/D7,0)</x:f>
        <x:v>5.2140748796022995</x:v>
      </x:c>
      <x:c r="H7" s="197" t="n">
        <x:f>MIN(0.999,D7+'08_Bet_Calculator'!$B$20)</x:f>
        <x:v>0.170925</x:v>
      </x:c>
      <x:c r="I7" s="197" t="n">
        <x:f>IF(D7&gt;=1,0,MAX(0,(0.55-D7)/(1-D7)))</x:f>
        <x:v>0.46369514048207855</x:v>
      </x:c>
      <x:c r="J7" s="197" t="n">
        <x:f>IF(D7&gt;=1,0,MAX(0,(0.6-D7)/(1-D7)))</x:f>
        <x:v>0.5232845693174031</x:v>
      </x:c>
      <x:c r="K7" s="197" t="n">
        <x:f>IF(D7&gt;=1,0,MAX(0,(0.65-D7)/(1-D7)))</x:f>
        <x:v>0.5828739981527278</x:v>
      </x:c>
      <x:c r="L7" s="197" t="n">
        <x:f>IF(D7&gt;=1,0,MAX(0,(0.7-D7)/(1-D7)))</x:f>
        <x:v>0.6424634269880523</x:v>
      </x:c>
      <x:c r="M7" s="197" t="n">
        <x:f>IF(D7&gt;=1,0,MAX(0,(0.75-D7)/(1-D7)))</x:f>
        <x:v>0.702052855823377</x:v>
      </x:c>
      <x:c r="N7" s="197" t="n">
        <x:f>IF(D7&gt;=1,0,MAX(0,(0.8-D7)/(1-D7)))</x:f>
        <x:v>0.7616422846587017</x:v>
      </x:c>
    </x:row>
    <x:row r="8">
      <x:c r="A8" s="191" t="n">
        <x:v>0.2</x:v>
      </x:c>
      <x:c r="B8" s="197" t="n">
        <x:f>A8</x:f>
        <x:v>0.2</x:v>
      </x:c>
      <x:c r="C8" s="197" t="n">
        <x:f>'08_Bet_Calculator'!$B$18*A8*(1-A8)</x:f>
        <x:v>0.011200000000000002</x:v>
      </x:c>
      <x:c r="D8" s="197" t="n">
        <x:f>MIN(0.999,A8+C8+'08_Bet_Calculator'!$B$19)</x:f>
        <x:v>0.2132</x:v>
      </x:c>
      <x:c r="E8" s="197" t="n">
        <x:f>D8</x:f>
        <x:v>0.2132</x:v>
      </x:c>
      <x:c r="F8" s="197" t="n">
        <x:f>1-D8</x:f>
        <x:v>0.7867999999999999</x:v>
      </x:c>
      <x:c r="G8" s="199" t="n">
        <x:f>IFERROR(F8/D8,0)</x:f>
        <x:v>3.6904315196998123</x:v>
      </x:c>
      <x:c r="H8" s="197" t="n">
        <x:f>MIN(0.999,D8+'08_Bet_Calculator'!$B$20)</x:f>
        <x:v>0.2232</x:v>
      </x:c>
      <x:c r="I8" s="197" t="n">
        <x:f>IF(D8&gt;=1,0,MAX(0,(0.55-D8)/(1-D8)))</x:f>
        <x:v>0.42806304016268437</x:v>
      </x:c>
      <x:c r="J8" s="197" t="n">
        <x:f>IF(D8&gt;=1,0,MAX(0,(0.6-D8)/(1-D8)))</x:f>
        <x:v>0.49161159125571935</x:v>
      </x:c>
      <x:c r="K8" s="197" t="n">
        <x:f>IF(D8&gt;=1,0,MAX(0,(0.65-D8)/(1-D8)))</x:f>
        <x:v>0.5551601423487545</x:v>
      </x:c>
      <x:c r="L8" s="197" t="n">
        <x:f>IF(D8&gt;=1,0,MAX(0,(0.7-D8)/(1-D8)))</x:f>
        <x:v>0.6187086934417895</x:v>
      </x:c>
      <x:c r="M8" s="197" t="n">
        <x:f>IF(D8&gt;=1,0,MAX(0,(0.75-D8)/(1-D8)))</x:f>
        <x:v>0.6822572445348246</x:v>
      </x:c>
      <x:c r="N8" s="197" t="n">
        <x:f>IF(D8&gt;=1,0,MAX(0,(0.8-D8)/(1-D8)))</x:f>
        <x:v>0.7458057956278598</x:v>
      </x:c>
    </x:row>
    <x:row r="9">
      <x:c r="A9" s="191" t="n">
        <x:v>0.25</x:v>
      </x:c>
      <x:c r="B9" s="197" t="n">
        <x:f>A9</x:f>
        <x:v>0.25</x:v>
      </x:c>
      <x:c r="C9" s="197" t="n">
        <x:f>'08_Bet_Calculator'!$B$18*A9*(1-A9)</x:f>
        <x:v>0.013125000000000001</x:v>
      </x:c>
      <x:c r="D9" s="197" t="n">
        <x:f>MIN(0.999,A9+C9+'08_Bet_Calculator'!$B$19)</x:f>
        <x:v>0.265125</x:v>
      </x:c>
      <x:c r="E9" s="197" t="n">
        <x:f>D9</x:f>
        <x:v>0.265125</x:v>
      </x:c>
      <x:c r="F9" s="197" t="n">
        <x:f>1-D9</x:f>
        <x:v>0.734875</x:v>
      </x:c>
      <x:c r="G9" s="199" t="n">
        <x:f>IFERROR(F9/D9,0)</x:f>
        <x:v>2.7718057520037718</x:v>
      </x:c>
      <x:c r="H9" s="197" t="n">
        <x:f>MIN(0.999,D9+'08_Bet_Calculator'!$B$20)</x:f>
        <x:v>0.275125</x:v>
      </x:c>
      <x:c r="I9" s="197" t="n">
        <x:f>IF(D9&gt;=1,0,MAX(0,(0.55-D9)/(1-D9)))</x:f>
        <x:v>0.38765096104779734</x:v>
      </x:c>
      <x:c r="J9" s="197" t="n">
        <x:f>IF(D9&gt;=1,0,MAX(0,(0.6-D9)/(1-D9)))</x:f>
        <x:v>0.45568974315359756</x:v>
      </x:c>
      <x:c r="K9" s="197" t="n">
        <x:f>IF(D9&gt;=1,0,MAX(0,(0.65-D9)/(1-D9)))</x:f>
        <x:v>0.523728525259398</x:v>
      </x:c>
      <x:c r="L9" s="197" t="n">
        <x:f>IF(D9&gt;=1,0,MAX(0,(0.7-D9)/(1-D9)))</x:f>
        <x:v>0.5917673073651981</x:v>
      </x:c>
      <x:c r="M9" s="197" t="n">
        <x:f>IF(D9&gt;=1,0,MAX(0,(0.75-D9)/(1-D9)))</x:f>
        <x:v>0.6598060894709985</x:v>
      </x:c>
      <x:c r="N9" s="197" t="n">
        <x:f>IF(D9&gt;=1,0,MAX(0,(0.8-D9)/(1-D9)))</x:f>
        <x:v>0.7278448715767988</x:v>
      </x:c>
    </x:row>
    <x:row r="10">
      <x:c r="A10" s="191" t="n">
        <x:v>0.3</x:v>
      </x:c>
      <x:c r="B10" s="197" t="n">
        <x:f>A10</x:f>
        <x:v>0.3</x:v>
      </x:c>
      <x:c r="C10" s="197" t="n">
        <x:f>'08_Bet_Calculator'!$B$18*A10*(1-A10)</x:f>
        <x:v>0.0147</x:v>
      </x:c>
      <x:c r="D10" s="197" t="n">
        <x:f>MIN(0.999,A10+C10+'08_Bet_Calculator'!$B$19)</x:f>
        <x:v>0.3167</x:v>
      </x:c>
      <x:c r="E10" s="197" t="n">
        <x:f>D10</x:f>
        <x:v>0.3167</x:v>
      </x:c>
      <x:c r="F10" s="197" t="n">
        <x:f>1-D10</x:f>
        <x:v>0.6833</x:v>
      </x:c>
      <x:c r="G10" s="199" t="n">
        <x:f>IFERROR(F10/D10,0)</x:f>
        <x:v>2.157562361856647</x:v>
      </x:c>
      <x:c r="H10" s="197" t="n">
        <x:f>MIN(0.999,D10+'08_Bet_Calculator'!$B$20)</x:f>
        <x:v>0.3267</x:v>
      </x:c>
      <x:c r="I10" s="197" t="n">
        <x:f>IF(D10&gt;=1,0,MAX(0,(0.55-D10)/(1-D10)))</x:f>
        <x:v>0.341431289331187</x:v>
      </x:c>
      <x:c r="J10" s="197" t="n">
        <x:f>IF(D10&gt;=1,0,MAX(0,(0.6-D10)/(1-D10)))</x:f>
        <x:v>0.41460559051661056</x:v>
      </x:c>
      <x:c r="K10" s="197" t="n">
        <x:f>IF(D10&gt;=1,0,MAX(0,(0.65-D10)/(1-D10)))</x:f>
        <x:v>0.4877798917020343</x:v>
      </x:c>
      <x:c r="L10" s="197" t="n">
        <x:f>IF(D10&gt;=1,0,MAX(0,(0.7-D10)/(1-D10)))</x:f>
        <x:v>0.5609541928874578</x:v>
      </x:c>
      <x:c r="M10" s="197" t="n">
        <x:f>IF(D10&gt;=1,0,MAX(0,(0.75-D10)/(1-D10)))</x:f>
        <x:v>0.6341284940728816</x:v>
      </x:c>
      <x:c r="N10" s="197" t="n">
        <x:f>IF(D10&gt;=1,0,MAX(0,(0.8-D10)/(1-D10)))</x:f>
        <x:v>0.7073027952583053</x:v>
      </x:c>
    </x:row>
    <x:row r="11">
      <x:c r="A11" s="191" t="n">
        <x:v>0.35</x:v>
      </x:c>
      <x:c r="B11" s="197" t="n">
        <x:f>A11</x:f>
        <x:v>0.35</x:v>
      </x:c>
      <x:c r="C11" s="197" t="n">
        <x:f>'08_Bet_Calculator'!$B$18*A11*(1-A11)</x:f>
        <x:v>0.015925</x:v>
      </x:c>
      <x:c r="D11" s="197" t="n">
        <x:f>MIN(0.999,A11+C11+'08_Bet_Calculator'!$B$19)</x:f>
        <x:v>0.367925</x:v>
      </x:c>
      <x:c r="E11" s="197" t="n">
        <x:f>D11</x:f>
        <x:v>0.367925</x:v>
      </x:c>
      <x:c r="F11" s="197" t="n">
        <x:f>1-D11</x:f>
        <x:v>0.6320749999999999</x:v>
      </x:c>
      <x:c r="G11" s="199" t="n">
        <x:f>IFERROR(F11/D11,0)</x:f>
        <x:v>1.7179452334035468</x:v>
      </x:c>
      <x:c r="H11" s="197" t="n">
        <x:f>MIN(0.999,D11+'08_Bet_Calculator'!$B$20)</x:f>
        <x:v>0.377925</x:v>
      </x:c>
      <x:c r="I11" s="197" t="n">
        <x:f>IF(D11&gt;=1,0,MAX(0,(0.55-D11)/(1-D11)))</x:f>
        <x:v>0.2880591701934107</x:v>
      </x:c>
      <x:c r="J11" s="197" t="n">
        <x:f>IF(D11&gt;=1,0,MAX(0,(0.6-D11)/(1-D11)))</x:f>
        <x:v>0.3671637068385872</x:v>
      </x:c>
      <x:c r="K11" s="197" t="n">
        <x:f>IF(D11&gt;=1,0,MAX(0,(0.65-D11)/(1-D11)))</x:f>
        <x:v>0.44626824348376387</x:v>
      </x:c>
      <x:c r="L11" s="197" t="n">
        <x:f>IF(D11&gt;=1,0,MAX(0,(0.7-D11)/(1-D11)))</x:f>
        <x:v>0.5253727801289404</x:v>
      </x:c>
      <x:c r="M11" s="197" t="n">
        <x:f>IF(D11&gt;=1,0,MAX(0,(0.75-D11)/(1-D11)))</x:f>
        <x:v>0.6044773167741171</x:v>
      </x:c>
      <x:c r="N11" s="197" t="n">
        <x:f>IF(D11&gt;=1,0,MAX(0,(0.8-D11)/(1-D11)))</x:f>
        <x:v>0.6835818534192937</x:v>
      </x:c>
    </x:row>
    <x:row r="12">
      <x:c r="A12" s="191" t="n">
        <x:v>0.4</x:v>
      </x:c>
      <x:c r="B12" s="197" t="n">
        <x:f>A12</x:f>
        <x:v>0.4</x:v>
      </x:c>
      <x:c r="C12" s="197" t="n">
        <x:f>'08_Bet_Calculator'!$B$18*A12*(1-A12)</x:f>
        <x:v>0.016800000000000002</x:v>
      </x:c>
      <x:c r="D12" s="197" t="n">
        <x:f>MIN(0.999,A12+C12+'08_Bet_Calculator'!$B$19)</x:f>
        <x:v>0.4188</x:v>
      </x:c>
      <x:c r="E12" s="197" t="n">
        <x:f>D12</x:f>
        <x:v>0.4188</x:v>
      </x:c>
      <x:c r="F12" s="197" t="n">
        <x:f>1-D12</x:f>
        <x:v>0.5811999999999999</x:v>
      </x:c>
      <x:c r="G12" s="199" t="n">
        <x:f>IFERROR(F12/D12,0)</x:f>
        <x:v>1.3877745940783188</x:v>
      </x:c>
      <x:c r="H12" s="197" t="n">
        <x:f>MIN(0.999,D12+'08_Bet_Calculator'!$B$20)</x:f>
        <x:v>0.4288</x:v>
      </x:c>
      <x:c r="I12" s="197" t="n">
        <x:f>IF(D12&gt;=1,0,MAX(0,(0.55-D12)/(1-D12)))</x:f>
        <x:v>0.22573984858912605</x:v>
      </x:c>
      <x:c r="J12" s="197" t="n">
        <x:f>IF(D12&gt;=1,0,MAX(0,(0.6-D12)/(1-D12)))</x:f>
        <x:v>0.3117687543014453</x:v>
      </x:c>
      <x:c r="K12" s="197" t="n">
        <x:f>IF(D12&gt;=1,0,MAX(0,(0.65-D12)/(1-D12)))</x:f>
        <x:v>0.3977976600137647</x:v>
      </x:c>
      <x:c r="L12" s="197" t="n">
        <x:f>IF(D12&gt;=1,0,MAX(0,(0.7-D12)/(1-D12)))</x:f>
        <x:v>0.4838265657260839</x:v>
      </x:c>
      <x:c r="M12" s="197" t="n">
        <x:f>IF(D12&gt;=1,0,MAX(0,(0.75-D12)/(1-D12)))</x:f>
        <x:v>0.5698554714384033</x:v>
      </x:c>
      <x:c r="N12" s="197" t="n">
        <x:f>IF(D12&gt;=1,0,MAX(0,(0.8-D12)/(1-D12)))</x:f>
        <x:v>0.6558843771507228</x:v>
      </x:c>
    </x:row>
    <x:row r="13">
      <x:c r="A13" s="191" t="n">
        <x:v>0.45</x:v>
      </x:c>
      <x:c r="B13" s="197" t="n">
        <x:f>A13</x:f>
        <x:v>0.45</x:v>
      </x:c>
      <x:c r="C13" s="197" t="n">
        <x:f>'08_Bet_Calculator'!$B$18*A13*(1-A13)</x:f>
        <x:v>0.017325000000000007</x:v>
      </x:c>
      <x:c r="D13" s="197" t="n">
        <x:f>MIN(0.999,A13+C13+'08_Bet_Calculator'!$B$19)</x:f>
        <x:v>0.469325</x:v>
      </x:c>
      <x:c r="E13" s="197" t="n">
        <x:f>D13</x:f>
        <x:v>0.469325</x:v>
      </x:c>
      <x:c r="F13" s="197" t="n">
        <x:f>1-D13</x:f>
        <x:v>0.530675</x:v>
      </x:c>
      <x:c r="G13" s="199" t="n">
        <x:f>IFERROR(F13/D13,0)</x:f>
        <x:v>1.1307196505619774</x:v>
      </x:c>
      <x:c r="H13" s="197" t="n">
        <x:f>MIN(0.999,D13+'08_Bet_Calculator'!$B$20)</x:f>
        <x:v>0.479325</x:v>
      </x:c>
      <x:c r="I13" s="197" t="n">
        <x:f>IF(D13&gt;=1,0,MAX(0,(0.55-D13)/(1-D13)))</x:f>
        <x:v>0.15202336646723522</x:v>
      </x:c>
      <x:c r="J13" s="197" t="n">
        <x:f>IF(D13&gt;=1,0,MAX(0,(0.6-D13)/(1-D13)))</x:f>
        <x:v>0.24624299241532008</x:v>
      </x:c>
      <x:c r="K13" s="197" t="n">
        <x:f>IF(D13&gt;=1,0,MAX(0,(0.65-D13)/(1-D13)))</x:f>
        <x:v>0.34046261836340513</x:v>
      </x:c>
      <x:c r="L13" s="197" t="n">
        <x:f>IF(D13&gt;=1,0,MAX(0,(0.7-D13)/(1-D13)))</x:f>
        <x:v>0.43468224431149</x:v>
      </x:c>
      <x:c r="M13" s="197" t="n">
        <x:f>IF(D13&gt;=1,0,MAX(0,(0.75-D13)/(1-D13)))</x:f>
        <x:v>0.528901870259575</x:v>
      </x:c>
      <x:c r="N13" s="197" t="n">
        <x:f>IF(D13&gt;=1,0,MAX(0,(0.8-D13)/(1-D13)))</x:f>
        <x:v>0.6231214962076601</x:v>
      </x:c>
    </x:row>
    <x:row r="14">
      <x:c r="A14" s="191" t="n">
        <x:v>0.5</x:v>
      </x:c>
      <x:c r="B14" s="197" t="n">
        <x:f>A14</x:f>
        <x:v>0.5</x:v>
      </x:c>
      <x:c r="C14" s="197" t="n">
        <x:f>'08_Bet_Calculator'!$B$18*A14*(1-A14)</x:f>
        <x:v>0.0175</x:v>
      </x:c>
      <x:c r="D14" s="197" t="n">
        <x:f>MIN(0.999,A14+C14+'08_Bet_Calculator'!$B$19)</x:f>
        <x:v>0.5195</x:v>
      </x:c>
      <x:c r="E14" s="197" t="n">
        <x:f>D14</x:f>
        <x:v>0.5195</x:v>
      </x:c>
      <x:c r="F14" s="197" t="n">
        <x:f>1-D14</x:f>
        <x:v>0.48050000000000004</x:v>
      </x:c>
      <x:c r="G14" s="199" t="n">
        <x:f>IFERROR(F14/D14,0)</x:f>
        <x:v>0.9249278152069299</x:v>
      </x:c>
      <x:c r="H14" s="197" t="n">
        <x:f>MIN(0.999,D14+'08_Bet_Calculator'!$B$20)</x:f>
        <x:v>0.5295</x:v>
      </x:c>
      <x:c r="I14" s="197" t="n">
        <x:f>IF(D14&gt;=1,0,MAX(0,(0.55-D14)/(1-D14)))</x:f>
        <x:v>0.06347554630593148</x:v>
      </x:c>
      <x:c r="J14" s="197" t="n">
        <x:f>IF(D14&gt;=1,0,MAX(0,(0.6-D14)/(1-D14)))</x:f>
        <x:v>0.16753381893860564</x:v>
      </x:c>
      <x:c r="K14" s="197" t="n">
        <x:f>IF(D14&gt;=1,0,MAX(0,(0.65-D14)/(1-D14)))</x:f>
        <x:v>0.27159209157128</x:v>
      </x:c>
      <x:c r="L14" s="197" t="n">
        <x:f>IF(D14&gt;=1,0,MAX(0,(0.7-D14)/(1-D14)))</x:f>
        <x:v>0.37565036420395415</x:v>
      </x:c>
      <x:c r="M14" s="197" t="n">
        <x:f>IF(D14&gt;=1,0,MAX(0,(0.75-D14)/(1-D14)))</x:f>
        <x:v>0.47970863683662857</x:v>
      </x:c>
      <x:c r="N14" s="197" t="n">
        <x:f>IF(D14&gt;=1,0,MAX(0,(0.8-D14)/(1-D14)))</x:f>
        <x:v>0.583766909469303</x:v>
      </x:c>
    </x:row>
    <x:row r="15">
      <x:c r="A15" s="191" t="n">
        <x:v>0.55</x:v>
      </x:c>
      <x:c r="B15" s="197" t="n">
        <x:f>A15</x:f>
        <x:v>0.55</x:v>
      </x:c>
      <x:c r="C15" s="197" t="n">
        <x:f>'08_Bet_Calculator'!$B$18*A15*(1-A15)</x:f>
        <x:v>0.017325</x:v>
      </x:c>
      <x:c r="D15" s="197" t="n">
        <x:f>MIN(0.999,A15+C15+'08_Bet_Calculator'!$B$19)</x:f>
        <x:v>0.5693250000000001</x:v>
      </x:c>
      <x:c r="E15" s="197" t="n">
        <x:f>D15</x:f>
        <x:v>0.5693250000000001</x:v>
      </x:c>
      <x:c r="F15" s="197" t="n">
        <x:f>1-D15</x:f>
        <x:v>0.4306749999999999</x:v>
      </x:c>
      <x:c r="G15" s="199" t="n">
        <x:f>IFERROR(F15/D15,0)</x:f>
        <x:v>0.7564659904272601</x:v>
      </x:c>
      <x:c r="H15" s="197" t="n">
        <x:f>MIN(0.999,D15+'08_Bet_Calculator'!$B$20)</x:f>
        <x:v>0.5793250000000001</x:v>
      </x:c>
      <x:c r="I15" s="197" t="n">
        <x:f>IF(D15&gt;=1,0,MAX(0,(0.55-D15)/(1-D15)))</x:f>
        <x:v>0</x:v>
      </x:c>
      <x:c r="J15" s="197" t="n">
        <x:f>IF(D15&gt;=1,0,MAX(0,(0.6-D15)/(1-D15)))</x:f>
        <x:v>0.07122540198525548</x:v>
      </x:c>
      <x:c r="K15" s="197" t="n">
        <x:f>IF(D15&gt;=1,0,MAX(0,(0.65-D15)/(1-D15)))</x:f>
        <x:v>0.18732222673709864</x:v>
      </x:c>
      <x:c r="L15" s="197" t="n">
        <x:f>IF(D15&gt;=1,0,MAX(0,(0.7-D15)/(1-D15)))</x:f>
        <x:v>0.30341905148894155</x:v>
      </x:c>
      <x:c r="M15" s="197" t="n">
        <x:f>IF(D15&gt;=1,0,MAX(0,(0.75-D15)/(1-D15)))</x:f>
        <x:v>0.4195158762407847</x:v>
      </x:c>
      <x:c r="N15" s="197" t="n">
        <x:f>IF(D15&gt;=1,0,MAX(0,(0.8-D15)/(1-D15)))</x:f>
        <x:v>0.5356127009926279</x:v>
      </x:c>
    </x:row>
    <x:row r="16">
      <x:c r="A16" s="191" t="n">
        <x:v>0.6</x:v>
      </x:c>
      <x:c r="B16" s="197" t="n">
        <x:f>A16</x:f>
        <x:v>0.6</x:v>
      </x:c>
      <x:c r="C16" s="197" t="n">
        <x:f>'08_Bet_Calculator'!$B$18*A16*(1-A16)</x:f>
        <x:v>0.016800000000000002</x:v>
      </x:c>
      <x:c r="D16" s="197" t="n">
        <x:f>MIN(0.999,A16+C16+'08_Bet_Calculator'!$B$19)</x:f>
        <x:v>0.6188</x:v>
      </x:c>
      <x:c r="E16" s="197" t="n">
        <x:f>D16</x:f>
        <x:v>0.6188</x:v>
      </x:c>
      <x:c r="F16" s="197" t="n">
        <x:f>1-D16</x:f>
        <x:v>0.3812</x:v>
      </x:c>
      <x:c r="G16" s="199" t="n">
        <x:f>IFERROR(F16/D16,0)</x:f>
        <x:v>0.6160310277957336</x:v>
      </x:c>
      <x:c r="H16" s="197" t="n">
        <x:f>MIN(0.999,D16+'08_Bet_Calculator'!$B$20)</x:f>
        <x:v>0.6288</x:v>
      </x:c>
      <x:c r="I16" s="197" t="n">
        <x:f>IF(D16&gt;=1,0,MAX(0,(0.55-D16)/(1-D16)))</x:f>
        <x:v>0</x:v>
      </x:c>
      <x:c r="J16" s="197" t="n">
        <x:f>IF(D16&gt;=1,0,MAX(0,(0.6-D16)/(1-D16)))</x:f>
        <x:v>0</x:v>
      </x:c>
      <x:c r="K16" s="197" t="n">
        <x:f>IF(D16&gt;=1,0,MAX(0,(0.65-D16)/(1-D16)))</x:f>
        <x:v>0.08184679958027284</x:v>
      </x:c>
      <x:c r="L16" s="197" t="n">
        <x:f>IF(D16&gt;=1,0,MAX(0,(0.7-D16)/(1-D16)))</x:f>
        <x:v>0.21301154249737655</x:v>
      </x:c>
      <x:c r="M16" s="197" t="n">
        <x:f>IF(D16&gt;=1,0,MAX(0,(0.75-D16)/(1-D16)))</x:f>
        <x:v>0.34417628541448053</x:v>
      </x:c>
      <x:c r="N16" s="197" t="n">
        <x:f>IF(D16&gt;=1,0,MAX(0,(0.8-D16)/(1-D16)))</x:f>
        <x:v>0.47534102833158454</x:v>
      </x:c>
    </x:row>
    <x:row r="17">
      <x:c r="A17" s="191" t="n">
        <x:v>0.65</x:v>
      </x:c>
      <x:c r="B17" s="197" t="n">
        <x:f>A17</x:f>
        <x:v>0.65</x:v>
      </x:c>
      <x:c r="C17" s="197" t="n">
        <x:f>'08_Bet_Calculator'!$B$18*A17*(1-A17)</x:f>
        <x:v>0.015925</x:v>
      </x:c>
      <x:c r="D17" s="197" t="n">
        <x:f>MIN(0.999,A17+C17+'08_Bet_Calculator'!$B$19)</x:f>
        <x:v>0.667925</x:v>
      </x:c>
      <x:c r="E17" s="197" t="n">
        <x:f>D17</x:f>
        <x:v>0.667925</x:v>
      </x:c>
      <x:c r="F17" s="197" t="n">
        <x:f>1-D17</x:f>
        <x:v>0.332075</x:v>
      </x:c>
      <x:c r="G17" s="199" t="n">
        <x:f>IFERROR(F17/D17,0)</x:f>
        <x:v>0.49717408391660745</x:v>
      </x:c>
      <x:c r="H17" s="197" t="n">
        <x:f>MIN(0.999,D17+'08_Bet_Calculator'!$B$20)</x:f>
        <x:v>0.677925</x:v>
      </x:c>
      <x:c r="I17" s="197" t="n">
        <x:f>IF(D17&gt;=1,0,MAX(0,(0.55-D17)/(1-D17)))</x:f>
        <x:v>0</x:v>
      </x:c>
      <x:c r="J17" s="197" t="n">
        <x:f>IF(D17&gt;=1,0,MAX(0,(0.6-D17)/(1-D17)))</x:f>
        <x:v>0</x:v>
      </x:c>
      <x:c r="K17" s="197" t="n">
        <x:f>IF(D17&gt;=1,0,MAX(0,(0.65-D17)/(1-D17)))</x:f>
        <x:v>0</x:v>
      </x:c>
      <x:c r="L17" s="197" t="n">
        <x:f>IF(D17&gt;=1,0,MAX(0,(0.7-D17)/(1-D17)))</x:f>
        <x:v>0.0965896258375366</x:v>
      </x:c>
      <x:c r="M17" s="197" t="n">
        <x:f>IF(D17&gt;=1,0,MAX(0,(0.75-D17)/(1-D17)))</x:f>
        <x:v>0.2471580215312806</x:v>
      </x:c>
      <x:c r="N17" s="197" t="n">
        <x:f>IF(D17&gt;=1,0,MAX(0,(0.8-D17)/(1-D17)))</x:f>
        <x:v>0.3977264172250246</x:v>
      </x:c>
    </x:row>
    <x:row r="18">
      <x:c r="A18" s="191" t="n">
        <x:v>0.7</x:v>
      </x:c>
      <x:c r="B18" s="197" t="n">
        <x:f>A18</x:f>
        <x:v>0.7</x:v>
      </x:c>
      <x:c r="C18" s="197" t="n">
        <x:f>'08_Bet_Calculator'!$B$18*A18*(1-A18)</x:f>
        <x:v>0.014700000000000003</x:v>
      </x:c>
      <x:c r="D18" s="197" t="n">
        <x:f>MIN(0.999,A18+C18+'08_Bet_Calculator'!$B$19)</x:f>
        <x:v>0.7167</x:v>
      </x:c>
      <x:c r="E18" s="197" t="n">
        <x:f>D18</x:f>
        <x:v>0.7167</x:v>
      </x:c>
      <x:c r="F18" s="197" t="n">
        <x:f>1-D18</x:f>
        <x:v>0.2833</x:v>
      </x:c>
      <x:c r="G18" s="199" t="n">
        <x:f>IFERROR(F18/D18,0)</x:f>
        <x:v>0.3952839402818473</x:v>
      </x:c>
      <x:c r="H18" s="197" t="n">
        <x:f>MIN(0.999,D18+'08_Bet_Calculator'!$B$20)</x:f>
        <x:v>0.7267</x:v>
      </x:c>
      <x:c r="I18" s="197" t="n">
        <x:f>IF(D18&gt;=1,0,MAX(0,(0.55-D18)/(1-D18)))</x:f>
        <x:v>0</x:v>
      </x:c>
      <x:c r="J18" s="197" t="n">
        <x:f>IF(D18&gt;=1,0,MAX(0,(0.6-D18)/(1-D18)))</x:f>
        <x:v>0</x:v>
      </x:c>
      <x:c r="K18" s="197" t="n">
        <x:f>IF(D18&gt;=1,0,MAX(0,(0.65-D18)/(1-D18)))</x:f>
        <x:v>0</x:v>
      </x:c>
      <x:c r="L18" s="197" t="n">
        <x:f>IF(D18&gt;=1,0,MAX(0,(0.7-D18)/(1-D18)))</x:f>
        <x:v>0</x:v>
      </x:c>
      <x:c r="M18" s="197" t="n">
        <x:f>IF(D18&gt;=1,0,MAX(0,(0.75-D18)/(1-D18)))</x:f>
        <x:v>0.11754324038122131</x:v>
      </x:c>
      <x:c r="N18" s="197" t="n">
        <x:f>IF(D18&gt;=1,0,MAX(0,(0.8-D18)/(1-D18)))</x:f>
        <x:v>0.2940345923049772</x:v>
      </x:c>
    </x:row>
    <x:row r="19">
      <x:c r="A19" s="191" t="n">
        <x:v>0.75</x:v>
      </x:c>
      <x:c r="B19" s="197" t="n">
        <x:f>A19</x:f>
        <x:v>0.75</x:v>
      </x:c>
      <x:c r="C19" s="197" t="n">
        <x:f>'08_Bet_Calculator'!$B$18*A19*(1-A19)</x:f>
        <x:v>0.013125000000000001</x:v>
      </x:c>
      <x:c r="D19" s="197" t="n">
        <x:f>MIN(0.999,A19+C19+'08_Bet_Calculator'!$B$19)</x:f>
        <x:v>0.765125</x:v>
      </x:c>
      <x:c r="E19" s="197" t="n">
        <x:f>D19</x:f>
        <x:v>0.765125</x:v>
      </x:c>
      <x:c r="F19" s="197" t="n">
        <x:f>1-D19</x:f>
        <x:v>0.23487499999999994</x:v>
      </x:c>
      <x:c r="G19" s="199" t="n">
        <x:f>IFERROR(F19/D19,0)</x:f>
        <x:v>0.3069759843162881</x:v>
      </x:c>
      <x:c r="H19" s="197" t="n">
        <x:f>MIN(0.999,D19+'08_Bet_Calculator'!$B$20)</x:f>
        <x:v>0.7751250000000001</x:v>
      </x:c>
      <x:c r="I19" s="197" t="n">
        <x:f>IF(D19&gt;=1,0,MAX(0,(0.55-D19)/(1-D19)))</x:f>
        <x:v>0</x:v>
      </x:c>
      <x:c r="J19" s="197" t="n">
        <x:f>IF(D19&gt;=1,0,MAX(0,(0.6-D19)/(1-D19)))</x:f>
        <x:v>0</x:v>
      </x:c>
      <x:c r="K19" s="197" t="n">
        <x:f>IF(D19&gt;=1,0,MAX(0,(0.65-D19)/(1-D19)))</x:f>
        <x:v>0</x:v>
      </x:c>
      <x:c r="L19" s="197" t="n">
        <x:f>IF(D19&gt;=1,0,MAX(0,(0.7-D19)/(1-D19)))</x:f>
        <x:v>0</x:v>
      </x:c>
      <x:c r="M19" s="197" t="n">
        <x:f>IF(D19&gt;=1,0,MAX(0,(0.75-D19)/(1-D19)))</x:f>
        <x:v>0</x:v>
      </x:c>
      <x:c r="N19" s="197" t="n">
        <x:f>IF(D19&gt;=1,0,MAX(0,(0.8-D19)/(1-D19)))</x:f>
        <x:v>0.1484832357637041</x:v>
      </x:c>
    </x:row>
    <x:row r="20">
      <x:c r="A20" s="191" t="n">
        <x:v>0.8</x:v>
      </x:c>
      <x:c r="B20" s="197" t="n">
        <x:f>A20</x:f>
        <x:v>0.8</x:v>
      </x:c>
      <x:c r="C20" s="197" t="n">
        <x:f>'08_Bet_Calculator'!$B$18*A20*(1-A20)</x:f>
        <x:v>0.0112</x:v>
      </x:c>
      <x:c r="D20" s="197" t="n">
        <x:f>MIN(0.999,A20+C20+'08_Bet_Calculator'!$B$19)</x:f>
        <x:v>0.8132</x:v>
      </x:c>
      <x:c r="E20" s="197" t="n">
        <x:f>D20</x:f>
        <x:v>0.8132</x:v>
      </x:c>
      <x:c r="F20" s="197" t="n">
        <x:f>1-D20</x:f>
        <x:v>0.18679999999999997</x:v>
      </x:c>
      <x:c r="G20" s="199" t="n">
        <x:f>IFERROR(F20/D20,0)</x:f>
        <x:v>0.22970978848991633</x:v>
      </x:c>
      <x:c r="H20" s="197" t="n">
        <x:f>MIN(0.999,D20+'08_Bet_Calculator'!$B$20)</x:f>
        <x:v>0.8232</x:v>
      </x:c>
      <x:c r="I20" s="197" t="n">
        <x:f>IF(D20&gt;=1,0,MAX(0,(0.55-D20)/(1-D20)))</x:f>
        <x:v>0</x:v>
      </x:c>
      <x:c r="J20" s="197" t="n">
        <x:f>IF(D20&gt;=1,0,MAX(0,(0.6-D20)/(1-D20)))</x:f>
        <x:v>0</x:v>
      </x:c>
      <x:c r="K20" s="197" t="n">
        <x:f>IF(D20&gt;=1,0,MAX(0,(0.65-D20)/(1-D20)))</x:f>
        <x:v>0</x:v>
      </x:c>
      <x:c r="L20" s="197" t="n">
        <x:f>IF(D20&gt;=1,0,MAX(0,(0.7-D20)/(1-D20)))</x:f>
        <x:v>0</x:v>
      </x:c>
      <x:c r="M20" s="197" t="n">
        <x:f>IF(D20&gt;=1,0,MAX(0,(0.75-D20)/(1-D20)))</x:f>
        <x:v>0</x:v>
      </x:c>
      <x:c r="N20" s="197" t="n">
        <x:f>IF(D20&gt;=1,0,MAX(0,(0.8-D20)/(1-D20)))</x:f>
        <x:v>0</x:v>
      </x:c>
    </x:row>
    <x:row r="21">
      <x:c r="A21" s="191" t="n">
        <x:v>0.85</x:v>
      </x:c>
      <x:c r="B21" s="197" t="n">
        <x:f>A21</x:f>
        <x:v>0.85</x:v>
      </x:c>
      <x:c r="C21" s="197" t="n">
        <x:f>'08_Bet_Calculator'!$B$18*A21*(1-A21)</x:f>
        <x:v>0.008925000000000002</x:v>
      </x:c>
      <x:c r="D21" s="197" t="n">
        <x:f>MIN(0.999,A21+C21+'08_Bet_Calculator'!$B$19)</x:f>
        <x:v>0.8609249999999999</x:v>
      </x:c>
      <x:c r="E21" s="197" t="n">
        <x:f>D21</x:f>
        <x:v>0.8609249999999999</x:v>
      </x:c>
      <x:c r="F21" s="197" t="n">
        <x:f>1-D21</x:f>
        <x:v>0.13907500000000006</x:v>
      </x:c>
      <x:c r="G21" s="199" t="n">
        <x:f>IFERROR(F21/D21,0)</x:f>
        <x:v>0.1615413653918751</x:v>
      </x:c>
      <x:c r="H21" s="197" t="n">
        <x:f>MIN(0.999,D21+'08_Bet_Calculator'!$B$20)</x:f>
        <x:v>0.870925</x:v>
      </x:c>
      <x:c r="I21" s="197" t="n">
        <x:f>IF(D21&gt;=1,0,MAX(0,(0.55-D21)/(1-D21)))</x:f>
        <x:v>0</x:v>
      </x:c>
      <x:c r="J21" s="197" t="n">
        <x:f>IF(D21&gt;=1,0,MAX(0,(0.6-D21)/(1-D21)))</x:f>
        <x:v>0</x:v>
      </x:c>
      <x:c r="K21" s="197" t="n">
        <x:f>IF(D21&gt;=1,0,MAX(0,(0.65-D21)/(1-D21)))</x:f>
        <x:v>0</x:v>
      </x:c>
      <x:c r="L21" s="197" t="n">
        <x:f>IF(D21&gt;=1,0,MAX(0,(0.7-D21)/(1-D21)))</x:f>
        <x:v>0</x:v>
      </x:c>
      <x:c r="M21" s="197" t="n">
        <x:f>IF(D21&gt;=1,0,MAX(0,(0.75-D21)/(1-D21)))</x:f>
        <x:v>0</x:v>
      </x:c>
      <x:c r="N21" s="197" t="n">
        <x:f>IF(D21&gt;=1,0,MAX(0,(0.8-D21)/(1-D21)))</x:f>
        <x:v>0</x:v>
      </x:c>
    </x:row>
    <x:row r="22">
      <x:c r="A22" s="191" t="n">
        <x:v>0.9</x:v>
      </x:c>
      <x:c r="B22" s="197" t="n">
        <x:f>A22</x:f>
        <x:v>0.9</x:v>
      </x:c>
      <x:c r="C22" s="197" t="n">
        <x:f>'08_Bet_Calculator'!$B$18*A22*(1-A22)</x:f>
        <x:v>0.0063</x:v>
      </x:c>
      <x:c r="D22" s="197" t="n">
        <x:f>MIN(0.999,A22+C22+'08_Bet_Calculator'!$B$19)</x:f>
        <x:v>0.9083</x:v>
      </x:c>
      <x:c r="E22" s="197" t="n">
        <x:f>D22</x:f>
        <x:v>0.9083</x:v>
      </x:c>
      <x:c r="F22" s="197" t="n">
        <x:f>1-D22</x:f>
        <x:v>0.0917</x:v>
      </x:c>
      <x:c r="G22" s="199" t="n">
        <x:f>IFERROR(F22/D22,0)</x:f>
        <x:v>0.10095783331498404</x:v>
      </x:c>
      <x:c r="H22" s="197" t="n">
        <x:f>MIN(0.999,D22+'08_Bet_Calculator'!$B$20)</x:f>
        <x:v>0.9183</x:v>
      </x:c>
      <x:c r="I22" s="197" t="n">
        <x:f>IF(D22&gt;=1,0,MAX(0,(0.55-D22)/(1-D22)))</x:f>
        <x:v>0</x:v>
      </x:c>
      <x:c r="J22" s="197" t="n">
        <x:f>IF(D22&gt;=1,0,MAX(0,(0.6-D22)/(1-D22)))</x:f>
        <x:v>0</x:v>
      </x:c>
      <x:c r="K22" s="197" t="n">
        <x:f>IF(D22&gt;=1,0,MAX(0,(0.65-D22)/(1-D22)))</x:f>
        <x:v>0</x:v>
      </x:c>
      <x:c r="L22" s="197" t="n">
        <x:f>IF(D22&gt;=1,0,MAX(0,(0.7-D22)/(1-D22)))</x:f>
        <x:v>0</x:v>
      </x:c>
      <x:c r="M22" s="197" t="n">
        <x:f>IF(D22&gt;=1,0,MAX(0,(0.75-D22)/(1-D22)))</x:f>
        <x:v>0</x:v>
      </x:c>
      <x:c r="N22" s="197" t="n">
        <x:f>IF(D22&gt;=1,0,MAX(0,(0.8-D22)/(1-D22)))</x:f>
        <x:v>0</x:v>
      </x:c>
    </x:row>
    <x:row r="23">
      <x:c r="A23" s="191" t="n">
        <x:v>0.95</x:v>
      </x:c>
      <x:c r="B23" s="197" t="n">
        <x:f>A23</x:f>
        <x:v>0.95</x:v>
      </x:c>
      <x:c r="C23" s="197" t="n">
        <x:f>'08_Bet_Calculator'!$B$18*A23*(1-A23)</x:f>
        <x:v>0.0033250000000000033</x:v>
      </x:c>
      <x:c r="D23" s="197" t="n">
        <x:f>MIN(0.999,A23+C23+'08_Bet_Calculator'!$B$19)</x:f>
        <x:v>0.955325</x:v>
      </x:c>
      <x:c r="E23" s="197" t="n">
        <x:f>D23</x:f>
        <x:v>0.955325</x:v>
      </x:c>
      <x:c r="F23" s="197" t="n">
        <x:f>1-D23</x:f>
        <x:v>0.04467500000000002</x:v>
      </x:c>
      <x:c r="G23" s="199" t="n">
        <x:f>IFERROR(F23/D23,0)</x:f>
        <x:v>0.04676419019705338</x:v>
      </x:c>
      <x:c r="H23" s="197" t="n">
        <x:f>MIN(0.999,D23+'08_Bet_Calculator'!$B$20)</x:f>
        <x:v>0.965325</x:v>
      </x:c>
      <x:c r="I23" s="197" t="n">
        <x:f>IF(D23&gt;=1,0,MAX(0,(0.55-D23)/(1-D23)))</x:f>
        <x:v>0</x:v>
      </x:c>
      <x:c r="J23" s="197" t="n">
        <x:f>IF(D23&gt;=1,0,MAX(0,(0.6-D23)/(1-D23)))</x:f>
        <x:v>0</x:v>
      </x:c>
      <x:c r="K23" s="197" t="n">
        <x:f>IF(D23&gt;=1,0,MAX(0,(0.65-D23)/(1-D23)))</x:f>
        <x:v>0</x:v>
      </x:c>
      <x:c r="L23" s="197" t="n">
        <x:f>IF(D23&gt;=1,0,MAX(0,(0.7-D23)/(1-D23)))</x:f>
        <x:v>0</x:v>
      </x:c>
      <x:c r="M23" s="197" t="n">
        <x:f>IF(D23&gt;=1,0,MAX(0,(0.75-D23)/(1-D23)))</x:f>
        <x:v>0</x:v>
      </x:c>
      <x:c r="N23" s="197" t="n">
        <x:f>IF(D23&gt;=1,0,MAX(0,(0.8-D23)/(1-D23)))</x:f>
        <x:v>0</x:v>
      </x:c>
    </x:row>
    <x:row r="27">
      <x:c r="A27" s="155" t="str">
        <x:v>给定模型胜率 q：Taker 最高可接受入场价</x:v>
      </x:c>
      <x:c r="B27" s="155"/>
      <x:c r="C27" s="155"/>
      <x:c r="D27" s="155"/>
      <x:c r="E27" s="155"/>
      <x:c r="F27" s="155"/>
      <x:c r="G27" s="155"/>
      <x:c r="H27" s="155"/>
    </x:row>
    <x:row r="28">
      <x:c r="A28" s="156" t="str">
        <x:v>Model q</x:v>
      </x:c>
      <x:c r="B28" s="156" t="str">
        <x:v>q Lower Bound</x:v>
      </x:c>
      <x:c r="C28" s="156" t="str">
        <x:v>Safety Margin</x:v>
      </x:c>
      <x:c r="D28" s="156" t="str">
        <x:v>Slippage</x:v>
      </x:c>
      <x:c r="E28" s="156" t="str">
        <x:v>Taker Fee Rate</x:v>
      </x:c>
      <x:c r="F28" s="156" t="str">
        <x:v>Max Fair Ask</x:v>
      </x:c>
      <x:c r="H28" s="163" t="str">
        <x:v>* All-in Cost = ask + taker fee/share + expected slippage/share。
这张表最适合回答“筹码赔率”：同一个 70% 模型胜率，在 0.50、0.60、0.70 的入场价下，Kelly 和 EV 完全不同。
如果市场价格已经超过 Max Fair Ask，即使你仍认为该方向更可能发生，也应该 SKIP。</x:v>
      </x:c>
      <x:c r="I28" s="163"/>
      <x:c r="J28" s="163"/>
      <x:c r="K28" s="163"/>
      <x:c r="L28" s="163"/>
      <x:c r="M28" s="163"/>
      <x:c r="N28" s="163"/>
    </x:row>
    <x:row r="29">
      <x:c r="A29" s="191" t="n">
        <x:v>0.55</x:v>
      </x:c>
      <x:c r="B29" s="197" t="n">
        <x:f>MAX(0,A29-'08_Bet_Calculator'!$B$24*'08_Bet_Calculator'!$B$8)</x:f>
        <x:v>0.518</x:v>
      </x:c>
      <x:c r="C29" s="197" t="n">
        <x:f>'08_Bet_Calculator'!$B$20</x:f>
        <x:v>0.01</x:v>
      </x:c>
      <x:c r="D29" s="197" t="n">
        <x:f>'08_Bet_Calculator'!$B$19</x:f>
        <x:v>0.002</x:v>
      </x:c>
      <x:c r="E29" s="197" t="n">
        <x:f>'08_Bet_Calculator'!$B$18</x:f>
        <x:v>0.07</x:v>
      </x:c>
      <x:c r="F29" s="197" t="n">
        <x:f>MAX(0,MIN(0.999,IF(E29=0,MAX(0,B29-C29-D29),((1+E29)-SQRT(MAX(0,(1+E29)^2-4*E29*MAX(0,B29-C29-D29))))/(2*E29))))</x:f>
        <x:v>0.48850924262535356</x:v>
      </x:c>
      <x:c r="H29" s="163"/>
      <x:c r="I29" s="163"/>
      <x:c r="J29" s="163"/>
      <x:c r="K29" s="163"/>
      <x:c r="L29" s="163"/>
      <x:c r="M29" s="163"/>
      <x:c r="N29" s="163"/>
    </x:row>
    <x:row r="30">
      <x:c r="A30" s="191" t="n">
        <x:v>0.6</x:v>
      </x:c>
      <x:c r="B30" s="197" t="n">
        <x:f>MAX(0,A30-'08_Bet_Calculator'!$B$24*'08_Bet_Calculator'!$B$8)</x:f>
        <x:v>0.568</x:v>
      </x:c>
      <x:c r="C30" s="197" t="n">
        <x:f>'08_Bet_Calculator'!$B$20</x:f>
        <x:v>0.01</x:v>
      </x:c>
      <x:c r="D30" s="197" t="n">
        <x:f>'08_Bet_Calculator'!$B$19</x:f>
        <x:v>0.002</x:v>
      </x:c>
      <x:c r="E30" s="197" t="n">
        <x:f>'08_Bet_Calculator'!$B$18</x:f>
        <x:v>0.07</x:v>
      </x:c>
      <x:c r="F30" s="197" t="n">
        <x:f>MAX(0,MIN(0.999,IF(E30=0,MAX(0,B30-C30-D30),((1+E30)-SQRT(MAX(0,(1+E30)^2-4*E30*MAX(0,B30-C30-D30))))/(2*E30))))</x:f>
        <x:v>0.5386043205495572</x:v>
      </x:c>
      <x:c r="H30" s="163"/>
      <x:c r="I30" s="163"/>
      <x:c r="J30" s="163"/>
      <x:c r="K30" s="163"/>
      <x:c r="L30" s="163"/>
      <x:c r="M30" s="163"/>
      <x:c r="N30" s="163"/>
    </x:row>
    <x:row r="31">
      <x:c r="A31" s="191" t="n">
        <x:v>0.65</x:v>
      </x:c>
      <x:c r="B31" s="197" t="n">
        <x:f>MAX(0,A31-'08_Bet_Calculator'!$B$24*'08_Bet_Calculator'!$B$8)</x:f>
        <x:v>0.618</x:v>
      </x:c>
      <x:c r="C31" s="197" t="n">
        <x:f>'08_Bet_Calculator'!$B$20</x:f>
        <x:v>0.01</x:v>
      </x:c>
      <x:c r="D31" s="197" t="n">
        <x:f>'08_Bet_Calculator'!$B$19</x:f>
        <x:v>0.002</x:v>
      </x:c>
      <x:c r="E31" s="197" t="n">
        <x:f>'08_Bet_Calculator'!$B$18</x:f>
        <x:v>0.07</x:v>
      </x:c>
      <x:c r="F31" s="197" t="n">
        <x:f>MAX(0,MIN(0.999,IF(E31=0,MAX(0,B31-C31-D31),((1+E31)-SQRT(MAX(0,(1+E31)^2-4*E31*MAX(0,B31-C31-D31))))/(2*E31))))</x:f>
        <x:v>0.5890551574751045</x:v>
      </x:c>
      <x:c r="H31" s="163"/>
      <x:c r="I31" s="163"/>
      <x:c r="J31" s="163"/>
      <x:c r="K31" s="163"/>
      <x:c r="L31" s="163"/>
      <x:c r="M31" s="163"/>
      <x:c r="N31" s="163"/>
    </x:row>
    <x:row r="32">
      <x:c r="A32" s="191" t="n">
        <x:v>0.7</x:v>
      </x:c>
      <x:c r="B32" s="197" t="n">
        <x:f>MAX(0,A32-'08_Bet_Calculator'!$B$24*'08_Bet_Calculator'!$B$8)</x:f>
        <x:v>0.6679999999999999</x:v>
      </x:c>
      <x:c r="C32" s="197" t="n">
        <x:f>'08_Bet_Calculator'!$B$20</x:f>
        <x:v>0.01</x:v>
      </x:c>
      <x:c r="D32" s="197" t="n">
        <x:f>'08_Bet_Calculator'!$B$19</x:f>
        <x:v>0.002</x:v>
      </x:c>
      <x:c r="E32" s="197" t="n">
        <x:f>'08_Bet_Calculator'!$B$18</x:f>
        <x:v>0.07</x:v>
      </x:c>
      <x:c r="F32" s="197" t="n">
        <x:f>MAX(0,MIN(0.999,IF(E32=0,MAX(0,B32-C32-D32),((1+E32)-SQRT(MAX(0,(1+E32)^2-4*E32*MAX(0,B32-C32-D32))))/(2*E32))))</x:f>
        <x:v>0.639869442261498</x:v>
      </x:c>
      <x:c r="H32" s="163"/>
      <x:c r="I32" s="163"/>
      <x:c r="J32" s="163"/>
      <x:c r="K32" s="163"/>
      <x:c r="L32" s="163"/>
      <x:c r="M32" s="163"/>
      <x:c r="N32" s="163"/>
    </x:row>
    <x:row r="33">
      <x:c r="A33" s="191" t="n">
        <x:v>0.75</x:v>
      </x:c>
      <x:c r="B33" s="197" t="n">
        <x:f>MAX(0,A33-'08_Bet_Calculator'!$B$24*'08_Bet_Calculator'!$B$8)</x:f>
        <x:v>0.718</x:v>
      </x:c>
      <x:c r="C33" s="197" t="n">
        <x:f>'08_Bet_Calculator'!$B$20</x:f>
        <x:v>0.01</x:v>
      </x:c>
      <x:c r="D33" s="197" t="n">
        <x:f>'08_Bet_Calculator'!$B$19</x:f>
        <x:v>0.002</x:v>
      </x:c>
      <x:c r="E33" s="197" t="n">
        <x:f>'08_Bet_Calculator'!$B$18</x:f>
        <x:v>0.07</x:v>
      </x:c>
      <x:c r="F33" s="197" t="n">
        <x:f>MAX(0,MIN(0.999,IF(E33=0,MAX(0,B33-C33-D33),((1+E33)-SQRT(MAX(0,(1+E33)^2-4*E33*MAX(0,B33-C33-D33))))/(2*E33))))</x:f>
        <x:v>0.691055144784401</x:v>
      </x:c>
    </x:row>
    <x:row r="34">
      <x:c r="A34" s="191" t="n">
        <x:v>0.8</x:v>
      </x:c>
      <x:c r="B34" s="197" t="n">
        <x:f>MAX(0,A34-'08_Bet_Calculator'!$B$24*'08_Bet_Calculator'!$B$8)</x:f>
        <x:v>0.768</x:v>
      </x:c>
      <x:c r="C34" s="197" t="n">
        <x:f>'08_Bet_Calculator'!$B$20</x:f>
        <x:v>0.01</x:v>
      </x:c>
      <x:c r="D34" s="197" t="n">
        <x:f>'08_Bet_Calculator'!$B$19</x:f>
        <x:v>0.002</x:v>
      </x:c>
      <x:c r="E34" s="197" t="n">
        <x:f>'08_Bet_Calculator'!$B$18</x:f>
        <x:v>0.07</x:v>
      </x:c>
      <x:c r="F34" s="197" t="n">
        <x:f>MAX(0,MIN(0.999,IF(E34=0,MAX(0,B34-C34-D34),((1+E34)-SQRT(MAX(0,(1+E34)^2-4*E34*MAX(0,B34-C34-D34))))/(2*E34))))</x:f>
        <x:v>0.7426205305283714</x:v>
      </x:c>
    </x:row>
    <x:row r="35">
      <x:c r="A35" s="191" t="n">
        <x:v>0.85</x:v>
      </x:c>
      <x:c r="B35" s="197" t="n">
        <x:f>MAX(0,A35-'08_Bet_Calculator'!$B$24*'08_Bet_Calculator'!$B$8)</x:f>
        <x:v>0.818</x:v>
      </x:c>
      <x:c r="C35" s="197" t="n">
        <x:f>'08_Bet_Calculator'!$B$20</x:f>
        <x:v>0.01</x:v>
      </x:c>
      <x:c r="D35" s="197" t="n">
        <x:f>'08_Bet_Calculator'!$B$19</x:f>
        <x:v>0.002</x:v>
      </x:c>
      <x:c r="E35" s="197" t="n">
        <x:f>'08_Bet_Calculator'!$B$18</x:f>
        <x:v>0.07</x:v>
      </x:c>
      <x:c r="F35" s="197" t="n">
        <x:f>MAX(0,MIN(0.999,IF(E35=0,MAX(0,B35-C35-D35),((1+E35)-SQRT(MAX(0,(1+E35)^2-4*E35*MAX(0,B35-C35-D35))))/(2*E35))))</x:f>
        <x:v>0.7945741761685783</x:v>
      </x:c>
    </x:row>
    <x:row r="36">
      <x:c r="A36" s="191" t="n">
        <x:v>0.9</x:v>
      </x:c>
      <x:c r="B36" s="197" t="n">
        <x:f>MAX(0,A36-'08_Bet_Calculator'!$B$24*'08_Bet_Calculator'!$B$8)</x:f>
        <x:v>0.868</x:v>
      </x:c>
      <x:c r="C36" s="197" t="n">
        <x:f>'08_Bet_Calculator'!$B$20</x:f>
        <x:v>0.01</x:v>
      </x:c>
      <x:c r="D36" s="197" t="n">
        <x:f>'08_Bet_Calculator'!$B$19</x:f>
        <x:v>0.002</x:v>
      </x:c>
      <x:c r="E36" s="197" t="n">
        <x:f>'08_Bet_Calculator'!$B$18</x:f>
        <x:v>0.07</x:v>
      </x:c>
      <x:c r="F36" s="197" t="n">
        <x:f>MAX(0,MIN(0.999,IF(E36=0,MAX(0,B36-C36-D36),((1+E36)-SQRT(MAX(0,(1+E36)^2-4*E36*MAX(0,B36-C36-D36))))/(2*E36))))</x:f>
        <x:v>0.8469249862246904</x:v>
      </x:c>
    </x:row>
    <x:row r="37">
      <x:c r="A37" s="191" t="n">
        <x:v>0.95</x:v>
      </x:c>
      <x:c r="B37" s="197" t="n">
        <x:f>MAX(0,A37-'08_Bet_Calculator'!$B$24*'08_Bet_Calculator'!$B$8)</x:f>
        <x:v>0.9179999999999999</x:v>
      </x:c>
      <x:c r="C37" s="197" t="n">
        <x:f>'08_Bet_Calculator'!$B$20</x:f>
        <x:v>0.01</x:v>
      </x:c>
      <x:c r="D37" s="197" t="n">
        <x:f>'08_Bet_Calculator'!$B$19</x:f>
        <x:v>0.002</x:v>
      </x:c>
      <x:c r="E37" s="197" t="n">
        <x:f>'08_Bet_Calculator'!$B$18</x:f>
        <x:v>0.07</x:v>
      </x:c>
      <x:c r="F37" s="197" t="n">
        <x:f>MAX(0,MIN(0.999,IF(E37=0,MAX(0,B37-C37-D37),((1+E37)-SQRT(MAX(0,(1+E37)^2-4*E37*MAX(0,B37-C37-D37))))/(2*E37))))</x:f>
        <x:v>0.8996822108784909</x:v>
      </x:c>
    </x:row>
  </x:sheetData>
  <x:mergeCells>
    <x:mergeCell ref="A1:N2"/>
    <x:mergeCell ref="A27:H27"/>
    <x:mergeCell ref="H28:N32"/>
  </x:mergeCells>
  <x:conditionalFormatting sqref="I5:N23">
    <x:cfRule type="colorScale" priority="1">
      <x:colorScale>
        <x:cfvo type="min"/>
        <x:cfvo type="percentile" val="50"/>
        <x:cfvo type="max"/>
        <x:color rgb="FFFFFFFF"/>
        <x:color rgb="FFFFF2CC"/>
        <x:color rgb="FFC6E0B4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45" hidden="0" customWidth="1"/>
    <x:col min="4" max="4" width="43" hidden="0" customWidth="1"/>
    <x:col min="5" max="5" width="55" hidden="0" customWidth="1"/>
    <x:col min="6" max="6" width="22" hidden="0" customWidth="1"/>
  </x:cols>
  <x:sheetData>
    <x:row r="1">
      <x:c r="A1" s="143" t="str">
        <x:v>5分钟事件状态：Price to Beat × 剩余时间 × 波动率</x:v>
      </x:c>
      <x:c r="B1" s="143"/>
      <x:c r="C1" s="143"/>
      <x:c r="D1" s="143"/>
      <x:c r="E1" s="143"/>
      <x:c r="F1" s="143"/>
      <x:c r="G1" s="143"/>
      <x:c r="H1" s="143"/>
    </x:row>
    <x:row r="2">
      <x:c r="A2" s="143"/>
      <x:c r="B2" s="143"/>
      <x:c r="C2" s="143"/>
      <x:c r="D2" s="143"/>
      <x:c r="E2" s="143"/>
      <x:c r="F2" s="143"/>
      <x:c r="G2" s="143"/>
      <x:c r="H2" s="143"/>
    </x:row>
    <x:row r="3">
      <x:c r="A3" s="217" t="str">
        <x:v>这是 binary barrier-style benchmark：用当前 Chainlink 价格距 Price to Beat 的标准化距离估计一个 price-only 胜率，再与 TS/博弈模型和市场概率组合。</x:v>
      </x:c>
      <x:c r="B3" s="217"/>
      <x:c r="C3" s="217"/>
      <x:c r="D3" s="217"/>
      <x:c r="E3" s="217"/>
      <x:c r="F3" s="217"/>
      <x:c r="G3" s="217"/>
      <x:c r="H3" s="217"/>
    </x:row>
    <x:row r="5">
      <x:c r="A5" s="155" t="str">
        <x:v>Inputs</x:v>
      </x:c>
      <x:c r="B5" s="155"/>
      <x:c r="C5" s="155"/>
      <x:c r="E5" s="155" t="str">
        <x:v>Derived State</x:v>
      </x:c>
      <x:c r="F5" s="155"/>
    </x:row>
    <x:row r="6">
      <x:c r="A6" s="185" t="str">
        <x:v>Price to Beat (Chainlink start)</x:v>
      </x:c>
      <x:c r="B6" s="189" t="n">
        <x:v>65000</x:v>
      </x:c>
      <x:c r="C6" s="110" t="str">
        <x:v>Polymarket market page / price-to-beat</x:v>
      </x:c>
      <x:c r="E6" s="185" t="str">
        <x:v>Gap to Beat (bps)</x:v>
      </x:c>
      <x:c r="F6" s="218" t="n">
        <x:f>LN(B7/B6)*10000</x:f>
        <x:v>3.0764498012220627</x:v>
      </x:c>
    </x:row>
    <x:row r="7">
      <x:c r="A7" s="185" t="str">
        <x:v>Current Chainlink BTC/USD</x:v>
      </x:c>
      <x:c r="B7" s="189" t="n">
        <x:v>65020</x:v>
      </x:c>
      <x:c r="C7" s="110" t="str">
        <x:v>Polymarket RTDS Chainlink</x:v>
      </x:c>
      <x:c r="E7" s="185" t="str">
        <x:v>Remaining Sigma (bps)</x:v>
      </x:c>
      <x:c r="F7" s="218" t="n">
        <x:f>MAX(0.01,B10*SQRT(MAX(1,B9)/60))</x:f>
        <x:v>9.797958971132712</x:v>
      </x:c>
    </x:row>
    <x:row r="8">
      <x:c r="A8" s="185" t="str">
        <x:v>Current Binance BTCUSDT</x:v>
      </x:c>
      <x:c r="B8" s="189" t="n">
        <x:v>65018</x:v>
      </x:c>
      <x:c r="C8" s="110" t="str">
        <x:v>Polymarket RTDS Binance / direct venue</x:v>
      </x:c>
      <x:c r="E8" s="185" t="str">
        <x:v>Price-State z</x:v>
      </x:c>
      <x:c r="F8" s="218" t="n">
        <x:f>(F6+B11)/F7</x:f>
        <x:v>0.4160509156276654</x:v>
      </x:c>
    </x:row>
    <x:row r="9">
      <x:c r="A9" s="185" t="str">
        <x:v>Remaining Seconds</x:v>
      </x:c>
      <x:c r="B9" s="189" t="n">
        <x:v>90</x:v>
      </x:c>
      <x:c r="C9" s="110" t="str">
        <x:v>Event clock</x:v>
      </x:c>
      <x:c r="E9" s="185" t="str">
        <x:v>Price-only P(Up) approx</x:v>
      </x:c>
      <x:c r="F9" s="197" t="n">
        <x:f>1/(1+EXP(-1.702*F8))</x:f>
        <x:v>0.6699853188990436</x:v>
      </x:c>
    </x:row>
    <x:row r="10">
      <x:c r="A10" s="185" t="str">
        <x:v>1-min Realized Vol (bps)</x:v>
      </x:c>
      <x:c r="B10" s="189" t="n">
        <x:v>8</x:v>
      </x:c>
      <x:c r="C10" s="110" t="str">
        <x:v>Recent BTC log-return volatility</x:v>
      </x:c>
      <x:c r="E10" s="185" t="str">
        <x:v>Chainlink-Binance Basis (bps)</x:v>
      </x:c>
      <x:c r="F10" s="218" t="n">
        <x:f>LN(B7/B8)*10000</x:f>
        <x:v>0.30760239317130733</x:v>
      </x:c>
    </x:row>
    <x:row r="11">
      <x:c r="A11" s="185" t="str">
        <x:v>Expected Remaining Drift (bps)</x:v>
      </x:c>
      <x:c r="B11" s="189" t="n">
        <x:v>1</x:v>
      </x:c>
      <x:c r="C11" s="110" t="str">
        <x:v>Model alpha over remaining horizon</x:v>
      </x:c>
      <x:c r="E11" s="185" t="str">
        <x:v>Blend P(Up) Raw</x:v>
      </x:c>
      <x:c r="F11" s="197" t="n">
        <x:f>IFERROR((B15*F9+B16*B12+B17*B13)/(B15+B16+B17),0.5)</x:f>
        <x:v>0.637991925394474</x:v>
      </x:c>
    </x:row>
    <x:row r="12">
      <x:c r="A12" s="185" t="str">
        <x:v>Independent TS/Game P(Up)</x:v>
      </x:c>
      <x:c r="B12" s="191" t="n">
        <x:v>0.61</x:v>
      </x:c>
      <x:c r="C12" s="110" t="str">
        <x:v>Your calibrated model</x:v>
      </x:c>
      <x:c r="E12" s="185" t="str">
        <x:v>Reliability-adjusted P(Up)</x:v>
      </x:c>
      <x:c r="F12" s="197" t="n">
        <x:f>0.5+B14*(F11-0.5)</x:f>
        <x:v>0.6172931365853029</x:v>
      </x:c>
    </x:row>
    <x:row r="13">
      <x:c r="A13" s="185" t="str">
        <x:v>Polymarket Up Mid/Consensus</x:v>
      </x:c>
      <x:c r="B13" s="191" t="n">
        <x:v>0.56</x:v>
      </x:c>
      <x:c r="C13" s="110" t="str">
        <x:v>Regularizer only; use ask in execution calculator</x:v>
      </x:c>
      <x:c r="E13" s="185" t="str">
        <x:v>Model vs Market Edge</x:v>
      </x:c>
      <x:c r="F13" s="197" t="n">
        <x:f>F12-B13</x:f>
        <x:v>0.057293136585302884</x:v>
      </x:c>
    </x:row>
    <x:row r="14">
      <x:c r="A14" s="185" t="str">
        <x:v>Model Reliability Shrink</x:v>
      </x:c>
      <x:c r="B14" s="191" t="n">
        <x:v>0.85</x:v>
      </x:c>
      <x:c r="C14" s="110" t="str">
        <x:v>0-1; shrink toward 50% if calibration weak</x:v>
      </x:c>
      <x:c r="E14" s="185" t="str">
        <x:v>State Classification</x:v>
      </x:c>
      <x:c r="F14" s="196" t="str">
        <x:f>IF(ABS(F8)&gt;=2,"VERY STRONG",IF(ABS(F8)&gt;=1,"STRONG",IF(ABS(F8)&gt;=0.5,"MODEST","TOSS-UP")))</x:f>
        <x:v>TOSS-UP</x:v>
      </x:c>
    </x:row>
    <x:row r="15">
      <x:c r="A15" s="185" t="str">
        <x:v>Weight: Price State</x:v>
      </x:c>
      <x:c r="B15" s="191" t="n">
        <x:v>0.55</x:v>
      </x:c>
      <x:c r="C15" s="110" t="str">
        <x:v>Blend weight</x:v>
      </x:c>
      <x:c r="E15" s="185" t="str">
        <x:v>Execution Risk Flag</x:v>
      </x:c>
      <x:c r="F15" s="196" t="str">
        <x:f>IF(OR(B9&lt;10,ABS(F10)&gt;5),"HIGH",IF(OR(B9&lt;20,ABS(F10)&gt;3),"MEDIUM","NORMAL"))</x:f>
        <x:v>NORMAL</x:v>
      </x:c>
    </x:row>
    <x:row r="16">
      <x:c r="A16" s="185" t="str">
        <x:v>Weight: TS/Game</x:v>
      </x:c>
      <x:c r="B16" s="191" t="n">
        <x:v>0.35</x:v>
      </x:c>
      <x:c r="C16" s="110" t="str">
        <x:v>Blend weight</x:v>
      </x:c>
    </x:row>
    <x:row r="17">
      <x:c r="A17" s="185" t="str">
        <x:v>Weight: Market Prior</x:v>
      </x:c>
      <x:c r="B17" s="191" t="n">
        <x:v>0.1</x:v>
      </x:c>
      <x:c r="C17" s="110" t="str">
        <x:v>Blend weight</x:v>
      </x:c>
      <x:c r="E17" s="155" t="str">
        <x:v>Suggested workflow</x:v>
      </x:c>
      <x:c r="F17" s="155"/>
      <x:c r="G17" s="155"/>
      <x:c r="H17" s="155"/>
    </x:row>
    <x:row r="18">
      <x:c r="E18" s="163" t="str">
        <x:v>1) 用 F12 作为 P(Up) 的 sanity-check / regularized estimate；2) 不要直接用它替换你的 calibrated model；3) 当 |z| 很大但 Polymarket ask 也接近 1 时，胜率虽高但赔率可能已经没有 EV；4) 临近最后 10–20 秒，Chainlink/Binance basis、CLOB latency、实际可成交价格的重要性显著上升。</x:v>
      </x:c>
      <x:c r="F18" s="163"/>
      <x:c r="G18" s="163"/>
      <x:c r="H18" s="163"/>
    </x:row>
    <x:row r="19">
      <x:c r="E19" s="163"/>
      <x:c r="F19" s="163"/>
      <x:c r="G19" s="163"/>
      <x:c r="H19" s="163"/>
    </x:row>
    <x:row r="20">
      <x:c r="A20" s="155" t="str">
        <x:v>Time Regime Playbook</x:v>
      </x:c>
      <x:c r="B20" s="155"/>
      <x:c r="C20" s="155"/>
      <x:c r="D20" s="155"/>
      <x:c r="E20" s="168"/>
      <x:c r="F20" s="168"/>
      <x:c r="G20" s="168"/>
      <x:c r="H20" s="168"/>
    </x:row>
    <x:row r="21">
      <x:c r="A21" s="156" t="str">
        <x:v>Remaining</x:v>
      </x:c>
      <x:c r="B21" s="156" t="str">
        <x:v>Regime</x:v>
      </x:c>
      <x:c r="C21" s="156" t="str">
        <x:v>Information Structure</x:v>
      </x:c>
      <x:c r="D21" s="156" t="str">
        <x:v>Execution Bias</x:v>
      </x:c>
      <x:c r="E21" s="156" t="str">
        <x:v>Main Risk</x:v>
      </x:c>
      <x:c r="F21" s="163"/>
      <x:c r="G21" s="163"/>
      <x:c r="H21" s="163"/>
    </x:row>
    <x:row r="22">
      <x:c r="A22" s="110" t="str">
        <x:v>300–180s</x:v>
      </x:c>
      <x:c r="B22" s="110" t="str">
        <x:v>Early</x:v>
      </x:c>
      <x:c r="C22" s="110" t="str">
        <x:v>模型 alpha 权重较高；剩余波动大</x:v>
      </x:c>
      <x:c r="D22" s="110" t="str">
        <x:v>优先 maker / 只做大 edge</x:v>
      </x:c>
      <x:c r="E22" s="110" t="str">
        <x:v>不要因为早期小涨跌就高 conviction</x:v>
      </x:c>
    </x:row>
    <x:row r="23">
      <x:c r="A23" s="110" t="str">
        <x:v>180–60s</x:v>
      </x:c>
      <x:c r="B23" s="110" t="str">
        <x:v>Middle</x:v>
      </x:c>
      <x:c r="C23" s="110" t="str">
        <x:v>通常是赔率与可预测性较平衡的阶段</x:v>
      </x:c>
      <x:c r="D23" s="110" t="str">
        <x:v>maker/taker 比较后执行</x:v>
      </x:c>
      <x:c r="E23" s="110" t="str">
        <x:v>重点看 cross-venue OFI + z-state</x:v>
      </x:c>
    </x:row>
    <x:row r="24">
      <x:c r="A24" s="110" t="str">
        <x:v>60–15s</x:v>
      </x:c>
      <x:c r="B24" s="110" t="str">
        <x:v>Late</x:v>
      </x:c>
      <x:c r="C24" s="110" t="str">
        <x:v>Price-to-Beat 状态开始主导</x:v>
      </x:c>
      <x:c r="D24" s="110" t="str">
        <x:v>若 edge 半衰期短，可接受 taker fee</x:v>
      </x:c>
      <x:c r="E24" s="110" t="str">
        <x:v>必须按实际 ask，不按 midpoint</x:v>
      </x:c>
    </x:row>
    <x:row r="25">
      <x:c r="A25" s="110" t="str">
        <x:v>&lt;15s</x:v>
      </x:c>
      <x:c r="B25" s="110" t="str">
        <x:v>Final race</x:v>
      </x:c>
      <x:c r="C25" s="110" t="str">
        <x:v>execution/latency/basis 风险最大</x:v>
      </x:c>
      <x:c r="D25" s="110" t="str">
        <x:v>只有 stressed edge 仍为正才做</x:v>
      </x:c>
      <x:c r="E25" s="110" t="str">
        <x:v>避免 95–99¢ 的“看似稳赚”追单</x:v>
      </x:c>
    </x:row>
  </x:sheetData>
  <x:mergeCells>
    <x:mergeCell ref="A1:H2"/>
    <x:mergeCell ref="A3:H3"/>
    <x:mergeCell ref="A5:C5"/>
    <x:mergeCell ref="E5:F5"/>
    <x:mergeCell ref="E17:H17"/>
    <x:mergeCell ref="E18:H21"/>
    <x:mergeCell ref="A20:H2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16" hidden="0" customWidth="1"/>
    <x:col min="4" max="4" width="10" hidden="0" customWidth="1"/>
    <x:col min="5" max="5" width="16" hidden="0" customWidth="1"/>
    <x:col min="6" max="6" width="11" hidden="0" customWidth="1"/>
    <x:col min="7" max="7" width="13" hidden="0" customWidth="1"/>
    <x:col min="8" max="8" width="11" hidden="0" customWidth="1"/>
    <x:col min="9" max="9" width="11" hidden="0" customWidth="1"/>
    <x:col min="10" max="10" width="11" hidden="0" customWidth="1"/>
    <x:col min="11" max="11" width="9" hidden="0" customWidth="1"/>
    <x:col min="12" max="12" width="13" hidden="0" customWidth="1"/>
    <x:col min="13" max="13" width="11" hidden="0" customWidth="1"/>
    <x:col min="14" max="14" width="12" hidden="0" customWidth="1"/>
    <x:col min="15" max="15" width="11" hidden="0" customWidth="1"/>
    <x:col min="16" max="16" width="11" hidden="0" customWidth="1"/>
    <x:col min="17" max="17" width="12" hidden="0" customWidth="1"/>
    <x:col min="18" max="18" width="11" hidden="0" customWidth="1"/>
    <x:col min="19" max="19" width="16" hidden="0" customWidth="1"/>
    <x:col min="20" max="20" width="11" hidden="0" customWidth="1"/>
    <x:col min="21" max="21" width="11" hidden="0" customWidth="1"/>
    <x:col min="22" max="22" width="14" hidden="0" customWidth="1"/>
    <x:col min="23" max="23" width="14" hidden="0" customWidth="1"/>
    <x:col min="24" max="24" width="12" hidden="0" customWidth="1"/>
    <x:col min="25" max="25" width="10" hidden="0" customWidth="1"/>
    <x:col min="26" max="26" width="9" hidden="0" customWidth="1"/>
    <x:col min="27" max="27" width="14" hidden="0" customWidth="1"/>
    <x:col min="28" max="28" width="11" hidden="0" customWidth="1"/>
    <x:col min="29" max="29" width="11" hidden="0" customWidth="1"/>
    <x:col min="30" max="30" width="11" hidden="0" customWidth="1"/>
    <x:col min="31" max="31" width="35" hidden="0" customWidth="1"/>
    <x:col min="32" max="32" width="14" hidden="0" customWidth="1"/>
    <x:col min="33" max="33" width="14" hidden="0" customWidth="1"/>
    <x:col min="34" max="34" width="14" hidden="0" customWidth="1"/>
  </x:cols>
  <x:sheetData>
    <x:row r="1">
      <x:c r="A1" s="143" t="str">
        <x:v>Polymarket BTC 5m Backtest / Live Bet Log</x:v>
      </x:c>
      <x:c r="B1" s="143"/>
      <x:c r="C1" s="143"/>
      <x:c r="D1" s="143"/>
      <x:c r="E1" s="143"/>
      <x:c r="F1" s="143"/>
      <x:c r="G1" s="143"/>
      <x:c r="H1" s="143"/>
      <x:c r="I1" s="143"/>
      <x:c r="J1" s="143"/>
      <x:c r="K1" s="143"/>
      <x:c r="L1" s="143"/>
      <x:c r="M1" s="143"/>
      <x:c r="N1" s="143"/>
      <x:c r="O1" s="143"/>
      <x:c r="P1" s="143"/>
      <x:c r="Q1" s="143"/>
      <x:c r="R1" s="143"/>
      <x:c r="S1" s="143"/>
      <x:c r="T1" s="143"/>
      <x:c r="U1" s="143"/>
      <x:c r="V1" s="143"/>
      <x:c r="W1" s="143"/>
      <x:c r="X1" s="143"/>
      <x:c r="Y1" s="143"/>
      <x:c r="Z1" s="143"/>
      <x:c r="AA1" s="143"/>
      <x:c r="AB1" s="143"/>
      <x:c r="AC1" s="143"/>
      <x:c r="AD1" s="143"/>
      <x:c r="AE1" s="143"/>
      <x:c r="AF1" s="143"/>
      <x:c r="AG1" s="143"/>
      <x:c r="AH1" s="143"/>
    </x:row>
    <x:row r="2">
      <x:c r="A2" s="143"/>
      <x:c r="B2" s="143"/>
      <x:c r="C2" s="143"/>
      <x:c r="D2" s="143"/>
      <x:c r="E2" s="143"/>
      <x:c r="F2" s="143"/>
      <x:c r="G2" s="143"/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  <x:c r="T2" s="143"/>
      <x:c r="U2" s="143"/>
      <x:c r="V2" s="143"/>
      <x:c r="W2" s="143"/>
      <x:c r="X2" s="143"/>
      <x:c r="Y2" s="143"/>
      <x:c r="Z2" s="143"/>
      <x:c r="AA2" s="143"/>
      <x:c r="AB2" s="143"/>
      <x:c r="AC2" s="143"/>
      <x:c r="AD2" s="143"/>
      <x:c r="AE2" s="143"/>
      <x:c r="AF2" s="143"/>
      <x:c r="AG2" s="143"/>
      <x:c r="AH2" s="143"/>
    </x:row>
    <x:row r="3">
      <x:c r="A3" s="156" t="str">
        <x:v># Bets</x:v>
      </x:c>
      <x:c r="B3" s="156" t="str">
        <x:v>Win Rate</x:v>
      </x:c>
      <x:c r="C3" s="156" t="str">
        <x:v>Total Bet</x:v>
      </x:c>
      <x:c r="D3" s="156" t="str">
        <x:v>Total PnL</x:v>
      </x:c>
      <x:c r="E3" s="156" t="str">
        <x:v>ROI</x:v>
      </x:c>
      <x:c r="F3" s="156" t="str">
        <x:v>Avg Brier</x:v>
      </x:c>
      <x:c r="G3" s="156" t="str">
        <x:v>Avg Conservative Edge</x:v>
      </x:c>
      <x:c r="H3" s="156" t="str">
        <x:v>Max Drawdown</x:v>
      </x:c>
    </x:row>
    <x:row r="4">
      <x:c r="A4" s="211" t="n">
        <x:f>COUNTIF(W6:W205,"&gt;0")</x:f>
        <x:v>0</x:v>
      </x:c>
      <x:c r="B4" s="197" t="n">
        <x:f>IFERROR(AVERAGEIF(Z6:Z205,"&gt;=0",Z6:Z205),0)</x:f>
        <x:v>0</x:v>
      </x:c>
      <x:c r="C4" s="200" t="n">
        <x:f>SUM(W6:W205)</x:f>
        <x:v>0</x:v>
      </x:c>
      <x:c r="D4" s="200" t="n">
        <x:f>SUM(AA6:AA205)</x:f>
        <x:v>0</x:v>
      </x:c>
      <x:c r="E4" s="197" t="n">
        <x:f>IFERROR(D4/C4,0)</x:f>
        <x:v>0</x:v>
      </x:c>
      <x:c r="F4" s="197" t="n">
        <x:f>IFERROR(AVERAGE(AC6:AC205),0)</x:f>
        <x:v>0</x:v>
      </x:c>
      <x:c r="G4" s="197" t="n">
        <x:f>IFERROR(AVERAGE(S6:S205),0)</x:f>
        <x:v>0</x:v>
      </x:c>
      <x:c r="H4" s="200" t="n">
        <x:f>MIN(AH6:AH205)</x:f>
        <x:v>0</x:v>
      </x:c>
    </x:row>
    <x:row r="5">
      <x:c r="A5" s="156" t="str">
        <x:v>Timestamp</x:v>
      </x:c>
      <x:c r="B5" s="156" t="str">
        <x:v>Event / Slug</x:v>
      </x:c>
      <x:c r="C5" s="156" t="str">
        <x:v>Price to Beat</x:v>
      </x:c>
      <x:c r="D5" s="156" t="str">
        <x:v>Rem Sec</x:v>
      </x:c>
      <x:c r="E5" s="156" t="str">
        <x:v>Chainlink @ Entry</x:v>
      </x:c>
      <x:c r="F5" s="156" t="str">
        <x:v>Gap bps</x:v>
      </x:c>
      <x:c r="G5" s="156" t="str">
        <x:v>Model P(Up)</x:v>
      </x:c>
      <x:c r="H5" s="156" t="str">
        <x:v>Model SE</x:v>
      </x:c>
      <x:c r="I5" s="156" t="str">
        <x:v>Up Ask</x:v>
      </x:c>
      <x:c r="J5" s="156" t="str">
        <x:v>Down Ask</x:v>
      </x:c>
      <x:c r="K5" s="156" t="str">
        <x:v>Side</x:v>
      </x:c>
      <x:c r="L5" s="156" t="str">
        <x:v>Model P(Side)</x:v>
      </x:c>
      <x:c r="M5" s="156" t="str">
        <x:v>Entry p</x:v>
      </x:c>
      <x:c r="N5" s="156" t="str">
        <x:v>Order Type</x:v>
      </x:c>
      <x:c r="O5" s="156" t="str">
        <x:v>Fee/Share</x:v>
      </x:c>
      <x:c r="P5" s="156" t="str">
        <x:v>Slip/Share</x:v>
      </x:c>
      <x:c r="Q5" s="156" t="str">
        <x:v>All-in Cost</x:v>
      </x:c>
      <x:c r="R5" s="156" t="str">
        <x:v>Raw Edge</x:v>
      </x:c>
      <x:c r="S5" s="156" t="str">
        <x:v>Conservative Edge</x:v>
      </x:c>
      <x:c r="T5" s="156" t="str">
        <x:v>Full Kelly</x:v>
      </x:c>
      <x:c r="U5" s="156" t="str">
        <x:v>Frac Kelly</x:v>
      </x:c>
      <x:c r="V5" s="156" t="str">
        <x:v>Bankroll</x:v>
      </x:c>
      <x:c r="W5" s="156" t="str">
        <x:v>Bet USDC</x:v>
      </x:c>
      <x:c r="X5" s="156" t="str">
        <x:v>Shares</x:v>
      </x:c>
      <x:c r="Y5" s="156" t="str">
        <x:v>Outcome</x:v>
      </x:c>
      <x:c r="Z5" s="156" t="str">
        <x:v>Win Flag</x:v>
      </x:c>
      <x:c r="AA5" s="156" t="str">
        <x:v>PnL</x:v>
      </x:c>
      <x:c r="AB5" s="156" t="str">
        <x:v>ROI</x:v>
      </x:c>
      <x:c r="AC5" s="156" t="str">
        <x:v>Brier</x:v>
      </x:c>
      <x:c r="AD5" s="156" t="str">
        <x:v>Log Loss</x:v>
      </x:c>
      <x:c r="AE5" s="156" t="str">
        <x:v>Notes</x:v>
      </x:c>
      <x:c r="AF5" s="156" t="str">
        <x:v>Cum PnL</x:v>
      </x:c>
      <x:c r="AG5" s="156" t="str">
        <x:v>Running Peak</x:v>
      </x:c>
      <x:c r="AH5" s="156" t="str">
        <x:v>Drawdown</x:v>
      </x:c>
    </x:row>
    <x:row r="6">
      <x:c r="A6" s="189"/>
      <x:c r="B6" s="189"/>
      <x:c r="C6" s="221"/>
      <x:c r="D6" s="189"/>
      <x:c r="E6" s="221"/>
      <x:c r="F6" s="218" t="str">
        <x:f>IFERROR(LN(E6/C6)*10000,"")</x:f>
      </x:c>
      <x:c r="G6" s="191"/>
      <x:c r="H6" s="191"/>
      <x:c r="I6" s="191"/>
      <x:c r="J6" s="191"/>
      <x:c r="K6" s="189"/>
      <x:c r="L6" s="197" t="str">
        <x:f>IF(K6="Up",G6,IF(K6="Down",1-G6,""))</x:f>
      </x:c>
      <x:c r="M6" s="198" t="str">
        <x:f>IF(K6="Up",I6,IF(K6="Down",J6,""))</x:f>
      </x:c>
      <x:c r="N6" s="192"/>
      <x:c r="O6" s="198" t="n">
        <x:f>IF(N6="Taker",M6*'08_Bet_Calculator'!$B$18*(1-M6),0)</x:f>
        <x:v>0</x:v>
      </x:c>
      <x:c r="P6" s="192"/>
      <x:c r="Q6" s="198" t="str">
        <x:f>IF(M6="","",MIN(0.999,M6+O6+P6))</x:f>
      </x:c>
      <x:c r="R6" s="197" t="str">
        <x:f>IF(L6="","",L6-Q6)</x:f>
      </x:c>
      <x:c r="S6" s="197" t="str">
        <x:f>IF(L6="","",L6-'08_Bet_Calculator'!$B$24*H6-Q6-'08_Bet_Calculator'!$B$20)</x:f>
      </x:c>
      <x:c r="T6" s="197" t="n">
        <x:f>IF(OR(L6="",Q6&gt;=1),0,MAX(0,(MAX(0,L6-'08_Bet_Calculator'!$B$24*H6)-Q6)/(1-Q6)))</x:f>
        <x:v>0</x:v>
      </x:c>
      <x:c r="U6" s="197" t="n">
        <x:f>T6*'08_Bet_Calculator'!$B$21</x:f>
        <x:v>0</x:v>
      </x:c>
      <x:c r="V6" s="221"/>
      <x:c r="W6" s="200" t="n">
        <x:f>IF(OR(V6="",S6&lt;=0),0,MIN(V6*U6,V6*'08_Bet_Calculator'!$B$22,'08_Bet_Calculator'!$B$23))</x:f>
        <x:v>0</x:v>
      </x:c>
      <x:c r="X6" s="222" t="n">
        <x:f>IFERROR(W6/Q6,0)</x:f>
        <x:v>0</x:v>
      </x:c>
      <x:c r="Y6" s="189"/>
      <x:c r="Z6" s="196" t="str">
        <x:f>IF(OR(Y6="",K6=""),"",IF(Y6=K6,1,0))</x:f>
      </x:c>
      <x:c r="AA6" s="200" t="str">
        <x:f>IF(Z6="","",X6*(Z6-Q6))</x:f>
      </x:c>
      <x:c r="AB6" s="197" t="str">
        <x:f>IFERROR(AA6/W6,"")</x:f>
      </x:c>
      <x:c r="AC6" s="197" t="str">
        <x:f>IF(Z6="","",(L6-Z6)^2)</x:f>
      </x:c>
      <x:c r="AD6" s="198" t="str">
        <x:f>IF(Z6="","",-(Z6*LN(MAX(0.0001,L6))+(1-Z6)*LN(MAX(0.0001,1-L6))))</x:f>
      </x:c>
      <x:c r="AE6" s="189"/>
      <x:c r="AF6" s="200" t="n">
        <x:f>IF(AA6="",0,AA6)</x:f>
        <x:v>0</x:v>
      </x:c>
      <x:c r="AG6" s="200" t="n">
        <x:f>MAX(0,AF6)</x:f>
        <x:v>0</x:v>
      </x:c>
      <x:c r="AH6" s="200" t="n">
        <x:f>AF6-AG6</x:f>
        <x:v>0</x:v>
      </x:c>
    </x:row>
    <x:row r="7">
      <x:c r="A7" s="189"/>
      <x:c r="B7" s="189"/>
      <x:c r="C7" s="221"/>
      <x:c r="D7" s="189"/>
      <x:c r="E7" s="221"/>
      <x:c r="F7" s="218" t="str">
        <x:f>IFERROR(LN(E7/C7)*10000,"")</x:f>
      </x:c>
      <x:c r="G7" s="191"/>
      <x:c r="H7" s="191"/>
      <x:c r="I7" s="191"/>
      <x:c r="J7" s="191"/>
      <x:c r="K7" s="189"/>
      <x:c r="L7" s="197" t="str">
        <x:f>IF(K7="Up",G7,IF(K7="Down",1-G7,""))</x:f>
      </x:c>
      <x:c r="M7" s="198" t="str">
        <x:f>IF(K7="Up",I7,IF(K7="Down",J7,""))</x:f>
      </x:c>
      <x:c r="N7" s="192"/>
      <x:c r="O7" s="198" t="n">
        <x:f>IF(N7="Taker",M7*'08_Bet_Calculator'!$B$18*(1-M7),0)</x:f>
        <x:v>0</x:v>
      </x:c>
      <x:c r="P7" s="192"/>
      <x:c r="Q7" s="198" t="str">
        <x:f>IF(M7="","",MIN(0.999,M7+O7+P7))</x:f>
      </x:c>
      <x:c r="R7" s="197" t="str">
        <x:f>IF(L7="","",L7-Q7)</x:f>
      </x:c>
      <x:c r="S7" s="197" t="str">
        <x:f>IF(L7="","",L7-'08_Bet_Calculator'!$B$24*H7-Q7-'08_Bet_Calculator'!$B$20)</x:f>
      </x:c>
      <x:c r="T7" s="197" t="n">
        <x:f>IF(OR(L7="",Q7&gt;=1),0,MAX(0,(MAX(0,L7-'08_Bet_Calculator'!$B$24*H7)-Q7)/(1-Q7)))</x:f>
        <x:v>0</x:v>
      </x:c>
      <x:c r="U7" s="197" t="n">
        <x:f>T7*'08_Bet_Calculator'!$B$21</x:f>
        <x:v>0</x:v>
      </x:c>
      <x:c r="V7" s="221"/>
      <x:c r="W7" s="200" t="n">
        <x:f>IF(OR(V7="",S7&lt;=0),0,MIN(V7*U7,V7*'08_Bet_Calculator'!$B$22,'08_Bet_Calculator'!$B$23))</x:f>
        <x:v>0</x:v>
      </x:c>
      <x:c r="X7" s="222" t="n">
        <x:f>IFERROR(W7/Q7,0)</x:f>
        <x:v>0</x:v>
      </x:c>
      <x:c r="Y7" s="189"/>
      <x:c r="Z7" s="196" t="str">
        <x:f>IF(OR(Y7="",K7=""),"",IF(Y7=K7,1,0))</x:f>
      </x:c>
      <x:c r="AA7" s="200" t="str">
        <x:f>IF(Z7="","",X7*(Z7-Q7))</x:f>
      </x:c>
      <x:c r="AB7" s="197" t="str">
        <x:f>IFERROR(AA7/W7,"")</x:f>
      </x:c>
      <x:c r="AC7" s="197" t="str">
        <x:f>IF(Z7="","",(L7-Z7)^2)</x:f>
      </x:c>
      <x:c r="AD7" s="198" t="str">
        <x:f>IF(Z7="","",-(Z7*LN(MAX(0.0001,L7))+(1-Z7)*LN(MAX(0.0001,1-L7))))</x:f>
      </x:c>
      <x:c r="AE7" s="189"/>
      <x:c r="AF7" s="200" t="n">
        <x:f>AF6+IF(AA7="",0,AA7)</x:f>
        <x:v>0</x:v>
      </x:c>
      <x:c r="AG7" s="200" t="n">
        <x:f>MAX(AG6,AF7)</x:f>
        <x:v>0</x:v>
      </x:c>
      <x:c r="AH7" s="200" t="n">
        <x:f>AF7-AG7</x:f>
        <x:v>0</x:v>
      </x:c>
    </x:row>
    <x:row r="8">
      <x:c r="A8" s="189"/>
      <x:c r="B8" s="189"/>
      <x:c r="C8" s="221"/>
      <x:c r="D8" s="189"/>
      <x:c r="E8" s="221"/>
      <x:c r="F8" s="218" t="str">
        <x:f>IFERROR(LN(E8/C8)*10000,"")</x:f>
      </x:c>
      <x:c r="G8" s="191"/>
      <x:c r="H8" s="191"/>
      <x:c r="I8" s="191"/>
      <x:c r="J8" s="191"/>
      <x:c r="K8" s="189"/>
      <x:c r="L8" s="197" t="str">
        <x:f>IF(K8="Up",G8,IF(K8="Down",1-G8,""))</x:f>
      </x:c>
      <x:c r="M8" s="198" t="str">
        <x:f>IF(K8="Up",I8,IF(K8="Down",J8,""))</x:f>
      </x:c>
      <x:c r="N8" s="192"/>
      <x:c r="O8" s="198" t="n">
        <x:f>IF(N8="Taker",M8*'08_Bet_Calculator'!$B$18*(1-M8),0)</x:f>
        <x:v>0</x:v>
      </x:c>
      <x:c r="P8" s="192"/>
      <x:c r="Q8" s="198" t="str">
        <x:f>IF(M8="","",MIN(0.999,M8+O8+P8))</x:f>
      </x:c>
      <x:c r="R8" s="197" t="str">
        <x:f>IF(L8="","",L8-Q8)</x:f>
      </x:c>
      <x:c r="S8" s="197" t="str">
        <x:f>IF(L8="","",L8-'08_Bet_Calculator'!$B$24*H8-Q8-'08_Bet_Calculator'!$B$20)</x:f>
      </x:c>
      <x:c r="T8" s="197" t="n">
        <x:f>IF(OR(L8="",Q8&gt;=1),0,MAX(0,(MAX(0,L8-'08_Bet_Calculator'!$B$24*H8)-Q8)/(1-Q8)))</x:f>
        <x:v>0</x:v>
      </x:c>
      <x:c r="U8" s="197" t="n">
        <x:f>T8*'08_Bet_Calculator'!$B$21</x:f>
        <x:v>0</x:v>
      </x:c>
      <x:c r="V8" s="221"/>
      <x:c r="W8" s="200" t="n">
        <x:f>IF(OR(V8="",S8&lt;=0),0,MIN(V8*U8,V8*'08_Bet_Calculator'!$B$22,'08_Bet_Calculator'!$B$23))</x:f>
        <x:v>0</x:v>
      </x:c>
      <x:c r="X8" s="222" t="n">
        <x:f>IFERROR(W8/Q8,0)</x:f>
        <x:v>0</x:v>
      </x:c>
      <x:c r="Y8" s="189"/>
      <x:c r="Z8" s="196" t="str">
        <x:f>IF(OR(Y8="",K8=""),"",IF(Y8=K8,1,0))</x:f>
      </x:c>
      <x:c r="AA8" s="200" t="str">
        <x:f>IF(Z8="","",X8*(Z8-Q8))</x:f>
      </x:c>
      <x:c r="AB8" s="197" t="str">
        <x:f>IFERROR(AA8/W8,"")</x:f>
      </x:c>
      <x:c r="AC8" s="197" t="str">
        <x:f>IF(Z8="","",(L8-Z8)^2)</x:f>
      </x:c>
      <x:c r="AD8" s="198" t="str">
        <x:f>IF(Z8="","",-(Z8*LN(MAX(0.0001,L8))+(1-Z8)*LN(MAX(0.0001,1-L8))))</x:f>
      </x:c>
      <x:c r="AE8" s="189"/>
      <x:c r="AF8" s="200" t="n">
        <x:f>AF7+IF(AA8="",0,AA8)</x:f>
        <x:v>0</x:v>
      </x:c>
      <x:c r="AG8" s="200" t="n">
        <x:f>MAX(AG7,AF8)</x:f>
        <x:v>0</x:v>
      </x:c>
      <x:c r="AH8" s="200" t="n">
        <x:f>AF8-AG8</x:f>
        <x:v>0</x:v>
      </x:c>
    </x:row>
    <x:row r="9">
      <x:c r="A9" s="189"/>
      <x:c r="B9" s="189"/>
      <x:c r="C9" s="221"/>
      <x:c r="D9" s="189"/>
      <x:c r="E9" s="221"/>
      <x:c r="F9" s="218" t="str">
        <x:f>IFERROR(LN(E9/C9)*10000,"")</x:f>
      </x:c>
      <x:c r="G9" s="191"/>
      <x:c r="H9" s="191"/>
      <x:c r="I9" s="191"/>
      <x:c r="J9" s="191"/>
      <x:c r="K9" s="189"/>
      <x:c r="L9" s="197" t="str">
        <x:f>IF(K9="Up",G9,IF(K9="Down",1-G9,""))</x:f>
      </x:c>
      <x:c r="M9" s="198" t="str">
        <x:f>IF(K9="Up",I9,IF(K9="Down",J9,""))</x:f>
      </x:c>
      <x:c r="N9" s="192"/>
      <x:c r="O9" s="198" t="n">
        <x:f>IF(N9="Taker",M9*'08_Bet_Calculator'!$B$18*(1-M9),0)</x:f>
        <x:v>0</x:v>
      </x:c>
      <x:c r="P9" s="192"/>
      <x:c r="Q9" s="198" t="str">
        <x:f>IF(M9="","",MIN(0.999,M9+O9+P9))</x:f>
      </x:c>
      <x:c r="R9" s="197" t="str">
        <x:f>IF(L9="","",L9-Q9)</x:f>
      </x:c>
      <x:c r="S9" s="197" t="str">
        <x:f>IF(L9="","",L9-'08_Bet_Calculator'!$B$24*H9-Q9-'08_Bet_Calculator'!$B$20)</x:f>
      </x:c>
      <x:c r="T9" s="197" t="n">
        <x:f>IF(OR(L9="",Q9&gt;=1),0,MAX(0,(MAX(0,L9-'08_Bet_Calculator'!$B$24*H9)-Q9)/(1-Q9)))</x:f>
        <x:v>0</x:v>
      </x:c>
      <x:c r="U9" s="197" t="n">
        <x:f>T9*'08_Bet_Calculator'!$B$21</x:f>
        <x:v>0</x:v>
      </x:c>
      <x:c r="V9" s="221"/>
      <x:c r="W9" s="200" t="n">
        <x:f>IF(OR(V9="",S9&lt;=0),0,MIN(V9*U9,V9*'08_Bet_Calculator'!$B$22,'08_Bet_Calculator'!$B$23))</x:f>
        <x:v>0</x:v>
      </x:c>
      <x:c r="X9" s="222" t="n">
        <x:f>IFERROR(W9/Q9,0)</x:f>
        <x:v>0</x:v>
      </x:c>
      <x:c r="Y9" s="189"/>
      <x:c r="Z9" s="196" t="str">
        <x:f>IF(OR(Y9="",K9=""),"",IF(Y9=K9,1,0))</x:f>
      </x:c>
      <x:c r="AA9" s="200" t="str">
        <x:f>IF(Z9="","",X9*(Z9-Q9))</x:f>
      </x:c>
      <x:c r="AB9" s="197" t="str">
        <x:f>IFERROR(AA9/W9,"")</x:f>
      </x:c>
      <x:c r="AC9" s="197" t="str">
        <x:f>IF(Z9="","",(L9-Z9)^2)</x:f>
      </x:c>
      <x:c r="AD9" s="198" t="str">
        <x:f>IF(Z9="","",-(Z9*LN(MAX(0.0001,L9))+(1-Z9)*LN(MAX(0.0001,1-L9))))</x:f>
      </x:c>
      <x:c r="AE9" s="189"/>
      <x:c r="AF9" s="200" t="n">
        <x:f>AF8+IF(AA9="",0,AA9)</x:f>
        <x:v>0</x:v>
      </x:c>
      <x:c r="AG9" s="200" t="n">
        <x:f>MAX(AG8,AF9)</x:f>
        <x:v>0</x:v>
      </x:c>
      <x:c r="AH9" s="200" t="n">
        <x:f>AF9-AG9</x:f>
        <x:v>0</x:v>
      </x:c>
    </x:row>
    <x:row r="10">
      <x:c r="A10" s="189"/>
      <x:c r="B10" s="189"/>
      <x:c r="C10" s="221"/>
      <x:c r="D10" s="189"/>
      <x:c r="E10" s="221"/>
      <x:c r="F10" s="218" t="str">
        <x:f>IFERROR(LN(E10/C10)*10000,"")</x:f>
      </x:c>
      <x:c r="G10" s="191"/>
      <x:c r="H10" s="191"/>
      <x:c r="I10" s="191"/>
      <x:c r="J10" s="191"/>
      <x:c r="K10" s="189"/>
      <x:c r="L10" s="197" t="str">
        <x:f>IF(K10="Up",G10,IF(K10="Down",1-G10,""))</x:f>
      </x:c>
      <x:c r="M10" s="198" t="str">
        <x:f>IF(K10="Up",I10,IF(K10="Down",J10,""))</x:f>
      </x:c>
      <x:c r="N10" s="192"/>
      <x:c r="O10" s="198" t="n">
        <x:f>IF(N10="Taker",M10*'08_Bet_Calculator'!$B$18*(1-M10),0)</x:f>
        <x:v>0</x:v>
      </x:c>
      <x:c r="P10" s="192"/>
      <x:c r="Q10" s="198" t="str">
        <x:f>IF(M10="","",MIN(0.999,M10+O10+P10))</x:f>
      </x:c>
      <x:c r="R10" s="197" t="str">
        <x:f>IF(L10="","",L10-Q10)</x:f>
      </x:c>
      <x:c r="S10" s="197" t="str">
        <x:f>IF(L10="","",L10-'08_Bet_Calculator'!$B$24*H10-Q10-'08_Bet_Calculator'!$B$20)</x:f>
      </x:c>
      <x:c r="T10" s="197" t="n">
        <x:f>IF(OR(L10="",Q10&gt;=1),0,MAX(0,(MAX(0,L10-'08_Bet_Calculator'!$B$24*H10)-Q10)/(1-Q10)))</x:f>
        <x:v>0</x:v>
      </x:c>
      <x:c r="U10" s="197" t="n">
        <x:f>T10*'08_Bet_Calculator'!$B$21</x:f>
        <x:v>0</x:v>
      </x:c>
      <x:c r="V10" s="221"/>
      <x:c r="W10" s="200" t="n">
        <x:f>IF(OR(V10="",S10&lt;=0),0,MIN(V10*U10,V10*'08_Bet_Calculator'!$B$22,'08_Bet_Calculator'!$B$23))</x:f>
        <x:v>0</x:v>
      </x:c>
      <x:c r="X10" s="222" t="n">
        <x:f>IFERROR(W10/Q10,0)</x:f>
        <x:v>0</x:v>
      </x:c>
      <x:c r="Y10" s="189"/>
      <x:c r="Z10" s="196" t="str">
        <x:f>IF(OR(Y10="",K10=""),"",IF(Y10=K10,1,0))</x:f>
      </x:c>
      <x:c r="AA10" s="200" t="str">
        <x:f>IF(Z10="","",X10*(Z10-Q10))</x:f>
      </x:c>
      <x:c r="AB10" s="197" t="str">
        <x:f>IFERROR(AA10/W10,"")</x:f>
      </x:c>
      <x:c r="AC10" s="197" t="str">
        <x:f>IF(Z10="","",(L10-Z10)^2)</x:f>
      </x:c>
      <x:c r="AD10" s="198" t="str">
        <x:f>IF(Z10="","",-(Z10*LN(MAX(0.0001,L10))+(1-Z10)*LN(MAX(0.0001,1-L10))))</x:f>
      </x:c>
      <x:c r="AE10" s="189"/>
      <x:c r="AF10" s="200" t="n">
        <x:f>AF9+IF(AA10="",0,AA10)</x:f>
        <x:v>0</x:v>
      </x:c>
      <x:c r="AG10" s="200" t="n">
        <x:f>MAX(AG9,AF10)</x:f>
        <x:v>0</x:v>
      </x:c>
      <x:c r="AH10" s="200" t="n">
        <x:f>AF10-AG10</x:f>
        <x:v>0</x:v>
      </x:c>
    </x:row>
    <x:row r="11">
      <x:c r="A11" s="189"/>
      <x:c r="B11" s="189"/>
      <x:c r="C11" s="221"/>
      <x:c r="D11" s="189"/>
      <x:c r="E11" s="221"/>
      <x:c r="F11" s="218" t="str">
        <x:f>IFERROR(LN(E11/C11)*10000,"")</x:f>
      </x:c>
      <x:c r="G11" s="191"/>
      <x:c r="H11" s="191"/>
      <x:c r="I11" s="191"/>
      <x:c r="J11" s="191"/>
      <x:c r="K11" s="189"/>
      <x:c r="L11" s="197" t="str">
        <x:f>IF(K11="Up",G11,IF(K11="Down",1-G11,""))</x:f>
      </x:c>
      <x:c r="M11" s="198" t="str">
        <x:f>IF(K11="Up",I11,IF(K11="Down",J11,""))</x:f>
      </x:c>
      <x:c r="N11" s="192"/>
      <x:c r="O11" s="198" t="n">
        <x:f>IF(N11="Taker",M11*'08_Bet_Calculator'!$B$18*(1-M11),0)</x:f>
        <x:v>0</x:v>
      </x:c>
      <x:c r="P11" s="192"/>
      <x:c r="Q11" s="198" t="str">
        <x:f>IF(M11="","",MIN(0.999,M11+O11+P11))</x:f>
      </x:c>
      <x:c r="R11" s="197" t="str">
        <x:f>IF(L11="","",L11-Q11)</x:f>
      </x:c>
      <x:c r="S11" s="197" t="str">
        <x:f>IF(L11="","",L11-'08_Bet_Calculator'!$B$24*H11-Q11-'08_Bet_Calculator'!$B$20)</x:f>
      </x:c>
      <x:c r="T11" s="197" t="n">
        <x:f>IF(OR(L11="",Q11&gt;=1),0,MAX(0,(MAX(0,L11-'08_Bet_Calculator'!$B$24*H11)-Q11)/(1-Q11)))</x:f>
        <x:v>0</x:v>
      </x:c>
      <x:c r="U11" s="197" t="n">
        <x:f>T11*'08_Bet_Calculator'!$B$21</x:f>
        <x:v>0</x:v>
      </x:c>
      <x:c r="V11" s="221"/>
      <x:c r="W11" s="200" t="n">
        <x:f>IF(OR(V11="",S11&lt;=0),0,MIN(V11*U11,V11*'08_Bet_Calculator'!$B$22,'08_Bet_Calculator'!$B$23))</x:f>
        <x:v>0</x:v>
      </x:c>
      <x:c r="X11" s="222" t="n">
        <x:f>IFERROR(W11/Q11,0)</x:f>
        <x:v>0</x:v>
      </x:c>
      <x:c r="Y11" s="189"/>
      <x:c r="Z11" s="196" t="str">
        <x:f>IF(OR(Y11="",K11=""),"",IF(Y11=K11,1,0))</x:f>
      </x:c>
      <x:c r="AA11" s="200" t="str">
        <x:f>IF(Z11="","",X11*(Z11-Q11))</x:f>
      </x:c>
      <x:c r="AB11" s="197" t="str">
        <x:f>IFERROR(AA11/W11,"")</x:f>
      </x:c>
      <x:c r="AC11" s="197" t="str">
        <x:f>IF(Z11="","",(L11-Z11)^2)</x:f>
      </x:c>
      <x:c r="AD11" s="198" t="str">
        <x:f>IF(Z11="","",-(Z11*LN(MAX(0.0001,L11))+(1-Z11)*LN(MAX(0.0001,1-L11))))</x:f>
      </x:c>
      <x:c r="AE11" s="189"/>
      <x:c r="AF11" s="200" t="n">
        <x:f>AF10+IF(AA11="",0,AA11)</x:f>
        <x:v>0</x:v>
      </x:c>
      <x:c r="AG11" s="200" t="n">
        <x:f>MAX(AG10,AF11)</x:f>
        <x:v>0</x:v>
      </x:c>
      <x:c r="AH11" s="200" t="n">
        <x:f>AF11-AG11</x:f>
        <x:v>0</x:v>
      </x:c>
    </x:row>
    <x:row r="12">
      <x:c r="A12" s="189"/>
      <x:c r="B12" s="189"/>
      <x:c r="C12" s="221"/>
      <x:c r="D12" s="189"/>
      <x:c r="E12" s="221"/>
      <x:c r="F12" s="218" t="str">
        <x:f>IFERROR(LN(E12/C12)*10000,"")</x:f>
      </x:c>
      <x:c r="G12" s="191"/>
      <x:c r="H12" s="191"/>
      <x:c r="I12" s="191"/>
      <x:c r="J12" s="191"/>
      <x:c r="K12" s="189"/>
      <x:c r="L12" s="197" t="str">
        <x:f>IF(K12="Up",G12,IF(K12="Down",1-G12,""))</x:f>
      </x:c>
      <x:c r="M12" s="198" t="str">
        <x:f>IF(K12="Up",I12,IF(K12="Down",J12,""))</x:f>
      </x:c>
      <x:c r="N12" s="192"/>
      <x:c r="O12" s="198" t="n">
        <x:f>IF(N12="Taker",M12*'08_Bet_Calculator'!$B$18*(1-M12),0)</x:f>
        <x:v>0</x:v>
      </x:c>
      <x:c r="P12" s="192"/>
      <x:c r="Q12" s="198" t="str">
        <x:f>IF(M12="","",MIN(0.999,M12+O12+P12))</x:f>
      </x:c>
      <x:c r="R12" s="197" t="str">
        <x:f>IF(L12="","",L12-Q12)</x:f>
      </x:c>
      <x:c r="S12" s="197" t="str">
        <x:f>IF(L12="","",L12-'08_Bet_Calculator'!$B$24*H12-Q12-'08_Bet_Calculator'!$B$20)</x:f>
      </x:c>
      <x:c r="T12" s="197" t="n">
        <x:f>IF(OR(L12="",Q12&gt;=1),0,MAX(0,(MAX(0,L12-'08_Bet_Calculator'!$B$24*H12)-Q12)/(1-Q12)))</x:f>
        <x:v>0</x:v>
      </x:c>
      <x:c r="U12" s="197" t="n">
        <x:f>T12*'08_Bet_Calculator'!$B$21</x:f>
        <x:v>0</x:v>
      </x:c>
      <x:c r="V12" s="221"/>
      <x:c r="W12" s="200" t="n">
        <x:f>IF(OR(V12="",S12&lt;=0),0,MIN(V12*U12,V12*'08_Bet_Calculator'!$B$22,'08_Bet_Calculator'!$B$23))</x:f>
        <x:v>0</x:v>
      </x:c>
      <x:c r="X12" s="222" t="n">
        <x:f>IFERROR(W12/Q12,0)</x:f>
        <x:v>0</x:v>
      </x:c>
      <x:c r="Y12" s="189"/>
      <x:c r="Z12" s="196" t="str">
        <x:f>IF(OR(Y12="",K12=""),"",IF(Y12=K12,1,0))</x:f>
      </x:c>
      <x:c r="AA12" s="200" t="str">
        <x:f>IF(Z12="","",X12*(Z12-Q12))</x:f>
      </x:c>
      <x:c r="AB12" s="197" t="str">
        <x:f>IFERROR(AA12/W12,"")</x:f>
      </x:c>
      <x:c r="AC12" s="197" t="str">
        <x:f>IF(Z12="","",(L12-Z12)^2)</x:f>
      </x:c>
      <x:c r="AD12" s="198" t="str">
        <x:f>IF(Z12="","",-(Z12*LN(MAX(0.0001,L12))+(1-Z12)*LN(MAX(0.0001,1-L12))))</x:f>
      </x:c>
      <x:c r="AE12" s="189"/>
      <x:c r="AF12" s="200" t="n">
        <x:f>AF11+IF(AA12="",0,AA12)</x:f>
        <x:v>0</x:v>
      </x:c>
      <x:c r="AG12" s="200" t="n">
        <x:f>MAX(AG11,AF12)</x:f>
        <x:v>0</x:v>
      </x:c>
      <x:c r="AH12" s="200" t="n">
        <x:f>AF12-AG12</x:f>
        <x:v>0</x:v>
      </x:c>
    </x:row>
    <x:row r="13">
      <x:c r="A13" s="189"/>
      <x:c r="B13" s="189"/>
      <x:c r="C13" s="221"/>
      <x:c r="D13" s="189"/>
      <x:c r="E13" s="221"/>
      <x:c r="F13" s="218" t="str">
        <x:f>IFERROR(LN(E13/C13)*10000,"")</x:f>
      </x:c>
      <x:c r="G13" s="191"/>
      <x:c r="H13" s="191"/>
      <x:c r="I13" s="191"/>
      <x:c r="J13" s="191"/>
      <x:c r="K13" s="189"/>
      <x:c r="L13" s="197" t="str">
        <x:f>IF(K13="Up",G13,IF(K13="Down",1-G13,""))</x:f>
      </x:c>
      <x:c r="M13" s="198" t="str">
        <x:f>IF(K13="Up",I13,IF(K13="Down",J13,""))</x:f>
      </x:c>
      <x:c r="N13" s="192"/>
      <x:c r="O13" s="198" t="n">
        <x:f>IF(N13="Taker",M13*'08_Bet_Calculator'!$B$18*(1-M13),0)</x:f>
        <x:v>0</x:v>
      </x:c>
      <x:c r="P13" s="192"/>
      <x:c r="Q13" s="198" t="str">
        <x:f>IF(M13="","",MIN(0.999,M13+O13+P13))</x:f>
      </x:c>
      <x:c r="R13" s="197" t="str">
        <x:f>IF(L13="","",L13-Q13)</x:f>
      </x:c>
      <x:c r="S13" s="197" t="str">
        <x:f>IF(L13="","",L13-'08_Bet_Calculator'!$B$24*H13-Q13-'08_Bet_Calculator'!$B$20)</x:f>
      </x:c>
      <x:c r="T13" s="197" t="n">
        <x:f>IF(OR(L13="",Q13&gt;=1),0,MAX(0,(MAX(0,L13-'08_Bet_Calculator'!$B$24*H13)-Q13)/(1-Q13)))</x:f>
        <x:v>0</x:v>
      </x:c>
      <x:c r="U13" s="197" t="n">
        <x:f>T13*'08_Bet_Calculator'!$B$21</x:f>
        <x:v>0</x:v>
      </x:c>
      <x:c r="V13" s="221"/>
      <x:c r="W13" s="200" t="n">
        <x:f>IF(OR(V13="",S13&lt;=0),0,MIN(V13*U13,V13*'08_Bet_Calculator'!$B$22,'08_Bet_Calculator'!$B$23))</x:f>
        <x:v>0</x:v>
      </x:c>
      <x:c r="X13" s="222" t="n">
        <x:f>IFERROR(W13/Q13,0)</x:f>
        <x:v>0</x:v>
      </x:c>
      <x:c r="Y13" s="189"/>
      <x:c r="Z13" s="196" t="str">
        <x:f>IF(OR(Y13="",K13=""),"",IF(Y13=K13,1,0))</x:f>
      </x:c>
      <x:c r="AA13" s="200" t="str">
        <x:f>IF(Z13="","",X13*(Z13-Q13))</x:f>
      </x:c>
      <x:c r="AB13" s="197" t="str">
        <x:f>IFERROR(AA13/W13,"")</x:f>
      </x:c>
      <x:c r="AC13" s="197" t="str">
        <x:f>IF(Z13="","",(L13-Z13)^2)</x:f>
      </x:c>
      <x:c r="AD13" s="198" t="str">
        <x:f>IF(Z13="","",-(Z13*LN(MAX(0.0001,L13))+(1-Z13)*LN(MAX(0.0001,1-L13))))</x:f>
      </x:c>
      <x:c r="AE13" s="189"/>
      <x:c r="AF13" s="200" t="n">
        <x:f>AF12+IF(AA13="",0,AA13)</x:f>
        <x:v>0</x:v>
      </x:c>
      <x:c r="AG13" s="200" t="n">
        <x:f>MAX(AG12,AF13)</x:f>
        <x:v>0</x:v>
      </x:c>
      <x:c r="AH13" s="200" t="n">
        <x:f>AF13-AG13</x:f>
        <x:v>0</x:v>
      </x:c>
    </x:row>
    <x:row r="14">
      <x:c r="A14" s="189"/>
      <x:c r="B14" s="189"/>
      <x:c r="C14" s="221"/>
      <x:c r="D14" s="189"/>
      <x:c r="E14" s="221"/>
      <x:c r="F14" s="218" t="str">
        <x:f>IFERROR(LN(E14/C14)*10000,"")</x:f>
      </x:c>
      <x:c r="G14" s="191"/>
      <x:c r="H14" s="191"/>
      <x:c r="I14" s="191"/>
      <x:c r="J14" s="191"/>
      <x:c r="K14" s="189"/>
      <x:c r="L14" s="197" t="str">
        <x:f>IF(K14="Up",G14,IF(K14="Down",1-G14,""))</x:f>
      </x:c>
      <x:c r="M14" s="198" t="str">
        <x:f>IF(K14="Up",I14,IF(K14="Down",J14,""))</x:f>
      </x:c>
      <x:c r="N14" s="192"/>
      <x:c r="O14" s="198" t="n">
        <x:f>IF(N14="Taker",M14*'08_Bet_Calculator'!$B$18*(1-M14),0)</x:f>
        <x:v>0</x:v>
      </x:c>
      <x:c r="P14" s="192"/>
      <x:c r="Q14" s="198" t="str">
        <x:f>IF(M14="","",MIN(0.999,M14+O14+P14))</x:f>
      </x:c>
      <x:c r="R14" s="197" t="str">
        <x:f>IF(L14="","",L14-Q14)</x:f>
      </x:c>
      <x:c r="S14" s="197" t="str">
        <x:f>IF(L14="","",L14-'08_Bet_Calculator'!$B$24*H14-Q14-'08_Bet_Calculator'!$B$20)</x:f>
      </x:c>
      <x:c r="T14" s="197" t="n">
        <x:f>IF(OR(L14="",Q14&gt;=1),0,MAX(0,(MAX(0,L14-'08_Bet_Calculator'!$B$24*H14)-Q14)/(1-Q14)))</x:f>
        <x:v>0</x:v>
      </x:c>
      <x:c r="U14" s="197" t="n">
        <x:f>T14*'08_Bet_Calculator'!$B$21</x:f>
        <x:v>0</x:v>
      </x:c>
      <x:c r="V14" s="221"/>
      <x:c r="W14" s="200" t="n">
        <x:f>IF(OR(V14="",S14&lt;=0),0,MIN(V14*U14,V14*'08_Bet_Calculator'!$B$22,'08_Bet_Calculator'!$B$23))</x:f>
        <x:v>0</x:v>
      </x:c>
      <x:c r="X14" s="222" t="n">
        <x:f>IFERROR(W14/Q14,0)</x:f>
        <x:v>0</x:v>
      </x:c>
      <x:c r="Y14" s="189"/>
      <x:c r="Z14" s="196" t="str">
        <x:f>IF(OR(Y14="",K14=""),"",IF(Y14=K14,1,0))</x:f>
      </x:c>
      <x:c r="AA14" s="200" t="str">
        <x:f>IF(Z14="","",X14*(Z14-Q14))</x:f>
      </x:c>
      <x:c r="AB14" s="197" t="str">
        <x:f>IFERROR(AA14/W14,"")</x:f>
      </x:c>
      <x:c r="AC14" s="197" t="str">
        <x:f>IF(Z14="","",(L14-Z14)^2)</x:f>
      </x:c>
      <x:c r="AD14" s="198" t="str">
        <x:f>IF(Z14="","",-(Z14*LN(MAX(0.0001,L14))+(1-Z14)*LN(MAX(0.0001,1-L14))))</x:f>
      </x:c>
      <x:c r="AE14" s="189"/>
      <x:c r="AF14" s="200" t="n">
        <x:f>AF13+IF(AA14="",0,AA14)</x:f>
        <x:v>0</x:v>
      </x:c>
      <x:c r="AG14" s="200" t="n">
        <x:f>MAX(AG13,AF14)</x:f>
        <x:v>0</x:v>
      </x:c>
      <x:c r="AH14" s="200" t="n">
        <x:f>AF14-AG14</x:f>
        <x:v>0</x:v>
      </x:c>
    </x:row>
    <x:row r="15">
      <x:c r="A15" s="189"/>
      <x:c r="B15" s="189"/>
      <x:c r="C15" s="221"/>
      <x:c r="D15" s="189"/>
      <x:c r="E15" s="221"/>
      <x:c r="F15" s="218" t="str">
        <x:f>IFERROR(LN(E15/C15)*10000,"")</x:f>
      </x:c>
      <x:c r="G15" s="191"/>
      <x:c r="H15" s="191"/>
      <x:c r="I15" s="191"/>
      <x:c r="J15" s="191"/>
      <x:c r="K15" s="189"/>
      <x:c r="L15" s="197" t="str">
        <x:f>IF(K15="Up",G15,IF(K15="Down",1-G15,""))</x:f>
      </x:c>
      <x:c r="M15" s="198" t="str">
        <x:f>IF(K15="Up",I15,IF(K15="Down",J15,""))</x:f>
      </x:c>
      <x:c r="N15" s="192"/>
      <x:c r="O15" s="198" t="n">
        <x:f>IF(N15="Taker",M15*'08_Bet_Calculator'!$B$18*(1-M15),0)</x:f>
        <x:v>0</x:v>
      </x:c>
      <x:c r="P15" s="192"/>
      <x:c r="Q15" s="198" t="str">
        <x:f>IF(M15="","",MIN(0.999,M15+O15+P15))</x:f>
      </x:c>
      <x:c r="R15" s="197" t="str">
        <x:f>IF(L15="","",L15-Q15)</x:f>
      </x:c>
      <x:c r="S15" s="197" t="str">
        <x:f>IF(L15="","",L15-'08_Bet_Calculator'!$B$24*H15-Q15-'08_Bet_Calculator'!$B$20)</x:f>
      </x:c>
      <x:c r="T15" s="197" t="n">
        <x:f>IF(OR(L15="",Q15&gt;=1),0,MAX(0,(MAX(0,L15-'08_Bet_Calculator'!$B$24*H15)-Q15)/(1-Q15)))</x:f>
        <x:v>0</x:v>
      </x:c>
      <x:c r="U15" s="197" t="n">
        <x:f>T15*'08_Bet_Calculator'!$B$21</x:f>
        <x:v>0</x:v>
      </x:c>
      <x:c r="V15" s="221"/>
      <x:c r="W15" s="200" t="n">
        <x:f>IF(OR(V15="",S15&lt;=0),0,MIN(V15*U15,V15*'08_Bet_Calculator'!$B$22,'08_Bet_Calculator'!$B$23))</x:f>
        <x:v>0</x:v>
      </x:c>
      <x:c r="X15" s="222" t="n">
        <x:f>IFERROR(W15/Q15,0)</x:f>
        <x:v>0</x:v>
      </x:c>
      <x:c r="Y15" s="189"/>
      <x:c r="Z15" s="196" t="str">
        <x:f>IF(OR(Y15="",K15=""),"",IF(Y15=K15,1,0))</x:f>
      </x:c>
      <x:c r="AA15" s="200" t="str">
        <x:f>IF(Z15="","",X15*(Z15-Q15))</x:f>
      </x:c>
      <x:c r="AB15" s="197" t="str">
        <x:f>IFERROR(AA15/W15,"")</x:f>
      </x:c>
      <x:c r="AC15" s="197" t="str">
        <x:f>IF(Z15="","",(L15-Z15)^2)</x:f>
      </x:c>
      <x:c r="AD15" s="198" t="str">
        <x:f>IF(Z15="","",-(Z15*LN(MAX(0.0001,L15))+(1-Z15)*LN(MAX(0.0001,1-L15))))</x:f>
      </x:c>
      <x:c r="AE15" s="189"/>
      <x:c r="AF15" s="200" t="n">
        <x:f>AF14+IF(AA15="",0,AA15)</x:f>
        <x:v>0</x:v>
      </x:c>
      <x:c r="AG15" s="200" t="n">
        <x:f>MAX(AG14,AF15)</x:f>
        <x:v>0</x:v>
      </x:c>
      <x:c r="AH15" s="200" t="n">
        <x:f>AF15-AG15</x:f>
        <x:v>0</x:v>
      </x:c>
    </x:row>
    <x:row r="16">
      <x:c r="A16" s="189"/>
      <x:c r="B16" s="189"/>
      <x:c r="C16" s="221"/>
      <x:c r="D16" s="189"/>
      <x:c r="E16" s="221"/>
      <x:c r="F16" s="218" t="str">
        <x:f>IFERROR(LN(E16/C16)*10000,"")</x:f>
      </x:c>
      <x:c r="G16" s="191"/>
      <x:c r="H16" s="191"/>
      <x:c r="I16" s="191"/>
      <x:c r="J16" s="191"/>
      <x:c r="K16" s="189"/>
      <x:c r="L16" s="197" t="str">
        <x:f>IF(K16="Up",G16,IF(K16="Down",1-G16,""))</x:f>
      </x:c>
      <x:c r="M16" s="198" t="str">
        <x:f>IF(K16="Up",I16,IF(K16="Down",J16,""))</x:f>
      </x:c>
      <x:c r="N16" s="192"/>
      <x:c r="O16" s="198" t="n">
        <x:f>IF(N16="Taker",M16*'08_Bet_Calculator'!$B$18*(1-M16),0)</x:f>
        <x:v>0</x:v>
      </x:c>
      <x:c r="P16" s="192"/>
      <x:c r="Q16" s="198" t="str">
        <x:f>IF(M16="","",MIN(0.999,M16+O16+P16))</x:f>
      </x:c>
      <x:c r="R16" s="197" t="str">
        <x:f>IF(L16="","",L16-Q16)</x:f>
      </x:c>
      <x:c r="S16" s="197" t="str">
        <x:f>IF(L16="","",L16-'08_Bet_Calculator'!$B$24*H16-Q16-'08_Bet_Calculator'!$B$20)</x:f>
      </x:c>
      <x:c r="T16" s="197" t="n">
        <x:f>IF(OR(L16="",Q16&gt;=1),0,MAX(0,(MAX(0,L16-'08_Bet_Calculator'!$B$24*H16)-Q16)/(1-Q16)))</x:f>
        <x:v>0</x:v>
      </x:c>
      <x:c r="U16" s="197" t="n">
        <x:f>T16*'08_Bet_Calculator'!$B$21</x:f>
        <x:v>0</x:v>
      </x:c>
      <x:c r="V16" s="221"/>
      <x:c r="W16" s="200" t="n">
        <x:f>IF(OR(V16="",S16&lt;=0),0,MIN(V16*U16,V16*'08_Bet_Calculator'!$B$22,'08_Bet_Calculator'!$B$23))</x:f>
        <x:v>0</x:v>
      </x:c>
      <x:c r="X16" s="222" t="n">
        <x:f>IFERROR(W16/Q16,0)</x:f>
        <x:v>0</x:v>
      </x:c>
      <x:c r="Y16" s="189"/>
      <x:c r="Z16" s="196" t="str">
        <x:f>IF(OR(Y16="",K16=""),"",IF(Y16=K16,1,0))</x:f>
      </x:c>
      <x:c r="AA16" s="200" t="str">
        <x:f>IF(Z16="","",X16*(Z16-Q16))</x:f>
      </x:c>
      <x:c r="AB16" s="197" t="str">
        <x:f>IFERROR(AA16/W16,"")</x:f>
      </x:c>
      <x:c r="AC16" s="197" t="str">
        <x:f>IF(Z16="","",(L16-Z16)^2)</x:f>
      </x:c>
      <x:c r="AD16" s="198" t="str">
        <x:f>IF(Z16="","",-(Z16*LN(MAX(0.0001,L16))+(1-Z16)*LN(MAX(0.0001,1-L16))))</x:f>
      </x:c>
      <x:c r="AE16" s="189"/>
      <x:c r="AF16" s="200" t="n">
        <x:f>AF15+IF(AA16="",0,AA16)</x:f>
        <x:v>0</x:v>
      </x:c>
      <x:c r="AG16" s="200" t="n">
        <x:f>MAX(AG15,AF16)</x:f>
        <x:v>0</x:v>
      </x:c>
      <x:c r="AH16" s="200" t="n">
        <x:f>AF16-AG16</x:f>
        <x:v>0</x:v>
      </x:c>
    </x:row>
    <x:row r="17">
      <x:c r="A17" s="189"/>
      <x:c r="B17" s="189"/>
      <x:c r="C17" s="221"/>
      <x:c r="D17" s="189"/>
      <x:c r="E17" s="221"/>
      <x:c r="F17" s="218" t="str">
        <x:f>IFERROR(LN(E17/C17)*10000,"")</x:f>
      </x:c>
      <x:c r="G17" s="191"/>
      <x:c r="H17" s="191"/>
      <x:c r="I17" s="191"/>
      <x:c r="J17" s="191"/>
      <x:c r="K17" s="189"/>
      <x:c r="L17" s="197" t="str">
        <x:f>IF(K17="Up",G17,IF(K17="Down",1-G17,""))</x:f>
      </x:c>
      <x:c r="M17" s="198" t="str">
        <x:f>IF(K17="Up",I17,IF(K17="Down",J17,""))</x:f>
      </x:c>
      <x:c r="N17" s="192"/>
      <x:c r="O17" s="198" t="n">
        <x:f>IF(N17="Taker",M17*'08_Bet_Calculator'!$B$18*(1-M17),0)</x:f>
        <x:v>0</x:v>
      </x:c>
      <x:c r="P17" s="192"/>
      <x:c r="Q17" s="198" t="str">
        <x:f>IF(M17="","",MIN(0.999,M17+O17+P17))</x:f>
      </x:c>
      <x:c r="R17" s="197" t="str">
        <x:f>IF(L17="","",L17-Q17)</x:f>
      </x:c>
      <x:c r="S17" s="197" t="str">
        <x:f>IF(L17="","",L17-'08_Bet_Calculator'!$B$24*H17-Q17-'08_Bet_Calculator'!$B$20)</x:f>
      </x:c>
      <x:c r="T17" s="197" t="n">
        <x:f>IF(OR(L17="",Q17&gt;=1),0,MAX(0,(MAX(0,L17-'08_Bet_Calculator'!$B$24*H17)-Q17)/(1-Q17)))</x:f>
        <x:v>0</x:v>
      </x:c>
      <x:c r="U17" s="197" t="n">
        <x:f>T17*'08_Bet_Calculator'!$B$21</x:f>
        <x:v>0</x:v>
      </x:c>
      <x:c r="V17" s="221"/>
      <x:c r="W17" s="200" t="n">
        <x:f>IF(OR(V17="",S17&lt;=0),0,MIN(V17*U17,V17*'08_Bet_Calculator'!$B$22,'08_Bet_Calculator'!$B$23))</x:f>
        <x:v>0</x:v>
      </x:c>
      <x:c r="X17" s="222" t="n">
        <x:f>IFERROR(W17/Q17,0)</x:f>
        <x:v>0</x:v>
      </x:c>
      <x:c r="Y17" s="189"/>
      <x:c r="Z17" s="196" t="str">
        <x:f>IF(OR(Y17="",K17=""),"",IF(Y17=K17,1,0))</x:f>
      </x:c>
      <x:c r="AA17" s="200" t="str">
        <x:f>IF(Z17="","",X17*(Z17-Q17))</x:f>
      </x:c>
      <x:c r="AB17" s="197" t="str">
        <x:f>IFERROR(AA17/W17,"")</x:f>
      </x:c>
      <x:c r="AC17" s="197" t="str">
        <x:f>IF(Z17="","",(L17-Z17)^2)</x:f>
      </x:c>
      <x:c r="AD17" s="198" t="str">
        <x:f>IF(Z17="","",-(Z17*LN(MAX(0.0001,L17))+(1-Z17)*LN(MAX(0.0001,1-L17))))</x:f>
      </x:c>
      <x:c r="AE17" s="189"/>
      <x:c r="AF17" s="200" t="n">
        <x:f>AF16+IF(AA17="",0,AA17)</x:f>
        <x:v>0</x:v>
      </x:c>
      <x:c r="AG17" s="200" t="n">
        <x:f>MAX(AG16,AF17)</x:f>
        <x:v>0</x:v>
      </x:c>
      <x:c r="AH17" s="200" t="n">
        <x:f>AF17-AG17</x:f>
        <x:v>0</x:v>
      </x:c>
    </x:row>
    <x:row r="18">
      <x:c r="A18" s="189"/>
      <x:c r="B18" s="189"/>
      <x:c r="C18" s="221"/>
      <x:c r="D18" s="189"/>
      <x:c r="E18" s="221"/>
      <x:c r="F18" s="218" t="str">
        <x:f>IFERROR(LN(E18/C18)*10000,"")</x:f>
      </x:c>
      <x:c r="G18" s="191"/>
      <x:c r="H18" s="191"/>
      <x:c r="I18" s="191"/>
      <x:c r="J18" s="191"/>
      <x:c r="K18" s="189"/>
      <x:c r="L18" s="197" t="str">
        <x:f>IF(K18="Up",G18,IF(K18="Down",1-G18,""))</x:f>
      </x:c>
      <x:c r="M18" s="198" t="str">
        <x:f>IF(K18="Up",I18,IF(K18="Down",J18,""))</x:f>
      </x:c>
      <x:c r="N18" s="192"/>
      <x:c r="O18" s="198" t="n">
        <x:f>IF(N18="Taker",M18*'08_Bet_Calculator'!$B$18*(1-M18),0)</x:f>
        <x:v>0</x:v>
      </x:c>
      <x:c r="P18" s="192"/>
      <x:c r="Q18" s="198" t="str">
        <x:f>IF(M18="","",MIN(0.999,M18+O18+P18))</x:f>
      </x:c>
      <x:c r="R18" s="197" t="str">
        <x:f>IF(L18="","",L18-Q18)</x:f>
      </x:c>
      <x:c r="S18" s="197" t="str">
        <x:f>IF(L18="","",L18-'08_Bet_Calculator'!$B$24*H18-Q18-'08_Bet_Calculator'!$B$20)</x:f>
      </x:c>
      <x:c r="T18" s="197" t="n">
        <x:f>IF(OR(L18="",Q18&gt;=1),0,MAX(0,(MAX(0,L18-'08_Bet_Calculator'!$B$24*H18)-Q18)/(1-Q18)))</x:f>
        <x:v>0</x:v>
      </x:c>
      <x:c r="U18" s="197" t="n">
        <x:f>T18*'08_Bet_Calculator'!$B$21</x:f>
        <x:v>0</x:v>
      </x:c>
      <x:c r="V18" s="221"/>
      <x:c r="W18" s="200" t="n">
        <x:f>IF(OR(V18="",S18&lt;=0),0,MIN(V18*U18,V18*'08_Bet_Calculator'!$B$22,'08_Bet_Calculator'!$B$23))</x:f>
        <x:v>0</x:v>
      </x:c>
      <x:c r="X18" s="222" t="n">
        <x:f>IFERROR(W18/Q18,0)</x:f>
        <x:v>0</x:v>
      </x:c>
      <x:c r="Y18" s="189"/>
      <x:c r="Z18" s="196" t="str">
        <x:f>IF(OR(Y18="",K18=""),"",IF(Y18=K18,1,0))</x:f>
      </x:c>
      <x:c r="AA18" s="200" t="str">
        <x:f>IF(Z18="","",X18*(Z18-Q18))</x:f>
      </x:c>
      <x:c r="AB18" s="197" t="str">
        <x:f>IFERROR(AA18/W18,"")</x:f>
      </x:c>
      <x:c r="AC18" s="197" t="str">
        <x:f>IF(Z18="","",(L18-Z18)^2)</x:f>
      </x:c>
      <x:c r="AD18" s="198" t="str">
        <x:f>IF(Z18="","",-(Z18*LN(MAX(0.0001,L18))+(1-Z18)*LN(MAX(0.0001,1-L18))))</x:f>
      </x:c>
      <x:c r="AE18" s="189"/>
      <x:c r="AF18" s="200" t="n">
        <x:f>AF17+IF(AA18="",0,AA18)</x:f>
        <x:v>0</x:v>
      </x:c>
      <x:c r="AG18" s="200" t="n">
        <x:f>MAX(AG17,AF18)</x:f>
        <x:v>0</x:v>
      </x:c>
      <x:c r="AH18" s="200" t="n">
        <x:f>AF18-AG18</x:f>
        <x:v>0</x:v>
      </x:c>
    </x:row>
    <x:row r="19">
      <x:c r="A19" s="189"/>
      <x:c r="B19" s="189"/>
      <x:c r="C19" s="221"/>
      <x:c r="D19" s="189"/>
      <x:c r="E19" s="221"/>
      <x:c r="F19" s="218" t="str">
        <x:f>IFERROR(LN(E19/C19)*10000,"")</x:f>
      </x:c>
      <x:c r="G19" s="191"/>
      <x:c r="H19" s="191"/>
      <x:c r="I19" s="191"/>
      <x:c r="J19" s="191"/>
      <x:c r="K19" s="189"/>
      <x:c r="L19" s="197" t="str">
        <x:f>IF(K19="Up",G19,IF(K19="Down",1-G19,""))</x:f>
      </x:c>
      <x:c r="M19" s="198" t="str">
        <x:f>IF(K19="Up",I19,IF(K19="Down",J19,""))</x:f>
      </x:c>
      <x:c r="N19" s="192"/>
      <x:c r="O19" s="198" t="n">
        <x:f>IF(N19="Taker",M19*'08_Bet_Calculator'!$B$18*(1-M19),0)</x:f>
        <x:v>0</x:v>
      </x:c>
      <x:c r="P19" s="192"/>
      <x:c r="Q19" s="198" t="str">
        <x:f>IF(M19="","",MIN(0.999,M19+O19+P19))</x:f>
      </x:c>
      <x:c r="R19" s="197" t="str">
        <x:f>IF(L19="","",L19-Q19)</x:f>
      </x:c>
      <x:c r="S19" s="197" t="str">
        <x:f>IF(L19="","",L19-'08_Bet_Calculator'!$B$24*H19-Q19-'08_Bet_Calculator'!$B$20)</x:f>
      </x:c>
      <x:c r="T19" s="197" t="n">
        <x:f>IF(OR(L19="",Q19&gt;=1),0,MAX(0,(MAX(0,L19-'08_Bet_Calculator'!$B$24*H19)-Q19)/(1-Q19)))</x:f>
        <x:v>0</x:v>
      </x:c>
      <x:c r="U19" s="197" t="n">
        <x:f>T19*'08_Bet_Calculator'!$B$21</x:f>
        <x:v>0</x:v>
      </x:c>
      <x:c r="V19" s="221"/>
      <x:c r="W19" s="200" t="n">
        <x:f>IF(OR(V19="",S19&lt;=0),0,MIN(V19*U19,V19*'08_Bet_Calculator'!$B$22,'08_Bet_Calculator'!$B$23))</x:f>
        <x:v>0</x:v>
      </x:c>
      <x:c r="X19" s="222" t="n">
        <x:f>IFERROR(W19/Q19,0)</x:f>
        <x:v>0</x:v>
      </x:c>
      <x:c r="Y19" s="189"/>
      <x:c r="Z19" s="196" t="str">
        <x:f>IF(OR(Y19="",K19=""),"",IF(Y19=K19,1,0))</x:f>
      </x:c>
      <x:c r="AA19" s="200" t="str">
        <x:f>IF(Z19="","",X19*(Z19-Q19))</x:f>
      </x:c>
      <x:c r="AB19" s="197" t="str">
        <x:f>IFERROR(AA19/W19,"")</x:f>
      </x:c>
      <x:c r="AC19" s="197" t="str">
        <x:f>IF(Z19="","",(L19-Z19)^2)</x:f>
      </x:c>
      <x:c r="AD19" s="198" t="str">
        <x:f>IF(Z19="","",-(Z19*LN(MAX(0.0001,L19))+(1-Z19)*LN(MAX(0.0001,1-L19))))</x:f>
      </x:c>
      <x:c r="AE19" s="189"/>
      <x:c r="AF19" s="200" t="n">
        <x:f>AF18+IF(AA19="",0,AA19)</x:f>
        <x:v>0</x:v>
      </x:c>
      <x:c r="AG19" s="200" t="n">
        <x:f>MAX(AG18,AF19)</x:f>
        <x:v>0</x:v>
      </x:c>
      <x:c r="AH19" s="200" t="n">
        <x:f>AF19-AG19</x:f>
        <x:v>0</x:v>
      </x:c>
    </x:row>
    <x:row r="20">
      <x:c r="A20" s="189"/>
      <x:c r="B20" s="189"/>
      <x:c r="C20" s="221"/>
      <x:c r="D20" s="189"/>
      <x:c r="E20" s="221"/>
      <x:c r="F20" s="218" t="str">
        <x:f>IFERROR(LN(E20/C20)*10000,"")</x:f>
      </x:c>
      <x:c r="G20" s="191"/>
      <x:c r="H20" s="191"/>
      <x:c r="I20" s="191"/>
      <x:c r="J20" s="191"/>
      <x:c r="K20" s="189"/>
      <x:c r="L20" s="197" t="str">
        <x:f>IF(K20="Up",G20,IF(K20="Down",1-G20,""))</x:f>
      </x:c>
      <x:c r="M20" s="198" t="str">
        <x:f>IF(K20="Up",I20,IF(K20="Down",J20,""))</x:f>
      </x:c>
      <x:c r="N20" s="192"/>
      <x:c r="O20" s="198" t="n">
        <x:f>IF(N20="Taker",M20*'08_Bet_Calculator'!$B$18*(1-M20),0)</x:f>
        <x:v>0</x:v>
      </x:c>
      <x:c r="P20" s="192"/>
      <x:c r="Q20" s="198" t="str">
        <x:f>IF(M20="","",MIN(0.999,M20+O20+P20))</x:f>
      </x:c>
      <x:c r="R20" s="197" t="str">
        <x:f>IF(L20="","",L20-Q20)</x:f>
      </x:c>
      <x:c r="S20" s="197" t="str">
        <x:f>IF(L20="","",L20-'08_Bet_Calculator'!$B$24*H20-Q20-'08_Bet_Calculator'!$B$20)</x:f>
      </x:c>
      <x:c r="T20" s="197" t="n">
        <x:f>IF(OR(L20="",Q20&gt;=1),0,MAX(0,(MAX(0,L20-'08_Bet_Calculator'!$B$24*H20)-Q20)/(1-Q20)))</x:f>
        <x:v>0</x:v>
      </x:c>
      <x:c r="U20" s="197" t="n">
        <x:f>T20*'08_Bet_Calculator'!$B$21</x:f>
        <x:v>0</x:v>
      </x:c>
      <x:c r="V20" s="221"/>
      <x:c r="W20" s="200" t="n">
        <x:f>IF(OR(V20="",S20&lt;=0),0,MIN(V20*U20,V20*'08_Bet_Calculator'!$B$22,'08_Bet_Calculator'!$B$23))</x:f>
        <x:v>0</x:v>
      </x:c>
      <x:c r="X20" s="222" t="n">
        <x:f>IFERROR(W20/Q20,0)</x:f>
        <x:v>0</x:v>
      </x:c>
      <x:c r="Y20" s="189"/>
      <x:c r="Z20" s="196" t="str">
        <x:f>IF(OR(Y20="",K20=""),"",IF(Y20=K20,1,0))</x:f>
      </x:c>
      <x:c r="AA20" s="200" t="str">
        <x:f>IF(Z20="","",X20*(Z20-Q20))</x:f>
      </x:c>
      <x:c r="AB20" s="197" t="str">
        <x:f>IFERROR(AA20/W20,"")</x:f>
      </x:c>
      <x:c r="AC20" s="197" t="str">
        <x:f>IF(Z20="","",(L20-Z20)^2)</x:f>
      </x:c>
      <x:c r="AD20" s="198" t="str">
        <x:f>IF(Z20="","",-(Z20*LN(MAX(0.0001,L20))+(1-Z20)*LN(MAX(0.0001,1-L20))))</x:f>
      </x:c>
      <x:c r="AE20" s="189"/>
      <x:c r="AF20" s="200" t="n">
        <x:f>AF19+IF(AA20="",0,AA20)</x:f>
        <x:v>0</x:v>
      </x:c>
      <x:c r="AG20" s="200" t="n">
        <x:f>MAX(AG19,AF20)</x:f>
        <x:v>0</x:v>
      </x:c>
      <x:c r="AH20" s="200" t="n">
        <x:f>AF20-AG20</x:f>
        <x:v>0</x:v>
      </x:c>
    </x:row>
    <x:row r="21">
      <x:c r="A21" s="189"/>
      <x:c r="B21" s="189"/>
      <x:c r="C21" s="221"/>
      <x:c r="D21" s="189"/>
      <x:c r="E21" s="221"/>
      <x:c r="F21" s="218" t="str">
        <x:f>IFERROR(LN(E21/C21)*10000,"")</x:f>
      </x:c>
      <x:c r="G21" s="191"/>
      <x:c r="H21" s="191"/>
      <x:c r="I21" s="191"/>
      <x:c r="J21" s="191"/>
      <x:c r="K21" s="189"/>
      <x:c r="L21" s="197" t="str">
        <x:f>IF(K21="Up",G21,IF(K21="Down",1-G21,""))</x:f>
      </x:c>
      <x:c r="M21" s="198" t="str">
        <x:f>IF(K21="Up",I21,IF(K21="Down",J21,""))</x:f>
      </x:c>
      <x:c r="N21" s="192"/>
      <x:c r="O21" s="198" t="n">
        <x:f>IF(N21="Taker",M21*'08_Bet_Calculator'!$B$18*(1-M21),0)</x:f>
        <x:v>0</x:v>
      </x:c>
      <x:c r="P21" s="192"/>
      <x:c r="Q21" s="198" t="str">
        <x:f>IF(M21="","",MIN(0.999,M21+O21+P21))</x:f>
      </x:c>
      <x:c r="R21" s="197" t="str">
        <x:f>IF(L21="","",L21-Q21)</x:f>
      </x:c>
      <x:c r="S21" s="197" t="str">
        <x:f>IF(L21="","",L21-'08_Bet_Calculator'!$B$24*H21-Q21-'08_Bet_Calculator'!$B$20)</x:f>
      </x:c>
      <x:c r="T21" s="197" t="n">
        <x:f>IF(OR(L21="",Q21&gt;=1),0,MAX(0,(MAX(0,L21-'08_Bet_Calculator'!$B$24*H21)-Q21)/(1-Q21)))</x:f>
        <x:v>0</x:v>
      </x:c>
      <x:c r="U21" s="197" t="n">
        <x:f>T21*'08_Bet_Calculator'!$B$21</x:f>
        <x:v>0</x:v>
      </x:c>
      <x:c r="V21" s="221"/>
      <x:c r="W21" s="200" t="n">
        <x:f>IF(OR(V21="",S21&lt;=0),0,MIN(V21*U21,V21*'08_Bet_Calculator'!$B$22,'08_Bet_Calculator'!$B$23))</x:f>
        <x:v>0</x:v>
      </x:c>
      <x:c r="X21" s="222" t="n">
        <x:f>IFERROR(W21/Q21,0)</x:f>
        <x:v>0</x:v>
      </x:c>
      <x:c r="Y21" s="189"/>
      <x:c r="Z21" s="196" t="str">
        <x:f>IF(OR(Y21="",K21=""),"",IF(Y21=K21,1,0))</x:f>
      </x:c>
      <x:c r="AA21" s="200" t="str">
        <x:f>IF(Z21="","",X21*(Z21-Q21))</x:f>
      </x:c>
      <x:c r="AB21" s="197" t="str">
        <x:f>IFERROR(AA21/W21,"")</x:f>
      </x:c>
      <x:c r="AC21" s="197" t="str">
        <x:f>IF(Z21="","",(L21-Z21)^2)</x:f>
      </x:c>
      <x:c r="AD21" s="198" t="str">
        <x:f>IF(Z21="","",-(Z21*LN(MAX(0.0001,L21))+(1-Z21)*LN(MAX(0.0001,1-L21))))</x:f>
      </x:c>
      <x:c r="AE21" s="189"/>
      <x:c r="AF21" s="200" t="n">
        <x:f>AF20+IF(AA21="",0,AA21)</x:f>
        <x:v>0</x:v>
      </x:c>
      <x:c r="AG21" s="200" t="n">
        <x:f>MAX(AG20,AF21)</x:f>
        <x:v>0</x:v>
      </x:c>
      <x:c r="AH21" s="200" t="n">
        <x:f>AF21-AG21</x:f>
        <x:v>0</x:v>
      </x:c>
    </x:row>
    <x:row r="22">
      <x:c r="A22" s="189"/>
      <x:c r="B22" s="189"/>
      <x:c r="C22" s="221"/>
      <x:c r="D22" s="189"/>
      <x:c r="E22" s="221"/>
      <x:c r="F22" s="218" t="str">
        <x:f>IFERROR(LN(E22/C22)*10000,"")</x:f>
      </x:c>
      <x:c r="G22" s="191"/>
      <x:c r="H22" s="191"/>
      <x:c r="I22" s="191"/>
      <x:c r="J22" s="191"/>
      <x:c r="K22" s="189"/>
      <x:c r="L22" s="197" t="str">
        <x:f>IF(K22="Up",G22,IF(K22="Down",1-G22,""))</x:f>
      </x:c>
      <x:c r="M22" s="198" t="str">
        <x:f>IF(K22="Up",I22,IF(K22="Down",J22,""))</x:f>
      </x:c>
      <x:c r="N22" s="192"/>
      <x:c r="O22" s="198" t="n">
        <x:f>IF(N22="Taker",M22*'08_Bet_Calculator'!$B$18*(1-M22),0)</x:f>
        <x:v>0</x:v>
      </x:c>
      <x:c r="P22" s="192"/>
      <x:c r="Q22" s="198" t="str">
        <x:f>IF(M22="","",MIN(0.999,M22+O22+P22))</x:f>
      </x:c>
      <x:c r="R22" s="197" t="str">
        <x:f>IF(L22="","",L22-Q22)</x:f>
      </x:c>
      <x:c r="S22" s="197" t="str">
        <x:f>IF(L22="","",L22-'08_Bet_Calculator'!$B$24*H22-Q22-'08_Bet_Calculator'!$B$20)</x:f>
      </x:c>
      <x:c r="T22" s="197" t="n">
        <x:f>IF(OR(L22="",Q22&gt;=1),0,MAX(0,(MAX(0,L22-'08_Bet_Calculator'!$B$24*H22)-Q22)/(1-Q22)))</x:f>
        <x:v>0</x:v>
      </x:c>
      <x:c r="U22" s="197" t="n">
        <x:f>T22*'08_Bet_Calculator'!$B$21</x:f>
        <x:v>0</x:v>
      </x:c>
      <x:c r="V22" s="221"/>
      <x:c r="W22" s="200" t="n">
        <x:f>IF(OR(V22="",S22&lt;=0),0,MIN(V22*U22,V22*'08_Bet_Calculator'!$B$22,'08_Bet_Calculator'!$B$23))</x:f>
        <x:v>0</x:v>
      </x:c>
      <x:c r="X22" s="222" t="n">
        <x:f>IFERROR(W22/Q22,0)</x:f>
        <x:v>0</x:v>
      </x:c>
      <x:c r="Y22" s="189"/>
      <x:c r="Z22" s="196" t="str">
        <x:f>IF(OR(Y22="",K22=""),"",IF(Y22=K22,1,0))</x:f>
      </x:c>
      <x:c r="AA22" s="200" t="str">
        <x:f>IF(Z22="","",X22*(Z22-Q22))</x:f>
      </x:c>
      <x:c r="AB22" s="197" t="str">
        <x:f>IFERROR(AA22/W22,"")</x:f>
      </x:c>
      <x:c r="AC22" s="197" t="str">
        <x:f>IF(Z22="","",(L22-Z22)^2)</x:f>
      </x:c>
      <x:c r="AD22" s="198" t="str">
        <x:f>IF(Z22="","",-(Z22*LN(MAX(0.0001,L22))+(1-Z22)*LN(MAX(0.0001,1-L22))))</x:f>
      </x:c>
      <x:c r="AE22" s="189"/>
      <x:c r="AF22" s="200" t="n">
        <x:f>AF21+IF(AA22="",0,AA22)</x:f>
        <x:v>0</x:v>
      </x:c>
      <x:c r="AG22" s="200" t="n">
        <x:f>MAX(AG21,AF22)</x:f>
        <x:v>0</x:v>
      </x:c>
      <x:c r="AH22" s="200" t="n">
        <x:f>AF22-AG22</x:f>
        <x:v>0</x:v>
      </x:c>
    </x:row>
    <x:row r="23">
      <x:c r="A23" s="189"/>
      <x:c r="B23" s="189"/>
      <x:c r="C23" s="221"/>
      <x:c r="D23" s="189"/>
      <x:c r="E23" s="221"/>
      <x:c r="F23" s="218" t="str">
        <x:f>IFERROR(LN(E23/C23)*10000,"")</x:f>
      </x:c>
      <x:c r="G23" s="191"/>
      <x:c r="H23" s="191"/>
      <x:c r="I23" s="191"/>
      <x:c r="J23" s="191"/>
      <x:c r="K23" s="189"/>
      <x:c r="L23" s="197" t="str">
        <x:f>IF(K23="Up",G23,IF(K23="Down",1-G23,""))</x:f>
      </x:c>
      <x:c r="M23" s="198" t="str">
        <x:f>IF(K23="Up",I23,IF(K23="Down",J23,""))</x:f>
      </x:c>
      <x:c r="N23" s="192"/>
      <x:c r="O23" s="198" t="n">
        <x:f>IF(N23="Taker",M23*'08_Bet_Calculator'!$B$18*(1-M23),0)</x:f>
        <x:v>0</x:v>
      </x:c>
      <x:c r="P23" s="192"/>
      <x:c r="Q23" s="198" t="str">
        <x:f>IF(M23="","",MIN(0.999,M23+O23+P23))</x:f>
      </x:c>
      <x:c r="R23" s="197" t="str">
        <x:f>IF(L23="","",L23-Q23)</x:f>
      </x:c>
      <x:c r="S23" s="197" t="str">
        <x:f>IF(L23="","",L23-'08_Bet_Calculator'!$B$24*H23-Q23-'08_Bet_Calculator'!$B$20)</x:f>
      </x:c>
      <x:c r="T23" s="197" t="n">
        <x:f>IF(OR(L23="",Q23&gt;=1),0,MAX(0,(MAX(0,L23-'08_Bet_Calculator'!$B$24*H23)-Q23)/(1-Q23)))</x:f>
        <x:v>0</x:v>
      </x:c>
      <x:c r="U23" s="197" t="n">
        <x:f>T23*'08_Bet_Calculator'!$B$21</x:f>
        <x:v>0</x:v>
      </x:c>
      <x:c r="V23" s="221"/>
      <x:c r="W23" s="200" t="n">
        <x:f>IF(OR(V23="",S23&lt;=0),0,MIN(V23*U23,V23*'08_Bet_Calculator'!$B$22,'08_Bet_Calculator'!$B$23))</x:f>
        <x:v>0</x:v>
      </x:c>
      <x:c r="X23" s="222" t="n">
        <x:f>IFERROR(W23/Q23,0)</x:f>
        <x:v>0</x:v>
      </x:c>
      <x:c r="Y23" s="189"/>
      <x:c r="Z23" s="196" t="str">
        <x:f>IF(OR(Y23="",K23=""),"",IF(Y23=K23,1,0))</x:f>
      </x:c>
      <x:c r="AA23" s="200" t="str">
        <x:f>IF(Z23="","",X23*(Z23-Q23))</x:f>
      </x:c>
      <x:c r="AB23" s="197" t="str">
        <x:f>IFERROR(AA23/W23,"")</x:f>
      </x:c>
      <x:c r="AC23" s="197" t="str">
        <x:f>IF(Z23="","",(L23-Z23)^2)</x:f>
      </x:c>
      <x:c r="AD23" s="198" t="str">
        <x:f>IF(Z23="","",-(Z23*LN(MAX(0.0001,L23))+(1-Z23)*LN(MAX(0.0001,1-L23))))</x:f>
      </x:c>
      <x:c r="AE23" s="189"/>
      <x:c r="AF23" s="200" t="n">
        <x:f>AF22+IF(AA23="",0,AA23)</x:f>
        <x:v>0</x:v>
      </x:c>
      <x:c r="AG23" s="200" t="n">
        <x:f>MAX(AG22,AF23)</x:f>
        <x:v>0</x:v>
      </x:c>
      <x:c r="AH23" s="200" t="n">
        <x:f>AF23-AG23</x:f>
        <x:v>0</x:v>
      </x:c>
    </x:row>
    <x:row r="24">
      <x:c r="A24" s="189"/>
      <x:c r="B24" s="189"/>
      <x:c r="C24" s="221"/>
      <x:c r="D24" s="189"/>
      <x:c r="E24" s="221"/>
      <x:c r="F24" s="218" t="str">
        <x:f>IFERROR(LN(E24/C24)*10000,"")</x:f>
      </x:c>
      <x:c r="G24" s="191"/>
      <x:c r="H24" s="191"/>
      <x:c r="I24" s="191"/>
      <x:c r="J24" s="191"/>
      <x:c r="K24" s="189"/>
      <x:c r="L24" s="197" t="str">
        <x:f>IF(K24="Up",G24,IF(K24="Down",1-G24,""))</x:f>
      </x:c>
      <x:c r="M24" s="198" t="str">
        <x:f>IF(K24="Up",I24,IF(K24="Down",J24,""))</x:f>
      </x:c>
      <x:c r="N24" s="192"/>
      <x:c r="O24" s="198" t="n">
        <x:f>IF(N24="Taker",M24*'08_Bet_Calculator'!$B$18*(1-M24),0)</x:f>
        <x:v>0</x:v>
      </x:c>
      <x:c r="P24" s="192"/>
      <x:c r="Q24" s="198" t="str">
        <x:f>IF(M24="","",MIN(0.999,M24+O24+P24))</x:f>
      </x:c>
      <x:c r="R24" s="197" t="str">
        <x:f>IF(L24="","",L24-Q24)</x:f>
      </x:c>
      <x:c r="S24" s="197" t="str">
        <x:f>IF(L24="","",L24-'08_Bet_Calculator'!$B$24*H24-Q24-'08_Bet_Calculator'!$B$20)</x:f>
      </x:c>
      <x:c r="T24" s="197" t="n">
        <x:f>IF(OR(L24="",Q24&gt;=1),0,MAX(0,(MAX(0,L24-'08_Bet_Calculator'!$B$24*H24)-Q24)/(1-Q24)))</x:f>
        <x:v>0</x:v>
      </x:c>
      <x:c r="U24" s="197" t="n">
        <x:f>T24*'08_Bet_Calculator'!$B$21</x:f>
        <x:v>0</x:v>
      </x:c>
      <x:c r="V24" s="221"/>
      <x:c r="W24" s="200" t="n">
        <x:f>IF(OR(V24="",S24&lt;=0),0,MIN(V24*U24,V24*'08_Bet_Calculator'!$B$22,'08_Bet_Calculator'!$B$23))</x:f>
        <x:v>0</x:v>
      </x:c>
      <x:c r="X24" s="222" t="n">
        <x:f>IFERROR(W24/Q24,0)</x:f>
        <x:v>0</x:v>
      </x:c>
      <x:c r="Y24" s="189"/>
      <x:c r="Z24" s="196" t="str">
        <x:f>IF(OR(Y24="",K24=""),"",IF(Y24=K24,1,0))</x:f>
      </x:c>
      <x:c r="AA24" s="200" t="str">
        <x:f>IF(Z24="","",X24*(Z24-Q24))</x:f>
      </x:c>
      <x:c r="AB24" s="197" t="str">
        <x:f>IFERROR(AA24/W24,"")</x:f>
      </x:c>
      <x:c r="AC24" s="197" t="str">
        <x:f>IF(Z24="","",(L24-Z24)^2)</x:f>
      </x:c>
      <x:c r="AD24" s="198" t="str">
        <x:f>IF(Z24="","",-(Z24*LN(MAX(0.0001,L24))+(1-Z24)*LN(MAX(0.0001,1-L24))))</x:f>
      </x:c>
      <x:c r="AE24" s="189"/>
      <x:c r="AF24" s="200" t="n">
        <x:f>AF23+IF(AA24="",0,AA24)</x:f>
        <x:v>0</x:v>
      </x:c>
      <x:c r="AG24" s="200" t="n">
        <x:f>MAX(AG23,AF24)</x:f>
        <x:v>0</x:v>
      </x:c>
      <x:c r="AH24" s="200" t="n">
        <x:f>AF24-AG24</x:f>
        <x:v>0</x:v>
      </x:c>
    </x:row>
    <x:row r="25">
      <x:c r="A25" s="189"/>
      <x:c r="B25" s="189"/>
      <x:c r="C25" s="221"/>
      <x:c r="D25" s="189"/>
      <x:c r="E25" s="221"/>
      <x:c r="F25" s="218" t="str">
        <x:f>IFERROR(LN(E25/C25)*10000,"")</x:f>
      </x:c>
      <x:c r="G25" s="191"/>
      <x:c r="H25" s="191"/>
      <x:c r="I25" s="191"/>
      <x:c r="J25" s="191"/>
      <x:c r="K25" s="189"/>
      <x:c r="L25" s="197" t="str">
        <x:f>IF(K25="Up",G25,IF(K25="Down",1-G25,""))</x:f>
      </x:c>
      <x:c r="M25" s="198" t="str">
        <x:f>IF(K25="Up",I25,IF(K25="Down",J25,""))</x:f>
      </x:c>
      <x:c r="N25" s="192"/>
      <x:c r="O25" s="198" t="n">
        <x:f>IF(N25="Taker",M25*'08_Bet_Calculator'!$B$18*(1-M25),0)</x:f>
        <x:v>0</x:v>
      </x:c>
      <x:c r="P25" s="192"/>
      <x:c r="Q25" s="198" t="str">
        <x:f>IF(M25="","",MIN(0.999,M25+O25+P25))</x:f>
      </x:c>
      <x:c r="R25" s="197" t="str">
        <x:f>IF(L25="","",L25-Q25)</x:f>
      </x:c>
      <x:c r="S25" s="197" t="str">
        <x:f>IF(L25="","",L25-'08_Bet_Calculator'!$B$24*H25-Q25-'08_Bet_Calculator'!$B$20)</x:f>
      </x:c>
      <x:c r="T25" s="197" t="n">
        <x:f>IF(OR(L25="",Q25&gt;=1),0,MAX(0,(MAX(0,L25-'08_Bet_Calculator'!$B$24*H25)-Q25)/(1-Q25)))</x:f>
        <x:v>0</x:v>
      </x:c>
      <x:c r="U25" s="197" t="n">
        <x:f>T25*'08_Bet_Calculator'!$B$21</x:f>
        <x:v>0</x:v>
      </x:c>
      <x:c r="V25" s="221"/>
      <x:c r="W25" s="200" t="n">
        <x:f>IF(OR(V25="",S25&lt;=0),0,MIN(V25*U25,V25*'08_Bet_Calculator'!$B$22,'08_Bet_Calculator'!$B$23))</x:f>
        <x:v>0</x:v>
      </x:c>
      <x:c r="X25" s="222" t="n">
        <x:f>IFERROR(W25/Q25,0)</x:f>
        <x:v>0</x:v>
      </x:c>
      <x:c r="Y25" s="189"/>
      <x:c r="Z25" s="196" t="str">
        <x:f>IF(OR(Y25="",K25=""),"",IF(Y25=K25,1,0))</x:f>
      </x:c>
      <x:c r="AA25" s="200" t="str">
        <x:f>IF(Z25="","",X25*(Z25-Q25))</x:f>
      </x:c>
      <x:c r="AB25" s="197" t="str">
        <x:f>IFERROR(AA25/W25,"")</x:f>
      </x:c>
      <x:c r="AC25" s="197" t="str">
        <x:f>IF(Z25="","",(L25-Z25)^2)</x:f>
      </x:c>
      <x:c r="AD25" s="198" t="str">
        <x:f>IF(Z25="","",-(Z25*LN(MAX(0.0001,L25))+(1-Z25)*LN(MAX(0.0001,1-L25))))</x:f>
      </x:c>
      <x:c r="AE25" s="189"/>
      <x:c r="AF25" s="200" t="n">
        <x:f>AF24+IF(AA25="",0,AA25)</x:f>
        <x:v>0</x:v>
      </x:c>
      <x:c r="AG25" s="200" t="n">
        <x:f>MAX(AG24,AF25)</x:f>
        <x:v>0</x:v>
      </x:c>
      <x:c r="AH25" s="200" t="n">
        <x:f>AF25-AG25</x:f>
        <x:v>0</x:v>
      </x:c>
    </x:row>
    <x:row r="26">
      <x:c r="A26" s="189"/>
      <x:c r="B26" s="189"/>
      <x:c r="C26" s="221"/>
      <x:c r="D26" s="189"/>
      <x:c r="E26" s="221"/>
      <x:c r="F26" s="218" t="str">
        <x:f>IFERROR(LN(E26/C26)*10000,"")</x:f>
      </x:c>
      <x:c r="G26" s="191"/>
      <x:c r="H26" s="191"/>
      <x:c r="I26" s="191"/>
      <x:c r="J26" s="191"/>
      <x:c r="K26" s="189"/>
      <x:c r="L26" s="197" t="str">
        <x:f>IF(K26="Up",G26,IF(K26="Down",1-G26,""))</x:f>
      </x:c>
      <x:c r="M26" s="198" t="str">
        <x:f>IF(K26="Up",I26,IF(K26="Down",J26,""))</x:f>
      </x:c>
      <x:c r="N26" s="192"/>
      <x:c r="O26" s="198" t="n">
        <x:f>IF(N26="Taker",M26*'08_Bet_Calculator'!$B$18*(1-M26),0)</x:f>
        <x:v>0</x:v>
      </x:c>
      <x:c r="P26" s="192"/>
      <x:c r="Q26" s="198" t="str">
        <x:f>IF(M26="","",MIN(0.999,M26+O26+P26))</x:f>
      </x:c>
      <x:c r="R26" s="197" t="str">
        <x:f>IF(L26="","",L26-Q26)</x:f>
      </x:c>
      <x:c r="S26" s="197" t="str">
        <x:f>IF(L26="","",L26-'08_Bet_Calculator'!$B$24*H26-Q26-'08_Bet_Calculator'!$B$20)</x:f>
      </x:c>
      <x:c r="T26" s="197" t="n">
        <x:f>IF(OR(L26="",Q26&gt;=1),0,MAX(0,(MAX(0,L26-'08_Bet_Calculator'!$B$24*H26)-Q26)/(1-Q26)))</x:f>
        <x:v>0</x:v>
      </x:c>
      <x:c r="U26" s="197" t="n">
        <x:f>T26*'08_Bet_Calculator'!$B$21</x:f>
        <x:v>0</x:v>
      </x:c>
      <x:c r="V26" s="221"/>
      <x:c r="W26" s="200" t="n">
        <x:f>IF(OR(V26="",S26&lt;=0),0,MIN(V26*U26,V26*'08_Bet_Calculator'!$B$22,'08_Bet_Calculator'!$B$23))</x:f>
        <x:v>0</x:v>
      </x:c>
      <x:c r="X26" s="222" t="n">
        <x:f>IFERROR(W26/Q26,0)</x:f>
        <x:v>0</x:v>
      </x:c>
      <x:c r="Y26" s="189"/>
      <x:c r="Z26" s="196" t="str">
        <x:f>IF(OR(Y26="",K26=""),"",IF(Y26=K26,1,0))</x:f>
      </x:c>
      <x:c r="AA26" s="200" t="str">
        <x:f>IF(Z26="","",X26*(Z26-Q26))</x:f>
      </x:c>
      <x:c r="AB26" s="197" t="str">
        <x:f>IFERROR(AA26/W26,"")</x:f>
      </x:c>
      <x:c r="AC26" s="197" t="str">
        <x:f>IF(Z26="","",(L26-Z26)^2)</x:f>
      </x:c>
      <x:c r="AD26" s="198" t="str">
        <x:f>IF(Z26="","",-(Z26*LN(MAX(0.0001,L26))+(1-Z26)*LN(MAX(0.0001,1-L26))))</x:f>
      </x:c>
      <x:c r="AE26" s="189"/>
      <x:c r="AF26" s="200" t="n">
        <x:f>AF25+IF(AA26="",0,AA26)</x:f>
        <x:v>0</x:v>
      </x:c>
      <x:c r="AG26" s="200" t="n">
        <x:f>MAX(AG25,AF26)</x:f>
        <x:v>0</x:v>
      </x:c>
      <x:c r="AH26" s="200" t="n">
        <x:f>AF26-AG26</x:f>
        <x:v>0</x:v>
      </x:c>
    </x:row>
    <x:row r="27">
      <x:c r="A27" s="189"/>
      <x:c r="B27" s="189"/>
      <x:c r="C27" s="221"/>
      <x:c r="D27" s="189"/>
      <x:c r="E27" s="221"/>
      <x:c r="F27" s="218" t="str">
        <x:f>IFERROR(LN(E27/C27)*10000,"")</x:f>
      </x:c>
      <x:c r="G27" s="191"/>
      <x:c r="H27" s="191"/>
      <x:c r="I27" s="191"/>
      <x:c r="J27" s="191"/>
      <x:c r="K27" s="189"/>
      <x:c r="L27" s="197" t="str">
        <x:f>IF(K27="Up",G27,IF(K27="Down",1-G27,""))</x:f>
      </x:c>
      <x:c r="M27" s="198" t="str">
        <x:f>IF(K27="Up",I27,IF(K27="Down",J27,""))</x:f>
      </x:c>
      <x:c r="N27" s="192"/>
      <x:c r="O27" s="198" t="n">
        <x:f>IF(N27="Taker",M27*'08_Bet_Calculator'!$B$18*(1-M27),0)</x:f>
        <x:v>0</x:v>
      </x:c>
      <x:c r="P27" s="192"/>
      <x:c r="Q27" s="198" t="str">
        <x:f>IF(M27="","",MIN(0.999,M27+O27+P27))</x:f>
      </x:c>
      <x:c r="R27" s="197" t="str">
        <x:f>IF(L27="","",L27-Q27)</x:f>
      </x:c>
      <x:c r="S27" s="197" t="str">
        <x:f>IF(L27="","",L27-'08_Bet_Calculator'!$B$24*H27-Q27-'08_Bet_Calculator'!$B$20)</x:f>
      </x:c>
      <x:c r="T27" s="197" t="n">
        <x:f>IF(OR(L27="",Q27&gt;=1),0,MAX(0,(MAX(0,L27-'08_Bet_Calculator'!$B$24*H27)-Q27)/(1-Q27)))</x:f>
        <x:v>0</x:v>
      </x:c>
      <x:c r="U27" s="197" t="n">
        <x:f>T27*'08_Bet_Calculator'!$B$21</x:f>
        <x:v>0</x:v>
      </x:c>
      <x:c r="V27" s="221"/>
      <x:c r="W27" s="200" t="n">
        <x:f>IF(OR(V27="",S27&lt;=0),0,MIN(V27*U27,V27*'08_Bet_Calculator'!$B$22,'08_Bet_Calculator'!$B$23))</x:f>
        <x:v>0</x:v>
      </x:c>
      <x:c r="X27" s="222" t="n">
        <x:f>IFERROR(W27/Q27,0)</x:f>
        <x:v>0</x:v>
      </x:c>
      <x:c r="Y27" s="189"/>
      <x:c r="Z27" s="196" t="str">
        <x:f>IF(OR(Y27="",K27=""),"",IF(Y27=K27,1,0))</x:f>
      </x:c>
      <x:c r="AA27" s="200" t="str">
        <x:f>IF(Z27="","",X27*(Z27-Q27))</x:f>
      </x:c>
      <x:c r="AB27" s="197" t="str">
        <x:f>IFERROR(AA27/W27,"")</x:f>
      </x:c>
      <x:c r="AC27" s="197" t="str">
        <x:f>IF(Z27="","",(L27-Z27)^2)</x:f>
      </x:c>
      <x:c r="AD27" s="198" t="str">
        <x:f>IF(Z27="","",-(Z27*LN(MAX(0.0001,L27))+(1-Z27)*LN(MAX(0.0001,1-L27))))</x:f>
      </x:c>
      <x:c r="AE27" s="189"/>
      <x:c r="AF27" s="200" t="n">
        <x:f>AF26+IF(AA27="",0,AA27)</x:f>
        <x:v>0</x:v>
      </x:c>
      <x:c r="AG27" s="200" t="n">
        <x:f>MAX(AG26,AF27)</x:f>
        <x:v>0</x:v>
      </x:c>
      <x:c r="AH27" s="200" t="n">
        <x:f>AF27-AG27</x:f>
        <x:v>0</x:v>
      </x:c>
    </x:row>
    <x:row r="28">
      <x:c r="A28" s="189"/>
      <x:c r="B28" s="189"/>
      <x:c r="C28" s="221"/>
      <x:c r="D28" s="189"/>
      <x:c r="E28" s="221"/>
      <x:c r="F28" s="218" t="str">
        <x:f>IFERROR(LN(E28/C28)*10000,"")</x:f>
      </x:c>
      <x:c r="G28" s="191"/>
      <x:c r="H28" s="191"/>
      <x:c r="I28" s="191"/>
      <x:c r="J28" s="191"/>
      <x:c r="K28" s="189"/>
      <x:c r="L28" s="197" t="str">
        <x:f>IF(K28="Up",G28,IF(K28="Down",1-G28,""))</x:f>
      </x:c>
      <x:c r="M28" s="198" t="str">
        <x:f>IF(K28="Up",I28,IF(K28="Down",J28,""))</x:f>
      </x:c>
      <x:c r="N28" s="192"/>
      <x:c r="O28" s="198" t="n">
        <x:f>IF(N28="Taker",M28*'08_Bet_Calculator'!$B$18*(1-M28),0)</x:f>
        <x:v>0</x:v>
      </x:c>
      <x:c r="P28" s="192"/>
      <x:c r="Q28" s="198" t="str">
        <x:f>IF(M28="","",MIN(0.999,M28+O28+P28))</x:f>
      </x:c>
      <x:c r="R28" s="197" t="str">
        <x:f>IF(L28="","",L28-Q28)</x:f>
      </x:c>
      <x:c r="S28" s="197" t="str">
        <x:f>IF(L28="","",L28-'08_Bet_Calculator'!$B$24*H28-Q28-'08_Bet_Calculator'!$B$20)</x:f>
      </x:c>
      <x:c r="T28" s="197" t="n">
        <x:f>IF(OR(L28="",Q28&gt;=1),0,MAX(0,(MAX(0,L28-'08_Bet_Calculator'!$B$24*H28)-Q28)/(1-Q28)))</x:f>
        <x:v>0</x:v>
      </x:c>
      <x:c r="U28" s="197" t="n">
        <x:f>T28*'08_Bet_Calculator'!$B$21</x:f>
        <x:v>0</x:v>
      </x:c>
      <x:c r="V28" s="221"/>
      <x:c r="W28" s="200" t="n">
        <x:f>IF(OR(V28="",S28&lt;=0),0,MIN(V28*U28,V28*'08_Bet_Calculator'!$B$22,'08_Bet_Calculator'!$B$23))</x:f>
        <x:v>0</x:v>
      </x:c>
      <x:c r="X28" s="222" t="n">
        <x:f>IFERROR(W28/Q28,0)</x:f>
        <x:v>0</x:v>
      </x:c>
      <x:c r="Y28" s="189"/>
      <x:c r="Z28" s="196" t="str">
        <x:f>IF(OR(Y28="",K28=""),"",IF(Y28=K28,1,0))</x:f>
      </x:c>
      <x:c r="AA28" s="200" t="str">
        <x:f>IF(Z28="","",X28*(Z28-Q28))</x:f>
      </x:c>
      <x:c r="AB28" s="197" t="str">
        <x:f>IFERROR(AA28/W28,"")</x:f>
      </x:c>
      <x:c r="AC28" s="197" t="str">
        <x:f>IF(Z28="","",(L28-Z28)^2)</x:f>
      </x:c>
      <x:c r="AD28" s="198" t="str">
        <x:f>IF(Z28="","",-(Z28*LN(MAX(0.0001,L28))+(1-Z28)*LN(MAX(0.0001,1-L28))))</x:f>
      </x:c>
      <x:c r="AE28" s="189"/>
      <x:c r="AF28" s="200" t="n">
        <x:f>AF27+IF(AA28="",0,AA28)</x:f>
        <x:v>0</x:v>
      </x:c>
      <x:c r="AG28" s="200" t="n">
        <x:f>MAX(AG27,AF28)</x:f>
        <x:v>0</x:v>
      </x:c>
      <x:c r="AH28" s="200" t="n">
        <x:f>AF28-AG28</x:f>
        <x:v>0</x:v>
      </x:c>
    </x:row>
    <x:row r="29">
      <x:c r="A29" s="189"/>
      <x:c r="B29" s="189"/>
      <x:c r="C29" s="221"/>
      <x:c r="D29" s="189"/>
      <x:c r="E29" s="221"/>
      <x:c r="F29" s="218" t="str">
        <x:f>IFERROR(LN(E29/C29)*10000,"")</x:f>
      </x:c>
      <x:c r="G29" s="191"/>
      <x:c r="H29" s="191"/>
      <x:c r="I29" s="191"/>
      <x:c r="J29" s="191"/>
      <x:c r="K29" s="189"/>
      <x:c r="L29" s="197" t="str">
        <x:f>IF(K29="Up",G29,IF(K29="Down",1-G29,""))</x:f>
      </x:c>
      <x:c r="M29" s="198" t="str">
        <x:f>IF(K29="Up",I29,IF(K29="Down",J29,""))</x:f>
      </x:c>
      <x:c r="N29" s="192"/>
      <x:c r="O29" s="198" t="n">
        <x:f>IF(N29="Taker",M29*'08_Bet_Calculator'!$B$18*(1-M29),0)</x:f>
        <x:v>0</x:v>
      </x:c>
      <x:c r="P29" s="192"/>
      <x:c r="Q29" s="198" t="str">
        <x:f>IF(M29="","",MIN(0.999,M29+O29+P29))</x:f>
      </x:c>
      <x:c r="R29" s="197" t="str">
        <x:f>IF(L29="","",L29-Q29)</x:f>
      </x:c>
      <x:c r="S29" s="197" t="str">
        <x:f>IF(L29="","",L29-'08_Bet_Calculator'!$B$24*H29-Q29-'08_Bet_Calculator'!$B$20)</x:f>
      </x:c>
      <x:c r="T29" s="197" t="n">
        <x:f>IF(OR(L29="",Q29&gt;=1),0,MAX(0,(MAX(0,L29-'08_Bet_Calculator'!$B$24*H29)-Q29)/(1-Q29)))</x:f>
        <x:v>0</x:v>
      </x:c>
      <x:c r="U29" s="197" t="n">
        <x:f>T29*'08_Bet_Calculator'!$B$21</x:f>
        <x:v>0</x:v>
      </x:c>
      <x:c r="V29" s="221"/>
      <x:c r="W29" s="200" t="n">
        <x:f>IF(OR(V29="",S29&lt;=0),0,MIN(V29*U29,V29*'08_Bet_Calculator'!$B$22,'08_Bet_Calculator'!$B$23))</x:f>
        <x:v>0</x:v>
      </x:c>
      <x:c r="X29" s="222" t="n">
        <x:f>IFERROR(W29/Q29,0)</x:f>
        <x:v>0</x:v>
      </x:c>
      <x:c r="Y29" s="189"/>
      <x:c r="Z29" s="196" t="str">
        <x:f>IF(OR(Y29="",K29=""),"",IF(Y29=K29,1,0))</x:f>
      </x:c>
      <x:c r="AA29" s="200" t="str">
        <x:f>IF(Z29="","",X29*(Z29-Q29))</x:f>
      </x:c>
      <x:c r="AB29" s="197" t="str">
        <x:f>IFERROR(AA29/W29,"")</x:f>
      </x:c>
      <x:c r="AC29" s="197" t="str">
        <x:f>IF(Z29="","",(L29-Z29)^2)</x:f>
      </x:c>
      <x:c r="AD29" s="198" t="str">
        <x:f>IF(Z29="","",-(Z29*LN(MAX(0.0001,L29))+(1-Z29)*LN(MAX(0.0001,1-L29))))</x:f>
      </x:c>
      <x:c r="AE29" s="189"/>
      <x:c r="AF29" s="200" t="n">
        <x:f>AF28+IF(AA29="",0,AA29)</x:f>
        <x:v>0</x:v>
      </x:c>
      <x:c r="AG29" s="200" t="n">
        <x:f>MAX(AG28,AF29)</x:f>
        <x:v>0</x:v>
      </x:c>
      <x:c r="AH29" s="200" t="n">
        <x:f>AF29-AG29</x:f>
        <x:v>0</x:v>
      </x:c>
    </x:row>
    <x:row r="30">
      <x:c r="A30" s="189"/>
      <x:c r="B30" s="189"/>
      <x:c r="C30" s="221"/>
      <x:c r="D30" s="189"/>
      <x:c r="E30" s="221"/>
      <x:c r="F30" s="218" t="str">
        <x:f>IFERROR(LN(E30/C30)*10000,"")</x:f>
      </x:c>
      <x:c r="G30" s="191"/>
      <x:c r="H30" s="191"/>
      <x:c r="I30" s="191"/>
      <x:c r="J30" s="191"/>
      <x:c r="K30" s="189"/>
      <x:c r="L30" s="197" t="str">
        <x:f>IF(K30="Up",G30,IF(K30="Down",1-G30,""))</x:f>
      </x:c>
      <x:c r="M30" s="198" t="str">
        <x:f>IF(K30="Up",I30,IF(K30="Down",J30,""))</x:f>
      </x:c>
      <x:c r="N30" s="192"/>
      <x:c r="O30" s="198" t="n">
        <x:f>IF(N30="Taker",M30*'08_Bet_Calculator'!$B$18*(1-M30),0)</x:f>
        <x:v>0</x:v>
      </x:c>
      <x:c r="P30" s="192"/>
      <x:c r="Q30" s="198" t="str">
        <x:f>IF(M30="","",MIN(0.999,M30+O30+P30))</x:f>
      </x:c>
      <x:c r="R30" s="197" t="str">
        <x:f>IF(L30="","",L30-Q30)</x:f>
      </x:c>
      <x:c r="S30" s="197" t="str">
        <x:f>IF(L30="","",L30-'08_Bet_Calculator'!$B$24*H30-Q30-'08_Bet_Calculator'!$B$20)</x:f>
      </x:c>
      <x:c r="T30" s="197" t="n">
        <x:f>IF(OR(L30="",Q30&gt;=1),0,MAX(0,(MAX(0,L30-'08_Bet_Calculator'!$B$24*H30)-Q30)/(1-Q30)))</x:f>
        <x:v>0</x:v>
      </x:c>
      <x:c r="U30" s="197" t="n">
        <x:f>T30*'08_Bet_Calculator'!$B$21</x:f>
        <x:v>0</x:v>
      </x:c>
      <x:c r="V30" s="221"/>
      <x:c r="W30" s="200" t="n">
        <x:f>IF(OR(V30="",S30&lt;=0),0,MIN(V30*U30,V30*'08_Bet_Calculator'!$B$22,'08_Bet_Calculator'!$B$23))</x:f>
        <x:v>0</x:v>
      </x:c>
      <x:c r="X30" s="222" t="n">
        <x:f>IFERROR(W30/Q30,0)</x:f>
        <x:v>0</x:v>
      </x:c>
      <x:c r="Y30" s="189"/>
      <x:c r="Z30" s="196" t="str">
        <x:f>IF(OR(Y30="",K30=""),"",IF(Y30=K30,1,0))</x:f>
      </x:c>
      <x:c r="AA30" s="200" t="str">
        <x:f>IF(Z30="","",X30*(Z30-Q30))</x:f>
      </x:c>
      <x:c r="AB30" s="197" t="str">
        <x:f>IFERROR(AA30/W30,"")</x:f>
      </x:c>
      <x:c r="AC30" s="197" t="str">
        <x:f>IF(Z30="","",(L30-Z30)^2)</x:f>
      </x:c>
      <x:c r="AD30" s="198" t="str">
        <x:f>IF(Z30="","",-(Z30*LN(MAX(0.0001,L30))+(1-Z30)*LN(MAX(0.0001,1-L30))))</x:f>
      </x:c>
      <x:c r="AE30" s="189"/>
      <x:c r="AF30" s="200" t="n">
        <x:f>AF29+IF(AA30="",0,AA30)</x:f>
        <x:v>0</x:v>
      </x:c>
      <x:c r="AG30" s="200" t="n">
        <x:f>MAX(AG29,AF30)</x:f>
        <x:v>0</x:v>
      </x:c>
      <x:c r="AH30" s="200" t="n">
        <x:f>AF30-AG30</x:f>
        <x:v>0</x:v>
      </x:c>
    </x:row>
    <x:row r="31">
      <x:c r="A31" s="189"/>
      <x:c r="B31" s="189"/>
      <x:c r="C31" s="221"/>
      <x:c r="D31" s="189"/>
      <x:c r="E31" s="221"/>
      <x:c r="F31" s="218" t="str">
        <x:f>IFERROR(LN(E31/C31)*10000,"")</x:f>
      </x:c>
      <x:c r="G31" s="191"/>
      <x:c r="H31" s="191"/>
      <x:c r="I31" s="191"/>
      <x:c r="J31" s="191"/>
      <x:c r="K31" s="189"/>
      <x:c r="L31" s="197" t="str">
        <x:f>IF(K31="Up",G31,IF(K31="Down",1-G31,""))</x:f>
      </x:c>
      <x:c r="M31" s="198" t="str">
        <x:f>IF(K31="Up",I31,IF(K31="Down",J31,""))</x:f>
      </x:c>
      <x:c r="N31" s="192"/>
      <x:c r="O31" s="198" t="n">
        <x:f>IF(N31="Taker",M31*'08_Bet_Calculator'!$B$18*(1-M31),0)</x:f>
        <x:v>0</x:v>
      </x:c>
      <x:c r="P31" s="192"/>
      <x:c r="Q31" s="198" t="str">
        <x:f>IF(M31="","",MIN(0.999,M31+O31+P31))</x:f>
      </x:c>
      <x:c r="R31" s="197" t="str">
        <x:f>IF(L31="","",L31-Q31)</x:f>
      </x:c>
      <x:c r="S31" s="197" t="str">
        <x:f>IF(L31="","",L31-'08_Bet_Calculator'!$B$24*H31-Q31-'08_Bet_Calculator'!$B$20)</x:f>
      </x:c>
      <x:c r="T31" s="197" t="n">
        <x:f>IF(OR(L31="",Q31&gt;=1),0,MAX(0,(MAX(0,L31-'08_Bet_Calculator'!$B$24*H31)-Q31)/(1-Q31)))</x:f>
        <x:v>0</x:v>
      </x:c>
      <x:c r="U31" s="197" t="n">
        <x:f>T31*'08_Bet_Calculator'!$B$21</x:f>
        <x:v>0</x:v>
      </x:c>
      <x:c r="V31" s="221"/>
      <x:c r="W31" s="200" t="n">
        <x:f>IF(OR(V31="",S31&lt;=0),0,MIN(V31*U31,V31*'08_Bet_Calculator'!$B$22,'08_Bet_Calculator'!$B$23))</x:f>
        <x:v>0</x:v>
      </x:c>
      <x:c r="X31" s="222" t="n">
        <x:f>IFERROR(W31/Q31,0)</x:f>
        <x:v>0</x:v>
      </x:c>
      <x:c r="Y31" s="189"/>
      <x:c r="Z31" s="196" t="str">
        <x:f>IF(OR(Y31="",K31=""),"",IF(Y31=K31,1,0))</x:f>
      </x:c>
      <x:c r="AA31" s="200" t="str">
        <x:f>IF(Z31="","",X31*(Z31-Q31))</x:f>
      </x:c>
      <x:c r="AB31" s="197" t="str">
        <x:f>IFERROR(AA31/W31,"")</x:f>
      </x:c>
      <x:c r="AC31" s="197" t="str">
        <x:f>IF(Z31="","",(L31-Z31)^2)</x:f>
      </x:c>
      <x:c r="AD31" s="198" t="str">
        <x:f>IF(Z31="","",-(Z31*LN(MAX(0.0001,L31))+(1-Z31)*LN(MAX(0.0001,1-L31))))</x:f>
      </x:c>
      <x:c r="AE31" s="189"/>
      <x:c r="AF31" s="200" t="n">
        <x:f>AF30+IF(AA31="",0,AA31)</x:f>
        <x:v>0</x:v>
      </x:c>
      <x:c r="AG31" s="200" t="n">
        <x:f>MAX(AG30,AF31)</x:f>
        <x:v>0</x:v>
      </x:c>
      <x:c r="AH31" s="200" t="n">
        <x:f>AF31-AG31</x:f>
        <x:v>0</x:v>
      </x:c>
    </x:row>
    <x:row r="32">
      <x:c r="A32" s="189"/>
      <x:c r="B32" s="189"/>
      <x:c r="C32" s="221"/>
      <x:c r="D32" s="189"/>
      <x:c r="E32" s="221"/>
      <x:c r="F32" s="218" t="str">
        <x:f>IFERROR(LN(E32/C32)*10000,"")</x:f>
      </x:c>
      <x:c r="G32" s="191"/>
      <x:c r="H32" s="191"/>
      <x:c r="I32" s="191"/>
      <x:c r="J32" s="191"/>
      <x:c r="K32" s="189"/>
      <x:c r="L32" s="197" t="str">
        <x:f>IF(K32="Up",G32,IF(K32="Down",1-G32,""))</x:f>
      </x:c>
      <x:c r="M32" s="198" t="str">
        <x:f>IF(K32="Up",I32,IF(K32="Down",J32,""))</x:f>
      </x:c>
      <x:c r="N32" s="192"/>
      <x:c r="O32" s="198" t="n">
        <x:f>IF(N32="Taker",M32*'08_Bet_Calculator'!$B$18*(1-M32),0)</x:f>
        <x:v>0</x:v>
      </x:c>
      <x:c r="P32" s="192"/>
      <x:c r="Q32" s="198" t="str">
        <x:f>IF(M32="","",MIN(0.999,M32+O32+P32))</x:f>
      </x:c>
      <x:c r="R32" s="197" t="str">
        <x:f>IF(L32="","",L32-Q32)</x:f>
      </x:c>
      <x:c r="S32" s="197" t="str">
        <x:f>IF(L32="","",L32-'08_Bet_Calculator'!$B$24*H32-Q32-'08_Bet_Calculator'!$B$20)</x:f>
      </x:c>
      <x:c r="T32" s="197" t="n">
        <x:f>IF(OR(L32="",Q32&gt;=1),0,MAX(0,(MAX(0,L32-'08_Bet_Calculator'!$B$24*H32)-Q32)/(1-Q32)))</x:f>
        <x:v>0</x:v>
      </x:c>
      <x:c r="U32" s="197" t="n">
        <x:f>T32*'08_Bet_Calculator'!$B$21</x:f>
        <x:v>0</x:v>
      </x:c>
      <x:c r="V32" s="221"/>
      <x:c r="W32" s="200" t="n">
        <x:f>IF(OR(V32="",S32&lt;=0),0,MIN(V32*U32,V32*'08_Bet_Calculator'!$B$22,'08_Bet_Calculator'!$B$23))</x:f>
        <x:v>0</x:v>
      </x:c>
      <x:c r="X32" s="222" t="n">
        <x:f>IFERROR(W32/Q32,0)</x:f>
        <x:v>0</x:v>
      </x:c>
      <x:c r="Y32" s="189"/>
      <x:c r="Z32" s="196" t="str">
        <x:f>IF(OR(Y32="",K32=""),"",IF(Y32=K32,1,0))</x:f>
      </x:c>
      <x:c r="AA32" s="200" t="str">
        <x:f>IF(Z32="","",X32*(Z32-Q32))</x:f>
      </x:c>
      <x:c r="AB32" s="197" t="str">
        <x:f>IFERROR(AA32/W32,"")</x:f>
      </x:c>
      <x:c r="AC32" s="197" t="str">
        <x:f>IF(Z32="","",(L32-Z32)^2)</x:f>
      </x:c>
      <x:c r="AD32" s="198" t="str">
        <x:f>IF(Z32="","",-(Z32*LN(MAX(0.0001,L32))+(1-Z32)*LN(MAX(0.0001,1-L32))))</x:f>
      </x:c>
      <x:c r="AE32" s="189"/>
      <x:c r="AF32" s="200" t="n">
        <x:f>AF31+IF(AA32="",0,AA32)</x:f>
        <x:v>0</x:v>
      </x:c>
      <x:c r="AG32" s="200" t="n">
        <x:f>MAX(AG31,AF32)</x:f>
        <x:v>0</x:v>
      </x:c>
      <x:c r="AH32" s="200" t="n">
        <x:f>AF32-AG32</x:f>
        <x:v>0</x:v>
      </x:c>
    </x:row>
    <x:row r="33">
      <x:c r="A33" s="189"/>
      <x:c r="B33" s="189"/>
      <x:c r="C33" s="221"/>
      <x:c r="D33" s="189"/>
      <x:c r="E33" s="221"/>
      <x:c r="F33" s="218" t="str">
        <x:f>IFERROR(LN(E33/C33)*10000,"")</x:f>
      </x:c>
      <x:c r="G33" s="191"/>
      <x:c r="H33" s="191"/>
      <x:c r="I33" s="191"/>
      <x:c r="J33" s="191"/>
      <x:c r="K33" s="189"/>
      <x:c r="L33" s="197" t="str">
        <x:f>IF(K33="Up",G33,IF(K33="Down",1-G33,""))</x:f>
      </x:c>
      <x:c r="M33" s="198" t="str">
        <x:f>IF(K33="Up",I33,IF(K33="Down",J33,""))</x:f>
      </x:c>
      <x:c r="N33" s="192"/>
      <x:c r="O33" s="198" t="n">
        <x:f>IF(N33="Taker",M33*'08_Bet_Calculator'!$B$18*(1-M33),0)</x:f>
        <x:v>0</x:v>
      </x:c>
      <x:c r="P33" s="192"/>
      <x:c r="Q33" s="198" t="str">
        <x:f>IF(M33="","",MIN(0.999,M33+O33+P33))</x:f>
      </x:c>
      <x:c r="R33" s="197" t="str">
        <x:f>IF(L33="","",L33-Q33)</x:f>
      </x:c>
      <x:c r="S33" s="197" t="str">
        <x:f>IF(L33="","",L33-'08_Bet_Calculator'!$B$24*H33-Q33-'08_Bet_Calculator'!$B$20)</x:f>
      </x:c>
      <x:c r="T33" s="197" t="n">
        <x:f>IF(OR(L33="",Q33&gt;=1),0,MAX(0,(MAX(0,L33-'08_Bet_Calculator'!$B$24*H33)-Q33)/(1-Q33)))</x:f>
        <x:v>0</x:v>
      </x:c>
      <x:c r="U33" s="197" t="n">
        <x:f>T33*'08_Bet_Calculator'!$B$21</x:f>
        <x:v>0</x:v>
      </x:c>
      <x:c r="V33" s="221"/>
      <x:c r="W33" s="200" t="n">
        <x:f>IF(OR(V33="",S33&lt;=0),0,MIN(V33*U33,V33*'08_Bet_Calculator'!$B$22,'08_Bet_Calculator'!$B$23))</x:f>
        <x:v>0</x:v>
      </x:c>
      <x:c r="X33" s="222" t="n">
        <x:f>IFERROR(W33/Q33,0)</x:f>
        <x:v>0</x:v>
      </x:c>
      <x:c r="Y33" s="189"/>
      <x:c r="Z33" s="196" t="str">
        <x:f>IF(OR(Y33="",K33=""),"",IF(Y33=K33,1,0))</x:f>
      </x:c>
      <x:c r="AA33" s="200" t="str">
        <x:f>IF(Z33="","",X33*(Z33-Q33))</x:f>
      </x:c>
      <x:c r="AB33" s="197" t="str">
        <x:f>IFERROR(AA33/W33,"")</x:f>
      </x:c>
      <x:c r="AC33" s="197" t="str">
        <x:f>IF(Z33="","",(L33-Z33)^2)</x:f>
      </x:c>
      <x:c r="AD33" s="198" t="str">
        <x:f>IF(Z33="","",-(Z33*LN(MAX(0.0001,L33))+(1-Z33)*LN(MAX(0.0001,1-L33))))</x:f>
      </x:c>
      <x:c r="AE33" s="189"/>
      <x:c r="AF33" s="200" t="n">
        <x:f>AF32+IF(AA33="",0,AA33)</x:f>
        <x:v>0</x:v>
      </x:c>
      <x:c r="AG33" s="200" t="n">
        <x:f>MAX(AG32,AF33)</x:f>
        <x:v>0</x:v>
      </x:c>
      <x:c r="AH33" s="200" t="n">
        <x:f>AF33-AG33</x:f>
        <x:v>0</x:v>
      </x:c>
    </x:row>
    <x:row r="34">
      <x:c r="A34" s="189"/>
      <x:c r="B34" s="189"/>
      <x:c r="C34" s="221"/>
      <x:c r="D34" s="189"/>
      <x:c r="E34" s="221"/>
      <x:c r="F34" s="218" t="str">
        <x:f>IFERROR(LN(E34/C34)*10000,"")</x:f>
      </x:c>
      <x:c r="G34" s="191"/>
      <x:c r="H34" s="191"/>
      <x:c r="I34" s="191"/>
      <x:c r="J34" s="191"/>
      <x:c r="K34" s="189"/>
      <x:c r="L34" s="197" t="str">
        <x:f>IF(K34="Up",G34,IF(K34="Down",1-G34,""))</x:f>
      </x:c>
      <x:c r="M34" s="198" t="str">
        <x:f>IF(K34="Up",I34,IF(K34="Down",J34,""))</x:f>
      </x:c>
      <x:c r="N34" s="192"/>
      <x:c r="O34" s="198" t="n">
        <x:f>IF(N34="Taker",M34*'08_Bet_Calculator'!$B$18*(1-M34),0)</x:f>
        <x:v>0</x:v>
      </x:c>
      <x:c r="P34" s="192"/>
      <x:c r="Q34" s="198" t="str">
        <x:f>IF(M34="","",MIN(0.999,M34+O34+P34))</x:f>
      </x:c>
      <x:c r="R34" s="197" t="str">
        <x:f>IF(L34="","",L34-Q34)</x:f>
      </x:c>
      <x:c r="S34" s="197" t="str">
        <x:f>IF(L34="","",L34-'08_Bet_Calculator'!$B$24*H34-Q34-'08_Bet_Calculator'!$B$20)</x:f>
      </x:c>
      <x:c r="T34" s="197" t="n">
        <x:f>IF(OR(L34="",Q34&gt;=1),0,MAX(0,(MAX(0,L34-'08_Bet_Calculator'!$B$24*H34)-Q34)/(1-Q34)))</x:f>
        <x:v>0</x:v>
      </x:c>
      <x:c r="U34" s="197" t="n">
        <x:f>T34*'08_Bet_Calculator'!$B$21</x:f>
        <x:v>0</x:v>
      </x:c>
      <x:c r="V34" s="221"/>
      <x:c r="W34" s="200" t="n">
        <x:f>IF(OR(V34="",S34&lt;=0),0,MIN(V34*U34,V34*'08_Bet_Calculator'!$B$22,'08_Bet_Calculator'!$B$23))</x:f>
        <x:v>0</x:v>
      </x:c>
      <x:c r="X34" s="222" t="n">
        <x:f>IFERROR(W34/Q34,0)</x:f>
        <x:v>0</x:v>
      </x:c>
      <x:c r="Y34" s="189"/>
      <x:c r="Z34" s="196" t="str">
        <x:f>IF(OR(Y34="",K34=""),"",IF(Y34=K34,1,0))</x:f>
      </x:c>
      <x:c r="AA34" s="200" t="str">
        <x:f>IF(Z34="","",X34*(Z34-Q34))</x:f>
      </x:c>
      <x:c r="AB34" s="197" t="str">
        <x:f>IFERROR(AA34/W34,"")</x:f>
      </x:c>
      <x:c r="AC34" s="197" t="str">
        <x:f>IF(Z34="","",(L34-Z34)^2)</x:f>
      </x:c>
      <x:c r="AD34" s="198" t="str">
        <x:f>IF(Z34="","",-(Z34*LN(MAX(0.0001,L34))+(1-Z34)*LN(MAX(0.0001,1-L34))))</x:f>
      </x:c>
      <x:c r="AE34" s="189"/>
      <x:c r="AF34" s="200" t="n">
        <x:f>AF33+IF(AA34="",0,AA34)</x:f>
        <x:v>0</x:v>
      </x:c>
      <x:c r="AG34" s="200" t="n">
        <x:f>MAX(AG33,AF34)</x:f>
        <x:v>0</x:v>
      </x:c>
      <x:c r="AH34" s="200" t="n">
        <x:f>AF34-AG34</x:f>
        <x:v>0</x:v>
      </x:c>
    </x:row>
    <x:row r="35">
      <x:c r="A35" s="189"/>
      <x:c r="B35" s="189"/>
      <x:c r="C35" s="221"/>
      <x:c r="D35" s="189"/>
      <x:c r="E35" s="221"/>
      <x:c r="F35" s="218" t="str">
        <x:f>IFERROR(LN(E35/C35)*10000,"")</x:f>
      </x:c>
      <x:c r="G35" s="191"/>
      <x:c r="H35" s="191"/>
      <x:c r="I35" s="191"/>
      <x:c r="J35" s="191"/>
      <x:c r="K35" s="189"/>
      <x:c r="L35" s="197" t="str">
        <x:f>IF(K35="Up",G35,IF(K35="Down",1-G35,""))</x:f>
      </x:c>
      <x:c r="M35" s="198" t="str">
        <x:f>IF(K35="Up",I35,IF(K35="Down",J35,""))</x:f>
      </x:c>
      <x:c r="N35" s="192"/>
      <x:c r="O35" s="198" t="n">
        <x:f>IF(N35="Taker",M35*'08_Bet_Calculator'!$B$18*(1-M35),0)</x:f>
        <x:v>0</x:v>
      </x:c>
      <x:c r="P35" s="192"/>
      <x:c r="Q35" s="198" t="str">
        <x:f>IF(M35="","",MIN(0.999,M35+O35+P35))</x:f>
      </x:c>
      <x:c r="R35" s="197" t="str">
        <x:f>IF(L35="","",L35-Q35)</x:f>
      </x:c>
      <x:c r="S35" s="197" t="str">
        <x:f>IF(L35="","",L35-'08_Bet_Calculator'!$B$24*H35-Q35-'08_Bet_Calculator'!$B$20)</x:f>
      </x:c>
      <x:c r="T35" s="197" t="n">
        <x:f>IF(OR(L35="",Q35&gt;=1),0,MAX(0,(MAX(0,L35-'08_Bet_Calculator'!$B$24*H35)-Q35)/(1-Q35)))</x:f>
        <x:v>0</x:v>
      </x:c>
      <x:c r="U35" s="197" t="n">
        <x:f>T35*'08_Bet_Calculator'!$B$21</x:f>
        <x:v>0</x:v>
      </x:c>
      <x:c r="V35" s="221"/>
      <x:c r="W35" s="200" t="n">
        <x:f>IF(OR(V35="",S35&lt;=0),0,MIN(V35*U35,V35*'08_Bet_Calculator'!$B$22,'08_Bet_Calculator'!$B$23))</x:f>
        <x:v>0</x:v>
      </x:c>
      <x:c r="X35" s="222" t="n">
        <x:f>IFERROR(W35/Q35,0)</x:f>
        <x:v>0</x:v>
      </x:c>
      <x:c r="Y35" s="189"/>
      <x:c r="Z35" s="196" t="str">
        <x:f>IF(OR(Y35="",K35=""),"",IF(Y35=K35,1,0))</x:f>
      </x:c>
      <x:c r="AA35" s="200" t="str">
        <x:f>IF(Z35="","",X35*(Z35-Q35))</x:f>
      </x:c>
      <x:c r="AB35" s="197" t="str">
        <x:f>IFERROR(AA35/W35,"")</x:f>
      </x:c>
      <x:c r="AC35" s="197" t="str">
        <x:f>IF(Z35="","",(L35-Z35)^2)</x:f>
      </x:c>
      <x:c r="AD35" s="198" t="str">
        <x:f>IF(Z35="","",-(Z35*LN(MAX(0.0001,L35))+(1-Z35)*LN(MAX(0.0001,1-L35))))</x:f>
      </x:c>
      <x:c r="AE35" s="189"/>
      <x:c r="AF35" s="200" t="n">
        <x:f>AF34+IF(AA35="",0,AA35)</x:f>
        <x:v>0</x:v>
      </x:c>
      <x:c r="AG35" s="200" t="n">
        <x:f>MAX(AG34,AF35)</x:f>
        <x:v>0</x:v>
      </x:c>
      <x:c r="AH35" s="200" t="n">
        <x:f>AF35-AG35</x:f>
        <x:v>0</x:v>
      </x:c>
    </x:row>
    <x:row r="36">
      <x:c r="A36" s="189"/>
      <x:c r="B36" s="189"/>
      <x:c r="C36" s="221"/>
      <x:c r="D36" s="189"/>
      <x:c r="E36" s="221"/>
      <x:c r="F36" s="218" t="str">
        <x:f>IFERROR(LN(E36/C36)*10000,"")</x:f>
      </x:c>
      <x:c r="G36" s="191"/>
      <x:c r="H36" s="191"/>
      <x:c r="I36" s="191"/>
      <x:c r="J36" s="191"/>
      <x:c r="K36" s="189"/>
      <x:c r="L36" s="197" t="str">
        <x:f>IF(K36="Up",G36,IF(K36="Down",1-G36,""))</x:f>
      </x:c>
      <x:c r="M36" s="198" t="str">
        <x:f>IF(K36="Up",I36,IF(K36="Down",J36,""))</x:f>
      </x:c>
      <x:c r="N36" s="192"/>
      <x:c r="O36" s="198" t="n">
        <x:f>IF(N36="Taker",M36*'08_Bet_Calculator'!$B$18*(1-M36),0)</x:f>
        <x:v>0</x:v>
      </x:c>
      <x:c r="P36" s="192"/>
      <x:c r="Q36" s="198" t="str">
        <x:f>IF(M36="","",MIN(0.999,M36+O36+P36))</x:f>
      </x:c>
      <x:c r="R36" s="197" t="str">
        <x:f>IF(L36="","",L36-Q36)</x:f>
      </x:c>
      <x:c r="S36" s="197" t="str">
        <x:f>IF(L36="","",L36-'08_Bet_Calculator'!$B$24*H36-Q36-'08_Bet_Calculator'!$B$20)</x:f>
      </x:c>
      <x:c r="T36" s="197" t="n">
        <x:f>IF(OR(L36="",Q36&gt;=1),0,MAX(0,(MAX(0,L36-'08_Bet_Calculator'!$B$24*H36)-Q36)/(1-Q36)))</x:f>
        <x:v>0</x:v>
      </x:c>
      <x:c r="U36" s="197" t="n">
        <x:f>T36*'08_Bet_Calculator'!$B$21</x:f>
        <x:v>0</x:v>
      </x:c>
      <x:c r="V36" s="221"/>
      <x:c r="W36" s="200" t="n">
        <x:f>IF(OR(V36="",S36&lt;=0),0,MIN(V36*U36,V36*'08_Bet_Calculator'!$B$22,'08_Bet_Calculator'!$B$23))</x:f>
        <x:v>0</x:v>
      </x:c>
      <x:c r="X36" s="222" t="n">
        <x:f>IFERROR(W36/Q36,0)</x:f>
        <x:v>0</x:v>
      </x:c>
      <x:c r="Y36" s="189"/>
      <x:c r="Z36" s="196" t="str">
        <x:f>IF(OR(Y36="",K36=""),"",IF(Y36=K36,1,0))</x:f>
      </x:c>
      <x:c r="AA36" s="200" t="str">
        <x:f>IF(Z36="","",X36*(Z36-Q36))</x:f>
      </x:c>
      <x:c r="AB36" s="197" t="str">
        <x:f>IFERROR(AA36/W36,"")</x:f>
      </x:c>
      <x:c r="AC36" s="197" t="str">
        <x:f>IF(Z36="","",(L36-Z36)^2)</x:f>
      </x:c>
      <x:c r="AD36" s="198" t="str">
        <x:f>IF(Z36="","",-(Z36*LN(MAX(0.0001,L36))+(1-Z36)*LN(MAX(0.0001,1-L36))))</x:f>
      </x:c>
      <x:c r="AE36" s="189"/>
      <x:c r="AF36" s="200" t="n">
        <x:f>AF35+IF(AA36="",0,AA36)</x:f>
        <x:v>0</x:v>
      </x:c>
      <x:c r="AG36" s="200" t="n">
        <x:f>MAX(AG35,AF36)</x:f>
        <x:v>0</x:v>
      </x:c>
      <x:c r="AH36" s="200" t="n">
        <x:f>AF36-AG36</x:f>
        <x:v>0</x:v>
      </x:c>
    </x:row>
    <x:row r="37">
      <x:c r="A37" s="189"/>
      <x:c r="B37" s="189"/>
      <x:c r="C37" s="221"/>
      <x:c r="D37" s="189"/>
      <x:c r="E37" s="221"/>
      <x:c r="F37" s="218" t="str">
        <x:f>IFERROR(LN(E37/C37)*10000,"")</x:f>
      </x:c>
      <x:c r="G37" s="191"/>
      <x:c r="H37" s="191"/>
      <x:c r="I37" s="191"/>
      <x:c r="J37" s="191"/>
      <x:c r="K37" s="189"/>
      <x:c r="L37" s="197" t="str">
        <x:f>IF(K37="Up",G37,IF(K37="Down",1-G37,""))</x:f>
      </x:c>
      <x:c r="M37" s="198" t="str">
        <x:f>IF(K37="Up",I37,IF(K37="Down",J37,""))</x:f>
      </x:c>
      <x:c r="N37" s="192"/>
      <x:c r="O37" s="198" t="n">
        <x:f>IF(N37="Taker",M37*'08_Bet_Calculator'!$B$18*(1-M37),0)</x:f>
        <x:v>0</x:v>
      </x:c>
      <x:c r="P37" s="192"/>
      <x:c r="Q37" s="198" t="str">
        <x:f>IF(M37="","",MIN(0.999,M37+O37+P37))</x:f>
      </x:c>
      <x:c r="R37" s="197" t="str">
        <x:f>IF(L37="","",L37-Q37)</x:f>
      </x:c>
      <x:c r="S37" s="197" t="str">
        <x:f>IF(L37="","",L37-'08_Bet_Calculator'!$B$24*H37-Q37-'08_Bet_Calculator'!$B$20)</x:f>
      </x:c>
      <x:c r="T37" s="197" t="n">
        <x:f>IF(OR(L37="",Q37&gt;=1),0,MAX(0,(MAX(0,L37-'08_Bet_Calculator'!$B$24*H37)-Q37)/(1-Q37)))</x:f>
        <x:v>0</x:v>
      </x:c>
      <x:c r="U37" s="197" t="n">
        <x:f>T37*'08_Bet_Calculator'!$B$21</x:f>
        <x:v>0</x:v>
      </x:c>
      <x:c r="V37" s="221"/>
      <x:c r="W37" s="200" t="n">
        <x:f>IF(OR(V37="",S37&lt;=0),0,MIN(V37*U37,V37*'08_Bet_Calculator'!$B$22,'08_Bet_Calculator'!$B$23))</x:f>
        <x:v>0</x:v>
      </x:c>
      <x:c r="X37" s="222" t="n">
        <x:f>IFERROR(W37/Q37,0)</x:f>
        <x:v>0</x:v>
      </x:c>
      <x:c r="Y37" s="189"/>
      <x:c r="Z37" s="196" t="str">
        <x:f>IF(OR(Y37="",K37=""),"",IF(Y37=K37,1,0))</x:f>
      </x:c>
      <x:c r="AA37" s="200" t="str">
        <x:f>IF(Z37="","",X37*(Z37-Q37))</x:f>
      </x:c>
      <x:c r="AB37" s="197" t="str">
        <x:f>IFERROR(AA37/W37,"")</x:f>
      </x:c>
      <x:c r="AC37" s="197" t="str">
        <x:f>IF(Z37="","",(L37-Z37)^2)</x:f>
      </x:c>
      <x:c r="AD37" s="198" t="str">
        <x:f>IF(Z37="","",-(Z37*LN(MAX(0.0001,L37))+(1-Z37)*LN(MAX(0.0001,1-L37))))</x:f>
      </x:c>
      <x:c r="AE37" s="189"/>
      <x:c r="AF37" s="200" t="n">
        <x:f>AF36+IF(AA37="",0,AA37)</x:f>
        <x:v>0</x:v>
      </x:c>
      <x:c r="AG37" s="200" t="n">
        <x:f>MAX(AG36,AF37)</x:f>
        <x:v>0</x:v>
      </x:c>
      <x:c r="AH37" s="200" t="n">
        <x:f>AF37-AG37</x:f>
        <x:v>0</x:v>
      </x:c>
    </x:row>
    <x:row r="38">
      <x:c r="A38" s="189"/>
      <x:c r="B38" s="189"/>
      <x:c r="C38" s="221"/>
      <x:c r="D38" s="189"/>
      <x:c r="E38" s="221"/>
      <x:c r="F38" s="218" t="str">
        <x:f>IFERROR(LN(E38/C38)*10000,"")</x:f>
      </x:c>
      <x:c r="G38" s="191"/>
      <x:c r="H38" s="191"/>
      <x:c r="I38" s="191"/>
      <x:c r="J38" s="191"/>
      <x:c r="K38" s="189"/>
      <x:c r="L38" s="197" t="str">
        <x:f>IF(K38="Up",G38,IF(K38="Down",1-G38,""))</x:f>
      </x:c>
      <x:c r="M38" s="198" t="str">
        <x:f>IF(K38="Up",I38,IF(K38="Down",J38,""))</x:f>
      </x:c>
      <x:c r="N38" s="192"/>
      <x:c r="O38" s="198" t="n">
        <x:f>IF(N38="Taker",M38*'08_Bet_Calculator'!$B$18*(1-M38),0)</x:f>
        <x:v>0</x:v>
      </x:c>
      <x:c r="P38" s="192"/>
      <x:c r="Q38" s="198" t="str">
        <x:f>IF(M38="","",MIN(0.999,M38+O38+P38))</x:f>
      </x:c>
      <x:c r="R38" s="197" t="str">
        <x:f>IF(L38="","",L38-Q38)</x:f>
      </x:c>
      <x:c r="S38" s="197" t="str">
        <x:f>IF(L38="","",L38-'08_Bet_Calculator'!$B$24*H38-Q38-'08_Bet_Calculator'!$B$20)</x:f>
      </x:c>
      <x:c r="T38" s="197" t="n">
        <x:f>IF(OR(L38="",Q38&gt;=1),0,MAX(0,(MAX(0,L38-'08_Bet_Calculator'!$B$24*H38)-Q38)/(1-Q38)))</x:f>
        <x:v>0</x:v>
      </x:c>
      <x:c r="U38" s="197" t="n">
        <x:f>T38*'08_Bet_Calculator'!$B$21</x:f>
        <x:v>0</x:v>
      </x:c>
      <x:c r="V38" s="221"/>
      <x:c r="W38" s="200" t="n">
        <x:f>IF(OR(V38="",S38&lt;=0),0,MIN(V38*U38,V38*'08_Bet_Calculator'!$B$22,'08_Bet_Calculator'!$B$23))</x:f>
        <x:v>0</x:v>
      </x:c>
      <x:c r="X38" s="222" t="n">
        <x:f>IFERROR(W38/Q38,0)</x:f>
        <x:v>0</x:v>
      </x:c>
      <x:c r="Y38" s="189"/>
      <x:c r="Z38" s="196" t="str">
        <x:f>IF(OR(Y38="",K38=""),"",IF(Y38=K38,1,0))</x:f>
      </x:c>
      <x:c r="AA38" s="200" t="str">
        <x:f>IF(Z38="","",X38*(Z38-Q38))</x:f>
      </x:c>
      <x:c r="AB38" s="197" t="str">
        <x:f>IFERROR(AA38/W38,"")</x:f>
      </x:c>
      <x:c r="AC38" s="197" t="str">
        <x:f>IF(Z38="","",(L38-Z38)^2)</x:f>
      </x:c>
      <x:c r="AD38" s="198" t="str">
        <x:f>IF(Z38="","",-(Z38*LN(MAX(0.0001,L38))+(1-Z38)*LN(MAX(0.0001,1-L38))))</x:f>
      </x:c>
      <x:c r="AE38" s="189"/>
      <x:c r="AF38" s="200" t="n">
        <x:f>AF37+IF(AA38="",0,AA38)</x:f>
        <x:v>0</x:v>
      </x:c>
      <x:c r="AG38" s="200" t="n">
        <x:f>MAX(AG37,AF38)</x:f>
        <x:v>0</x:v>
      </x:c>
      <x:c r="AH38" s="200" t="n">
        <x:f>AF38-AG38</x:f>
        <x:v>0</x:v>
      </x:c>
    </x:row>
    <x:row r="39">
      <x:c r="A39" s="189"/>
      <x:c r="B39" s="189"/>
      <x:c r="C39" s="221"/>
      <x:c r="D39" s="189"/>
      <x:c r="E39" s="221"/>
      <x:c r="F39" s="218" t="str">
        <x:f>IFERROR(LN(E39/C39)*10000,"")</x:f>
      </x:c>
      <x:c r="G39" s="191"/>
      <x:c r="H39" s="191"/>
      <x:c r="I39" s="191"/>
      <x:c r="J39" s="191"/>
      <x:c r="K39" s="189"/>
      <x:c r="L39" s="197" t="str">
        <x:f>IF(K39="Up",G39,IF(K39="Down",1-G39,""))</x:f>
      </x:c>
      <x:c r="M39" s="198" t="str">
        <x:f>IF(K39="Up",I39,IF(K39="Down",J39,""))</x:f>
      </x:c>
      <x:c r="N39" s="192"/>
      <x:c r="O39" s="198" t="n">
        <x:f>IF(N39="Taker",M39*'08_Bet_Calculator'!$B$18*(1-M39),0)</x:f>
        <x:v>0</x:v>
      </x:c>
      <x:c r="P39" s="192"/>
      <x:c r="Q39" s="198" t="str">
        <x:f>IF(M39="","",MIN(0.999,M39+O39+P39))</x:f>
      </x:c>
      <x:c r="R39" s="197" t="str">
        <x:f>IF(L39="","",L39-Q39)</x:f>
      </x:c>
      <x:c r="S39" s="197" t="str">
        <x:f>IF(L39="","",L39-'08_Bet_Calculator'!$B$24*H39-Q39-'08_Bet_Calculator'!$B$20)</x:f>
      </x:c>
      <x:c r="T39" s="197" t="n">
        <x:f>IF(OR(L39="",Q39&gt;=1),0,MAX(0,(MAX(0,L39-'08_Bet_Calculator'!$B$24*H39)-Q39)/(1-Q39)))</x:f>
        <x:v>0</x:v>
      </x:c>
      <x:c r="U39" s="197" t="n">
        <x:f>T39*'08_Bet_Calculator'!$B$21</x:f>
        <x:v>0</x:v>
      </x:c>
      <x:c r="V39" s="221"/>
      <x:c r="W39" s="200" t="n">
        <x:f>IF(OR(V39="",S39&lt;=0),0,MIN(V39*U39,V39*'08_Bet_Calculator'!$B$22,'08_Bet_Calculator'!$B$23))</x:f>
        <x:v>0</x:v>
      </x:c>
      <x:c r="X39" s="222" t="n">
        <x:f>IFERROR(W39/Q39,0)</x:f>
        <x:v>0</x:v>
      </x:c>
      <x:c r="Y39" s="189"/>
      <x:c r="Z39" s="196" t="str">
        <x:f>IF(OR(Y39="",K39=""),"",IF(Y39=K39,1,0))</x:f>
      </x:c>
      <x:c r="AA39" s="200" t="str">
        <x:f>IF(Z39="","",X39*(Z39-Q39))</x:f>
      </x:c>
      <x:c r="AB39" s="197" t="str">
        <x:f>IFERROR(AA39/W39,"")</x:f>
      </x:c>
      <x:c r="AC39" s="197" t="str">
        <x:f>IF(Z39="","",(L39-Z39)^2)</x:f>
      </x:c>
      <x:c r="AD39" s="198" t="str">
        <x:f>IF(Z39="","",-(Z39*LN(MAX(0.0001,L39))+(1-Z39)*LN(MAX(0.0001,1-L39))))</x:f>
      </x:c>
      <x:c r="AE39" s="189"/>
      <x:c r="AF39" s="200" t="n">
        <x:f>AF38+IF(AA39="",0,AA39)</x:f>
        <x:v>0</x:v>
      </x:c>
      <x:c r="AG39" s="200" t="n">
        <x:f>MAX(AG38,AF39)</x:f>
        <x:v>0</x:v>
      </x:c>
      <x:c r="AH39" s="200" t="n">
        <x:f>AF39-AG39</x:f>
        <x:v>0</x:v>
      </x:c>
    </x:row>
    <x:row r="40">
      <x:c r="A40" s="189"/>
      <x:c r="B40" s="189"/>
      <x:c r="C40" s="221"/>
      <x:c r="D40" s="189"/>
      <x:c r="E40" s="221"/>
      <x:c r="F40" s="218" t="str">
        <x:f>IFERROR(LN(E40/C40)*10000,"")</x:f>
      </x:c>
      <x:c r="G40" s="191"/>
      <x:c r="H40" s="191"/>
      <x:c r="I40" s="191"/>
      <x:c r="J40" s="191"/>
      <x:c r="K40" s="189"/>
      <x:c r="L40" s="197" t="str">
        <x:f>IF(K40="Up",G40,IF(K40="Down",1-G40,""))</x:f>
      </x:c>
      <x:c r="M40" s="198" t="str">
        <x:f>IF(K40="Up",I40,IF(K40="Down",J40,""))</x:f>
      </x:c>
      <x:c r="N40" s="192"/>
      <x:c r="O40" s="198" t="n">
        <x:f>IF(N40="Taker",M40*'08_Bet_Calculator'!$B$18*(1-M40),0)</x:f>
        <x:v>0</x:v>
      </x:c>
      <x:c r="P40" s="192"/>
      <x:c r="Q40" s="198" t="str">
        <x:f>IF(M40="","",MIN(0.999,M40+O40+P40))</x:f>
      </x:c>
      <x:c r="R40" s="197" t="str">
        <x:f>IF(L40="","",L40-Q40)</x:f>
      </x:c>
      <x:c r="S40" s="197" t="str">
        <x:f>IF(L40="","",L40-'08_Bet_Calculator'!$B$24*H40-Q40-'08_Bet_Calculator'!$B$20)</x:f>
      </x:c>
      <x:c r="T40" s="197" t="n">
        <x:f>IF(OR(L40="",Q40&gt;=1),0,MAX(0,(MAX(0,L40-'08_Bet_Calculator'!$B$24*H40)-Q40)/(1-Q40)))</x:f>
        <x:v>0</x:v>
      </x:c>
      <x:c r="U40" s="197" t="n">
        <x:f>T40*'08_Bet_Calculator'!$B$21</x:f>
        <x:v>0</x:v>
      </x:c>
      <x:c r="V40" s="221"/>
      <x:c r="W40" s="200" t="n">
        <x:f>IF(OR(V40="",S40&lt;=0),0,MIN(V40*U40,V40*'08_Bet_Calculator'!$B$22,'08_Bet_Calculator'!$B$23))</x:f>
        <x:v>0</x:v>
      </x:c>
      <x:c r="X40" s="222" t="n">
        <x:f>IFERROR(W40/Q40,0)</x:f>
        <x:v>0</x:v>
      </x:c>
      <x:c r="Y40" s="189"/>
      <x:c r="Z40" s="196" t="str">
        <x:f>IF(OR(Y40="",K40=""),"",IF(Y40=K40,1,0))</x:f>
      </x:c>
      <x:c r="AA40" s="200" t="str">
        <x:f>IF(Z40="","",X40*(Z40-Q40))</x:f>
      </x:c>
      <x:c r="AB40" s="197" t="str">
        <x:f>IFERROR(AA40/W40,"")</x:f>
      </x:c>
      <x:c r="AC40" s="197" t="str">
        <x:f>IF(Z40="","",(L40-Z40)^2)</x:f>
      </x:c>
      <x:c r="AD40" s="198" t="str">
        <x:f>IF(Z40="","",-(Z40*LN(MAX(0.0001,L40))+(1-Z40)*LN(MAX(0.0001,1-L40))))</x:f>
      </x:c>
      <x:c r="AE40" s="189"/>
      <x:c r="AF40" s="200" t="n">
        <x:f>AF39+IF(AA40="",0,AA40)</x:f>
        <x:v>0</x:v>
      </x:c>
      <x:c r="AG40" s="200" t="n">
        <x:f>MAX(AG39,AF40)</x:f>
        <x:v>0</x:v>
      </x:c>
      <x:c r="AH40" s="200" t="n">
        <x:f>AF40-AG40</x:f>
        <x:v>0</x:v>
      </x:c>
    </x:row>
    <x:row r="41">
      <x:c r="A41" s="189"/>
      <x:c r="B41" s="189"/>
      <x:c r="C41" s="221"/>
      <x:c r="D41" s="189"/>
      <x:c r="E41" s="221"/>
      <x:c r="F41" s="218" t="str">
        <x:f>IFERROR(LN(E41/C41)*10000,"")</x:f>
      </x:c>
      <x:c r="G41" s="191"/>
      <x:c r="H41" s="191"/>
      <x:c r="I41" s="191"/>
      <x:c r="J41" s="191"/>
      <x:c r="K41" s="189"/>
      <x:c r="L41" s="197" t="str">
        <x:f>IF(K41="Up",G41,IF(K41="Down",1-G41,""))</x:f>
      </x:c>
      <x:c r="M41" s="198" t="str">
        <x:f>IF(K41="Up",I41,IF(K41="Down",J41,""))</x:f>
      </x:c>
      <x:c r="N41" s="192"/>
      <x:c r="O41" s="198" t="n">
        <x:f>IF(N41="Taker",M41*'08_Bet_Calculator'!$B$18*(1-M41),0)</x:f>
        <x:v>0</x:v>
      </x:c>
      <x:c r="P41" s="192"/>
      <x:c r="Q41" s="198" t="str">
        <x:f>IF(M41="","",MIN(0.999,M41+O41+P41))</x:f>
      </x:c>
      <x:c r="R41" s="197" t="str">
        <x:f>IF(L41="","",L41-Q41)</x:f>
      </x:c>
      <x:c r="S41" s="197" t="str">
        <x:f>IF(L41="","",L41-'08_Bet_Calculator'!$B$24*H41-Q41-'08_Bet_Calculator'!$B$20)</x:f>
      </x:c>
      <x:c r="T41" s="197" t="n">
        <x:f>IF(OR(L41="",Q41&gt;=1),0,MAX(0,(MAX(0,L41-'08_Bet_Calculator'!$B$24*H41)-Q41)/(1-Q41)))</x:f>
        <x:v>0</x:v>
      </x:c>
      <x:c r="U41" s="197" t="n">
        <x:f>T41*'08_Bet_Calculator'!$B$21</x:f>
        <x:v>0</x:v>
      </x:c>
      <x:c r="V41" s="221"/>
      <x:c r="W41" s="200" t="n">
        <x:f>IF(OR(V41="",S41&lt;=0),0,MIN(V41*U41,V41*'08_Bet_Calculator'!$B$22,'08_Bet_Calculator'!$B$23))</x:f>
        <x:v>0</x:v>
      </x:c>
      <x:c r="X41" s="222" t="n">
        <x:f>IFERROR(W41/Q41,0)</x:f>
        <x:v>0</x:v>
      </x:c>
      <x:c r="Y41" s="189"/>
      <x:c r="Z41" s="196" t="str">
        <x:f>IF(OR(Y41="",K41=""),"",IF(Y41=K41,1,0))</x:f>
      </x:c>
      <x:c r="AA41" s="200" t="str">
        <x:f>IF(Z41="","",X41*(Z41-Q41))</x:f>
      </x:c>
      <x:c r="AB41" s="197" t="str">
        <x:f>IFERROR(AA41/W41,"")</x:f>
      </x:c>
      <x:c r="AC41" s="197" t="str">
        <x:f>IF(Z41="","",(L41-Z41)^2)</x:f>
      </x:c>
      <x:c r="AD41" s="198" t="str">
        <x:f>IF(Z41="","",-(Z41*LN(MAX(0.0001,L41))+(1-Z41)*LN(MAX(0.0001,1-L41))))</x:f>
      </x:c>
      <x:c r="AE41" s="189"/>
      <x:c r="AF41" s="200" t="n">
        <x:f>AF40+IF(AA41="",0,AA41)</x:f>
        <x:v>0</x:v>
      </x:c>
      <x:c r="AG41" s="200" t="n">
        <x:f>MAX(AG40,AF41)</x:f>
        <x:v>0</x:v>
      </x:c>
      <x:c r="AH41" s="200" t="n">
        <x:f>AF41-AG41</x:f>
        <x:v>0</x:v>
      </x:c>
    </x:row>
    <x:row r="42">
      <x:c r="A42" s="189"/>
      <x:c r="B42" s="189"/>
      <x:c r="C42" s="221"/>
      <x:c r="D42" s="189"/>
      <x:c r="E42" s="221"/>
      <x:c r="F42" s="218" t="str">
        <x:f>IFERROR(LN(E42/C42)*10000,"")</x:f>
      </x:c>
      <x:c r="G42" s="191"/>
      <x:c r="H42" s="191"/>
      <x:c r="I42" s="191"/>
      <x:c r="J42" s="191"/>
      <x:c r="K42" s="189"/>
      <x:c r="L42" s="197" t="str">
        <x:f>IF(K42="Up",G42,IF(K42="Down",1-G42,""))</x:f>
      </x:c>
      <x:c r="M42" s="198" t="str">
        <x:f>IF(K42="Up",I42,IF(K42="Down",J42,""))</x:f>
      </x:c>
      <x:c r="N42" s="192"/>
      <x:c r="O42" s="198" t="n">
        <x:f>IF(N42="Taker",M42*'08_Bet_Calculator'!$B$18*(1-M42),0)</x:f>
        <x:v>0</x:v>
      </x:c>
      <x:c r="P42" s="192"/>
      <x:c r="Q42" s="198" t="str">
        <x:f>IF(M42="","",MIN(0.999,M42+O42+P42))</x:f>
      </x:c>
      <x:c r="R42" s="197" t="str">
        <x:f>IF(L42="","",L42-Q42)</x:f>
      </x:c>
      <x:c r="S42" s="197" t="str">
        <x:f>IF(L42="","",L42-'08_Bet_Calculator'!$B$24*H42-Q42-'08_Bet_Calculator'!$B$20)</x:f>
      </x:c>
      <x:c r="T42" s="197" t="n">
        <x:f>IF(OR(L42="",Q42&gt;=1),0,MAX(0,(MAX(0,L42-'08_Bet_Calculator'!$B$24*H42)-Q42)/(1-Q42)))</x:f>
        <x:v>0</x:v>
      </x:c>
      <x:c r="U42" s="197" t="n">
        <x:f>T42*'08_Bet_Calculator'!$B$21</x:f>
        <x:v>0</x:v>
      </x:c>
      <x:c r="V42" s="221"/>
      <x:c r="W42" s="200" t="n">
        <x:f>IF(OR(V42="",S42&lt;=0),0,MIN(V42*U42,V42*'08_Bet_Calculator'!$B$22,'08_Bet_Calculator'!$B$23))</x:f>
        <x:v>0</x:v>
      </x:c>
      <x:c r="X42" s="222" t="n">
        <x:f>IFERROR(W42/Q42,0)</x:f>
        <x:v>0</x:v>
      </x:c>
      <x:c r="Y42" s="189"/>
      <x:c r="Z42" s="196" t="str">
        <x:f>IF(OR(Y42="",K42=""),"",IF(Y42=K42,1,0))</x:f>
      </x:c>
      <x:c r="AA42" s="200" t="str">
        <x:f>IF(Z42="","",X42*(Z42-Q42))</x:f>
      </x:c>
      <x:c r="AB42" s="197" t="str">
        <x:f>IFERROR(AA42/W42,"")</x:f>
      </x:c>
      <x:c r="AC42" s="197" t="str">
        <x:f>IF(Z42="","",(L42-Z42)^2)</x:f>
      </x:c>
      <x:c r="AD42" s="198" t="str">
        <x:f>IF(Z42="","",-(Z42*LN(MAX(0.0001,L42))+(1-Z42)*LN(MAX(0.0001,1-L42))))</x:f>
      </x:c>
      <x:c r="AE42" s="189"/>
      <x:c r="AF42" s="200" t="n">
        <x:f>AF41+IF(AA42="",0,AA42)</x:f>
        <x:v>0</x:v>
      </x:c>
      <x:c r="AG42" s="200" t="n">
        <x:f>MAX(AG41,AF42)</x:f>
        <x:v>0</x:v>
      </x:c>
      <x:c r="AH42" s="200" t="n">
        <x:f>AF42-AG42</x:f>
        <x:v>0</x:v>
      </x:c>
    </x:row>
    <x:row r="43">
      <x:c r="A43" s="189"/>
      <x:c r="B43" s="189"/>
      <x:c r="C43" s="221"/>
      <x:c r="D43" s="189"/>
      <x:c r="E43" s="221"/>
      <x:c r="F43" s="218" t="str">
        <x:f>IFERROR(LN(E43/C43)*10000,"")</x:f>
      </x:c>
      <x:c r="G43" s="191"/>
      <x:c r="H43" s="191"/>
      <x:c r="I43" s="191"/>
      <x:c r="J43" s="191"/>
      <x:c r="K43" s="189"/>
      <x:c r="L43" s="197" t="str">
        <x:f>IF(K43="Up",G43,IF(K43="Down",1-G43,""))</x:f>
      </x:c>
      <x:c r="M43" s="198" t="str">
        <x:f>IF(K43="Up",I43,IF(K43="Down",J43,""))</x:f>
      </x:c>
      <x:c r="N43" s="192"/>
      <x:c r="O43" s="198" t="n">
        <x:f>IF(N43="Taker",M43*'08_Bet_Calculator'!$B$18*(1-M43),0)</x:f>
        <x:v>0</x:v>
      </x:c>
      <x:c r="P43" s="192"/>
      <x:c r="Q43" s="198" t="str">
        <x:f>IF(M43="","",MIN(0.999,M43+O43+P43))</x:f>
      </x:c>
      <x:c r="R43" s="197" t="str">
        <x:f>IF(L43="","",L43-Q43)</x:f>
      </x:c>
      <x:c r="S43" s="197" t="str">
        <x:f>IF(L43="","",L43-'08_Bet_Calculator'!$B$24*H43-Q43-'08_Bet_Calculator'!$B$20)</x:f>
      </x:c>
      <x:c r="T43" s="197" t="n">
        <x:f>IF(OR(L43="",Q43&gt;=1),0,MAX(0,(MAX(0,L43-'08_Bet_Calculator'!$B$24*H43)-Q43)/(1-Q43)))</x:f>
        <x:v>0</x:v>
      </x:c>
      <x:c r="U43" s="197" t="n">
        <x:f>T43*'08_Bet_Calculator'!$B$21</x:f>
        <x:v>0</x:v>
      </x:c>
      <x:c r="V43" s="221"/>
      <x:c r="W43" s="200" t="n">
        <x:f>IF(OR(V43="",S43&lt;=0),0,MIN(V43*U43,V43*'08_Bet_Calculator'!$B$22,'08_Bet_Calculator'!$B$23))</x:f>
        <x:v>0</x:v>
      </x:c>
      <x:c r="X43" s="222" t="n">
        <x:f>IFERROR(W43/Q43,0)</x:f>
        <x:v>0</x:v>
      </x:c>
      <x:c r="Y43" s="189"/>
      <x:c r="Z43" s="196" t="str">
        <x:f>IF(OR(Y43="",K43=""),"",IF(Y43=K43,1,0))</x:f>
      </x:c>
      <x:c r="AA43" s="200" t="str">
        <x:f>IF(Z43="","",X43*(Z43-Q43))</x:f>
      </x:c>
      <x:c r="AB43" s="197" t="str">
        <x:f>IFERROR(AA43/W43,"")</x:f>
      </x:c>
      <x:c r="AC43" s="197" t="str">
        <x:f>IF(Z43="","",(L43-Z43)^2)</x:f>
      </x:c>
      <x:c r="AD43" s="198" t="str">
        <x:f>IF(Z43="","",-(Z43*LN(MAX(0.0001,L43))+(1-Z43)*LN(MAX(0.0001,1-L43))))</x:f>
      </x:c>
      <x:c r="AE43" s="189"/>
      <x:c r="AF43" s="200" t="n">
        <x:f>AF42+IF(AA43="",0,AA43)</x:f>
        <x:v>0</x:v>
      </x:c>
      <x:c r="AG43" s="200" t="n">
        <x:f>MAX(AG42,AF43)</x:f>
        <x:v>0</x:v>
      </x:c>
      <x:c r="AH43" s="200" t="n">
        <x:f>AF43-AG43</x:f>
        <x:v>0</x:v>
      </x:c>
    </x:row>
    <x:row r="44">
      <x:c r="A44" s="189"/>
      <x:c r="B44" s="189"/>
      <x:c r="C44" s="221"/>
      <x:c r="D44" s="189"/>
      <x:c r="E44" s="221"/>
      <x:c r="F44" s="218" t="str">
        <x:f>IFERROR(LN(E44/C44)*10000,"")</x:f>
      </x:c>
      <x:c r="G44" s="191"/>
      <x:c r="H44" s="191"/>
      <x:c r="I44" s="191"/>
      <x:c r="J44" s="191"/>
      <x:c r="K44" s="189"/>
      <x:c r="L44" s="197" t="str">
        <x:f>IF(K44="Up",G44,IF(K44="Down",1-G44,""))</x:f>
      </x:c>
      <x:c r="M44" s="198" t="str">
        <x:f>IF(K44="Up",I44,IF(K44="Down",J44,""))</x:f>
      </x:c>
      <x:c r="N44" s="192"/>
      <x:c r="O44" s="198" t="n">
        <x:f>IF(N44="Taker",M44*'08_Bet_Calculator'!$B$18*(1-M44),0)</x:f>
        <x:v>0</x:v>
      </x:c>
      <x:c r="P44" s="192"/>
      <x:c r="Q44" s="198" t="str">
        <x:f>IF(M44="","",MIN(0.999,M44+O44+P44))</x:f>
      </x:c>
      <x:c r="R44" s="197" t="str">
        <x:f>IF(L44="","",L44-Q44)</x:f>
      </x:c>
      <x:c r="S44" s="197" t="str">
        <x:f>IF(L44="","",L44-'08_Bet_Calculator'!$B$24*H44-Q44-'08_Bet_Calculator'!$B$20)</x:f>
      </x:c>
      <x:c r="T44" s="197" t="n">
        <x:f>IF(OR(L44="",Q44&gt;=1),0,MAX(0,(MAX(0,L44-'08_Bet_Calculator'!$B$24*H44)-Q44)/(1-Q44)))</x:f>
        <x:v>0</x:v>
      </x:c>
      <x:c r="U44" s="197" t="n">
        <x:f>T44*'08_Bet_Calculator'!$B$21</x:f>
        <x:v>0</x:v>
      </x:c>
      <x:c r="V44" s="221"/>
      <x:c r="W44" s="200" t="n">
        <x:f>IF(OR(V44="",S44&lt;=0),0,MIN(V44*U44,V44*'08_Bet_Calculator'!$B$22,'08_Bet_Calculator'!$B$23))</x:f>
        <x:v>0</x:v>
      </x:c>
      <x:c r="X44" s="222" t="n">
        <x:f>IFERROR(W44/Q44,0)</x:f>
        <x:v>0</x:v>
      </x:c>
      <x:c r="Y44" s="189"/>
      <x:c r="Z44" s="196" t="str">
        <x:f>IF(OR(Y44="",K44=""),"",IF(Y44=K44,1,0))</x:f>
      </x:c>
      <x:c r="AA44" s="200" t="str">
        <x:f>IF(Z44="","",X44*(Z44-Q44))</x:f>
      </x:c>
      <x:c r="AB44" s="197" t="str">
        <x:f>IFERROR(AA44/W44,"")</x:f>
      </x:c>
      <x:c r="AC44" s="197" t="str">
        <x:f>IF(Z44="","",(L44-Z44)^2)</x:f>
      </x:c>
      <x:c r="AD44" s="198" t="str">
        <x:f>IF(Z44="","",-(Z44*LN(MAX(0.0001,L44))+(1-Z44)*LN(MAX(0.0001,1-L44))))</x:f>
      </x:c>
      <x:c r="AE44" s="189"/>
      <x:c r="AF44" s="200" t="n">
        <x:f>AF43+IF(AA44="",0,AA44)</x:f>
        <x:v>0</x:v>
      </x:c>
      <x:c r="AG44" s="200" t="n">
        <x:f>MAX(AG43,AF44)</x:f>
        <x:v>0</x:v>
      </x:c>
      <x:c r="AH44" s="200" t="n">
        <x:f>AF44-AG44</x:f>
        <x:v>0</x:v>
      </x:c>
    </x:row>
    <x:row r="45">
      <x:c r="A45" s="189"/>
      <x:c r="B45" s="189"/>
      <x:c r="C45" s="221"/>
      <x:c r="D45" s="189"/>
      <x:c r="E45" s="221"/>
      <x:c r="F45" s="218" t="str">
        <x:f>IFERROR(LN(E45/C45)*10000,"")</x:f>
      </x:c>
      <x:c r="G45" s="191"/>
      <x:c r="H45" s="191"/>
      <x:c r="I45" s="191"/>
      <x:c r="J45" s="191"/>
      <x:c r="K45" s="189"/>
      <x:c r="L45" s="197" t="str">
        <x:f>IF(K45="Up",G45,IF(K45="Down",1-G45,""))</x:f>
      </x:c>
      <x:c r="M45" s="198" t="str">
        <x:f>IF(K45="Up",I45,IF(K45="Down",J45,""))</x:f>
      </x:c>
      <x:c r="N45" s="192"/>
      <x:c r="O45" s="198" t="n">
        <x:f>IF(N45="Taker",M45*'08_Bet_Calculator'!$B$18*(1-M45),0)</x:f>
        <x:v>0</x:v>
      </x:c>
      <x:c r="P45" s="192"/>
      <x:c r="Q45" s="198" t="str">
        <x:f>IF(M45="","",MIN(0.999,M45+O45+P45))</x:f>
      </x:c>
      <x:c r="R45" s="197" t="str">
        <x:f>IF(L45="","",L45-Q45)</x:f>
      </x:c>
      <x:c r="S45" s="197" t="str">
        <x:f>IF(L45="","",L45-'08_Bet_Calculator'!$B$24*H45-Q45-'08_Bet_Calculator'!$B$20)</x:f>
      </x:c>
      <x:c r="T45" s="197" t="n">
        <x:f>IF(OR(L45="",Q45&gt;=1),0,MAX(0,(MAX(0,L45-'08_Bet_Calculator'!$B$24*H45)-Q45)/(1-Q45)))</x:f>
        <x:v>0</x:v>
      </x:c>
      <x:c r="U45" s="197" t="n">
        <x:f>T45*'08_Bet_Calculator'!$B$21</x:f>
        <x:v>0</x:v>
      </x:c>
      <x:c r="V45" s="221"/>
      <x:c r="W45" s="200" t="n">
        <x:f>IF(OR(V45="",S45&lt;=0),0,MIN(V45*U45,V45*'08_Bet_Calculator'!$B$22,'08_Bet_Calculator'!$B$23))</x:f>
        <x:v>0</x:v>
      </x:c>
      <x:c r="X45" s="222" t="n">
        <x:f>IFERROR(W45/Q45,0)</x:f>
        <x:v>0</x:v>
      </x:c>
      <x:c r="Y45" s="189"/>
      <x:c r="Z45" s="196" t="str">
        <x:f>IF(OR(Y45="",K45=""),"",IF(Y45=K45,1,0))</x:f>
      </x:c>
      <x:c r="AA45" s="200" t="str">
        <x:f>IF(Z45="","",X45*(Z45-Q45))</x:f>
      </x:c>
      <x:c r="AB45" s="197" t="str">
        <x:f>IFERROR(AA45/W45,"")</x:f>
      </x:c>
      <x:c r="AC45" s="197" t="str">
        <x:f>IF(Z45="","",(L45-Z45)^2)</x:f>
      </x:c>
      <x:c r="AD45" s="198" t="str">
        <x:f>IF(Z45="","",-(Z45*LN(MAX(0.0001,L45))+(1-Z45)*LN(MAX(0.0001,1-L45))))</x:f>
      </x:c>
      <x:c r="AE45" s="189"/>
      <x:c r="AF45" s="200" t="n">
        <x:f>AF44+IF(AA45="",0,AA45)</x:f>
        <x:v>0</x:v>
      </x:c>
      <x:c r="AG45" s="200" t="n">
        <x:f>MAX(AG44,AF45)</x:f>
        <x:v>0</x:v>
      </x:c>
      <x:c r="AH45" s="200" t="n">
        <x:f>AF45-AG45</x:f>
        <x:v>0</x:v>
      </x:c>
    </x:row>
    <x:row r="46">
      <x:c r="A46" s="189"/>
      <x:c r="B46" s="189"/>
      <x:c r="C46" s="221"/>
      <x:c r="D46" s="189"/>
      <x:c r="E46" s="221"/>
      <x:c r="F46" s="218" t="str">
        <x:f>IFERROR(LN(E46/C46)*10000,"")</x:f>
      </x:c>
      <x:c r="G46" s="191"/>
      <x:c r="H46" s="191"/>
      <x:c r="I46" s="191"/>
      <x:c r="J46" s="191"/>
      <x:c r="K46" s="189"/>
      <x:c r="L46" s="197" t="str">
        <x:f>IF(K46="Up",G46,IF(K46="Down",1-G46,""))</x:f>
      </x:c>
      <x:c r="M46" s="198" t="str">
        <x:f>IF(K46="Up",I46,IF(K46="Down",J46,""))</x:f>
      </x:c>
      <x:c r="N46" s="192"/>
      <x:c r="O46" s="198" t="n">
        <x:f>IF(N46="Taker",M46*'08_Bet_Calculator'!$B$18*(1-M46),0)</x:f>
        <x:v>0</x:v>
      </x:c>
      <x:c r="P46" s="192"/>
      <x:c r="Q46" s="198" t="str">
        <x:f>IF(M46="","",MIN(0.999,M46+O46+P46))</x:f>
      </x:c>
      <x:c r="R46" s="197" t="str">
        <x:f>IF(L46="","",L46-Q46)</x:f>
      </x:c>
      <x:c r="S46" s="197" t="str">
        <x:f>IF(L46="","",L46-'08_Bet_Calculator'!$B$24*H46-Q46-'08_Bet_Calculator'!$B$20)</x:f>
      </x:c>
      <x:c r="T46" s="197" t="n">
        <x:f>IF(OR(L46="",Q46&gt;=1),0,MAX(0,(MAX(0,L46-'08_Bet_Calculator'!$B$24*H46)-Q46)/(1-Q46)))</x:f>
        <x:v>0</x:v>
      </x:c>
      <x:c r="U46" s="197" t="n">
        <x:f>T46*'08_Bet_Calculator'!$B$21</x:f>
        <x:v>0</x:v>
      </x:c>
      <x:c r="V46" s="221"/>
      <x:c r="W46" s="200" t="n">
        <x:f>IF(OR(V46="",S46&lt;=0),0,MIN(V46*U46,V46*'08_Bet_Calculator'!$B$22,'08_Bet_Calculator'!$B$23))</x:f>
        <x:v>0</x:v>
      </x:c>
      <x:c r="X46" s="222" t="n">
        <x:f>IFERROR(W46/Q46,0)</x:f>
        <x:v>0</x:v>
      </x:c>
      <x:c r="Y46" s="189"/>
      <x:c r="Z46" s="196" t="str">
        <x:f>IF(OR(Y46="",K46=""),"",IF(Y46=K46,1,0))</x:f>
      </x:c>
      <x:c r="AA46" s="200" t="str">
        <x:f>IF(Z46="","",X46*(Z46-Q46))</x:f>
      </x:c>
      <x:c r="AB46" s="197" t="str">
        <x:f>IFERROR(AA46/W46,"")</x:f>
      </x:c>
      <x:c r="AC46" s="197" t="str">
        <x:f>IF(Z46="","",(L46-Z46)^2)</x:f>
      </x:c>
      <x:c r="AD46" s="198" t="str">
        <x:f>IF(Z46="","",-(Z46*LN(MAX(0.0001,L46))+(1-Z46)*LN(MAX(0.0001,1-L46))))</x:f>
      </x:c>
      <x:c r="AE46" s="189"/>
      <x:c r="AF46" s="200" t="n">
        <x:f>AF45+IF(AA46="",0,AA46)</x:f>
        <x:v>0</x:v>
      </x:c>
      <x:c r="AG46" s="200" t="n">
        <x:f>MAX(AG45,AF46)</x:f>
        <x:v>0</x:v>
      </x:c>
      <x:c r="AH46" s="200" t="n">
        <x:f>AF46-AG46</x:f>
        <x:v>0</x:v>
      </x:c>
    </x:row>
    <x:row r="47">
      <x:c r="A47" s="189"/>
      <x:c r="B47" s="189"/>
      <x:c r="C47" s="221"/>
      <x:c r="D47" s="189"/>
      <x:c r="E47" s="221"/>
      <x:c r="F47" s="218" t="str">
        <x:f>IFERROR(LN(E47/C47)*10000,"")</x:f>
      </x:c>
      <x:c r="G47" s="191"/>
      <x:c r="H47" s="191"/>
      <x:c r="I47" s="191"/>
      <x:c r="J47" s="191"/>
      <x:c r="K47" s="189"/>
      <x:c r="L47" s="197" t="str">
        <x:f>IF(K47="Up",G47,IF(K47="Down",1-G47,""))</x:f>
      </x:c>
      <x:c r="M47" s="198" t="str">
        <x:f>IF(K47="Up",I47,IF(K47="Down",J47,""))</x:f>
      </x:c>
      <x:c r="N47" s="192"/>
      <x:c r="O47" s="198" t="n">
        <x:f>IF(N47="Taker",M47*'08_Bet_Calculator'!$B$18*(1-M47),0)</x:f>
        <x:v>0</x:v>
      </x:c>
      <x:c r="P47" s="192"/>
      <x:c r="Q47" s="198" t="str">
        <x:f>IF(M47="","",MIN(0.999,M47+O47+P47))</x:f>
      </x:c>
      <x:c r="R47" s="197" t="str">
        <x:f>IF(L47="","",L47-Q47)</x:f>
      </x:c>
      <x:c r="S47" s="197" t="str">
        <x:f>IF(L47="","",L47-'08_Bet_Calculator'!$B$24*H47-Q47-'08_Bet_Calculator'!$B$20)</x:f>
      </x:c>
      <x:c r="T47" s="197" t="n">
        <x:f>IF(OR(L47="",Q47&gt;=1),0,MAX(0,(MAX(0,L47-'08_Bet_Calculator'!$B$24*H47)-Q47)/(1-Q47)))</x:f>
        <x:v>0</x:v>
      </x:c>
      <x:c r="U47" s="197" t="n">
        <x:f>T47*'08_Bet_Calculator'!$B$21</x:f>
        <x:v>0</x:v>
      </x:c>
      <x:c r="V47" s="221"/>
      <x:c r="W47" s="200" t="n">
        <x:f>IF(OR(V47="",S47&lt;=0),0,MIN(V47*U47,V47*'08_Bet_Calculator'!$B$22,'08_Bet_Calculator'!$B$23))</x:f>
        <x:v>0</x:v>
      </x:c>
      <x:c r="X47" s="222" t="n">
        <x:f>IFERROR(W47/Q47,0)</x:f>
        <x:v>0</x:v>
      </x:c>
      <x:c r="Y47" s="189"/>
      <x:c r="Z47" s="196" t="str">
        <x:f>IF(OR(Y47="",K47=""),"",IF(Y47=K47,1,0))</x:f>
      </x:c>
      <x:c r="AA47" s="200" t="str">
        <x:f>IF(Z47="","",X47*(Z47-Q47))</x:f>
      </x:c>
      <x:c r="AB47" s="197" t="str">
        <x:f>IFERROR(AA47/W47,"")</x:f>
      </x:c>
      <x:c r="AC47" s="197" t="str">
        <x:f>IF(Z47="","",(L47-Z47)^2)</x:f>
      </x:c>
      <x:c r="AD47" s="198" t="str">
        <x:f>IF(Z47="","",-(Z47*LN(MAX(0.0001,L47))+(1-Z47)*LN(MAX(0.0001,1-L47))))</x:f>
      </x:c>
      <x:c r="AE47" s="189"/>
      <x:c r="AF47" s="200" t="n">
        <x:f>AF46+IF(AA47="",0,AA47)</x:f>
        <x:v>0</x:v>
      </x:c>
      <x:c r="AG47" s="200" t="n">
        <x:f>MAX(AG46,AF47)</x:f>
        <x:v>0</x:v>
      </x:c>
      <x:c r="AH47" s="200" t="n">
        <x:f>AF47-AG47</x:f>
        <x:v>0</x:v>
      </x:c>
    </x:row>
    <x:row r="48">
      <x:c r="A48" s="189"/>
      <x:c r="B48" s="189"/>
      <x:c r="C48" s="221"/>
      <x:c r="D48" s="189"/>
      <x:c r="E48" s="221"/>
      <x:c r="F48" s="218" t="str">
        <x:f>IFERROR(LN(E48/C48)*10000,"")</x:f>
      </x:c>
      <x:c r="G48" s="191"/>
      <x:c r="H48" s="191"/>
      <x:c r="I48" s="191"/>
      <x:c r="J48" s="191"/>
      <x:c r="K48" s="189"/>
      <x:c r="L48" s="197" t="str">
        <x:f>IF(K48="Up",G48,IF(K48="Down",1-G48,""))</x:f>
      </x:c>
      <x:c r="M48" s="198" t="str">
        <x:f>IF(K48="Up",I48,IF(K48="Down",J48,""))</x:f>
      </x:c>
      <x:c r="N48" s="192"/>
      <x:c r="O48" s="198" t="n">
        <x:f>IF(N48="Taker",M48*'08_Bet_Calculator'!$B$18*(1-M48),0)</x:f>
        <x:v>0</x:v>
      </x:c>
      <x:c r="P48" s="192"/>
      <x:c r="Q48" s="198" t="str">
        <x:f>IF(M48="","",MIN(0.999,M48+O48+P48))</x:f>
      </x:c>
      <x:c r="R48" s="197" t="str">
        <x:f>IF(L48="","",L48-Q48)</x:f>
      </x:c>
      <x:c r="S48" s="197" t="str">
        <x:f>IF(L48="","",L48-'08_Bet_Calculator'!$B$24*H48-Q48-'08_Bet_Calculator'!$B$20)</x:f>
      </x:c>
      <x:c r="T48" s="197" t="n">
        <x:f>IF(OR(L48="",Q48&gt;=1),0,MAX(0,(MAX(0,L48-'08_Bet_Calculator'!$B$24*H48)-Q48)/(1-Q48)))</x:f>
        <x:v>0</x:v>
      </x:c>
      <x:c r="U48" s="197" t="n">
        <x:f>T48*'08_Bet_Calculator'!$B$21</x:f>
        <x:v>0</x:v>
      </x:c>
      <x:c r="V48" s="221"/>
      <x:c r="W48" s="200" t="n">
        <x:f>IF(OR(V48="",S48&lt;=0),0,MIN(V48*U48,V48*'08_Bet_Calculator'!$B$22,'08_Bet_Calculator'!$B$23))</x:f>
        <x:v>0</x:v>
      </x:c>
      <x:c r="X48" s="222" t="n">
        <x:f>IFERROR(W48/Q48,0)</x:f>
        <x:v>0</x:v>
      </x:c>
      <x:c r="Y48" s="189"/>
      <x:c r="Z48" s="196" t="str">
        <x:f>IF(OR(Y48="",K48=""),"",IF(Y48=K48,1,0))</x:f>
      </x:c>
      <x:c r="AA48" s="200" t="str">
        <x:f>IF(Z48="","",X48*(Z48-Q48))</x:f>
      </x:c>
      <x:c r="AB48" s="197" t="str">
        <x:f>IFERROR(AA48/W48,"")</x:f>
      </x:c>
      <x:c r="AC48" s="197" t="str">
        <x:f>IF(Z48="","",(L48-Z48)^2)</x:f>
      </x:c>
      <x:c r="AD48" s="198" t="str">
        <x:f>IF(Z48="","",-(Z48*LN(MAX(0.0001,L48))+(1-Z48)*LN(MAX(0.0001,1-L48))))</x:f>
      </x:c>
      <x:c r="AE48" s="189"/>
      <x:c r="AF48" s="200" t="n">
        <x:f>AF47+IF(AA48="",0,AA48)</x:f>
        <x:v>0</x:v>
      </x:c>
      <x:c r="AG48" s="200" t="n">
        <x:f>MAX(AG47,AF48)</x:f>
        <x:v>0</x:v>
      </x:c>
      <x:c r="AH48" s="200" t="n">
        <x:f>AF48-AG48</x:f>
        <x:v>0</x:v>
      </x:c>
    </x:row>
    <x:row r="49">
      <x:c r="A49" s="189"/>
      <x:c r="B49" s="189"/>
      <x:c r="C49" s="221"/>
      <x:c r="D49" s="189"/>
      <x:c r="E49" s="221"/>
      <x:c r="F49" s="218" t="str">
        <x:f>IFERROR(LN(E49/C49)*10000,"")</x:f>
      </x:c>
      <x:c r="G49" s="191"/>
      <x:c r="H49" s="191"/>
      <x:c r="I49" s="191"/>
      <x:c r="J49" s="191"/>
      <x:c r="K49" s="189"/>
      <x:c r="L49" s="197" t="str">
        <x:f>IF(K49="Up",G49,IF(K49="Down",1-G49,""))</x:f>
      </x:c>
      <x:c r="M49" s="198" t="str">
        <x:f>IF(K49="Up",I49,IF(K49="Down",J49,""))</x:f>
      </x:c>
      <x:c r="N49" s="192"/>
      <x:c r="O49" s="198" t="n">
        <x:f>IF(N49="Taker",M49*'08_Bet_Calculator'!$B$18*(1-M49),0)</x:f>
        <x:v>0</x:v>
      </x:c>
      <x:c r="P49" s="192"/>
      <x:c r="Q49" s="198" t="str">
        <x:f>IF(M49="","",MIN(0.999,M49+O49+P49))</x:f>
      </x:c>
      <x:c r="R49" s="197" t="str">
        <x:f>IF(L49="","",L49-Q49)</x:f>
      </x:c>
      <x:c r="S49" s="197" t="str">
        <x:f>IF(L49="","",L49-'08_Bet_Calculator'!$B$24*H49-Q49-'08_Bet_Calculator'!$B$20)</x:f>
      </x:c>
      <x:c r="T49" s="197" t="n">
        <x:f>IF(OR(L49="",Q49&gt;=1),0,MAX(0,(MAX(0,L49-'08_Bet_Calculator'!$B$24*H49)-Q49)/(1-Q49)))</x:f>
        <x:v>0</x:v>
      </x:c>
      <x:c r="U49" s="197" t="n">
        <x:f>T49*'08_Bet_Calculator'!$B$21</x:f>
        <x:v>0</x:v>
      </x:c>
      <x:c r="V49" s="221"/>
      <x:c r="W49" s="200" t="n">
        <x:f>IF(OR(V49="",S49&lt;=0),0,MIN(V49*U49,V49*'08_Bet_Calculator'!$B$22,'08_Bet_Calculator'!$B$23))</x:f>
        <x:v>0</x:v>
      </x:c>
      <x:c r="X49" s="222" t="n">
        <x:f>IFERROR(W49/Q49,0)</x:f>
        <x:v>0</x:v>
      </x:c>
      <x:c r="Y49" s="189"/>
      <x:c r="Z49" s="196" t="str">
        <x:f>IF(OR(Y49="",K49=""),"",IF(Y49=K49,1,0))</x:f>
      </x:c>
      <x:c r="AA49" s="200" t="str">
        <x:f>IF(Z49="","",X49*(Z49-Q49))</x:f>
      </x:c>
      <x:c r="AB49" s="197" t="str">
        <x:f>IFERROR(AA49/W49,"")</x:f>
      </x:c>
      <x:c r="AC49" s="197" t="str">
        <x:f>IF(Z49="","",(L49-Z49)^2)</x:f>
      </x:c>
      <x:c r="AD49" s="198" t="str">
        <x:f>IF(Z49="","",-(Z49*LN(MAX(0.0001,L49))+(1-Z49)*LN(MAX(0.0001,1-L49))))</x:f>
      </x:c>
      <x:c r="AE49" s="189"/>
      <x:c r="AF49" s="200" t="n">
        <x:f>AF48+IF(AA49="",0,AA49)</x:f>
        <x:v>0</x:v>
      </x:c>
      <x:c r="AG49" s="200" t="n">
        <x:f>MAX(AG48,AF49)</x:f>
        <x:v>0</x:v>
      </x:c>
      <x:c r="AH49" s="200" t="n">
        <x:f>AF49-AG49</x:f>
        <x:v>0</x:v>
      </x:c>
    </x:row>
    <x:row r="50">
      <x:c r="A50" s="189"/>
      <x:c r="B50" s="189"/>
      <x:c r="C50" s="221"/>
      <x:c r="D50" s="189"/>
      <x:c r="E50" s="221"/>
      <x:c r="F50" s="218" t="str">
        <x:f>IFERROR(LN(E50/C50)*10000,"")</x:f>
      </x:c>
      <x:c r="G50" s="191"/>
      <x:c r="H50" s="191"/>
      <x:c r="I50" s="191"/>
      <x:c r="J50" s="191"/>
      <x:c r="K50" s="189"/>
      <x:c r="L50" s="197" t="str">
        <x:f>IF(K50="Up",G50,IF(K50="Down",1-G50,""))</x:f>
      </x:c>
      <x:c r="M50" s="198" t="str">
        <x:f>IF(K50="Up",I50,IF(K50="Down",J50,""))</x:f>
      </x:c>
      <x:c r="N50" s="192"/>
      <x:c r="O50" s="198" t="n">
        <x:f>IF(N50="Taker",M50*'08_Bet_Calculator'!$B$18*(1-M50),0)</x:f>
        <x:v>0</x:v>
      </x:c>
      <x:c r="P50" s="192"/>
      <x:c r="Q50" s="198" t="str">
        <x:f>IF(M50="","",MIN(0.999,M50+O50+P50))</x:f>
      </x:c>
      <x:c r="R50" s="197" t="str">
        <x:f>IF(L50="","",L50-Q50)</x:f>
      </x:c>
      <x:c r="S50" s="197" t="str">
        <x:f>IF(L50="","",L50-'08_Bet_Calculator'!$B$24*H50-Q50-'08_Bet_Calculator'!$B$20)</x:f>
      </x:c>
      <x:c r="T50" s="197" t="n">
        <x:f>IF(OR(L50="",Q50&gt;=1),0,MAX(0,(MAX(0,L50-'08_Bet_Calculator'!$B$24*H50)-Q50)/(1-Q50)))</x:f>
        <x:v>0</x:v>
      </x:c>
      <x:c r="U50" s="197" t="n">
        <x:f>T50*'08_Bet_Calculator'!$B$21</x:f>
        <x:v>0</x:v>
      </x:c>
      <x:c r="V50" s="221"/>
      <x:c r="W50" s="200" t="n">
        <x:f>IF(OR(V50="",S50&lt;=0),0,MIN(V50*U50,V50*'08_Bet_Calculator'!$B$22,'08_Bet_Calculator'!$B$23))</x:f>
        <x:v>0</x:v>
      </x:c>
      <x:c r="X50" s="222" t="n">
        <x:f>IFERROR(W50/Q50,0)</x:f>
        <x:v>0</x:v>
      </x:c>
      <x:c r="Y50" s="189"/>
      <x:c r="Z50" s="196" t="str">
        <x:f>IF(OR(Y50="",K50=""),"",IF(Y50=K50,1,0))</x:f>
      </x:c>
      <x:c r="AA50" s="200" t="str">
        <x:f>IF(Z50="","",X50*(Z50-Q50))</x:f>
      </x:c>
      <x:c r="AB50" s="197" t="str">
        <x:f>IFERROR(AA50/W50,"")</x:f>
      </x:c>
      <x:c r="AC50" s="197" t="str">
        <x:f>IF(Z50="","",(L50-Z50)^2)</x:f>
      </x:c>
      <x:c r="AD50" s="198" t="str">
        <x:f>IF(Z50="","",-(Z50*LN(MAX(0.0001,L50))+(1-Z50)*LN(MAX(0.0001,1-L50))))</x:f>
      </x:c>
      <x:c r="AE50" s="189"/>
      <x:c r="AF50" s="200" t="n">
        <x:f>AF49+IF(AA50="",0,AA50)</x:f>
        <x:v>0</x:v>
      </x:c>
      <x:c r="AG50" s="200" t="n">
        <x:f>MAX(AG49,AF50)</x:f>
        <x:v>0</x:v>
      </x:c>
      <x:c r="AH50" s="200" t="n">
        <x:f>AF50-AG50</x:f>
        <x:v>0</x:v>
      </x:c>
    </x:row>
    <x:row r="51">
      <x:c r="A51" s="189"/>
      <x:c r="B51" s="189"/>
      <x:c r="C51" s="221"/>
      <x:c r="D51" s="189"/>
      <x:c r="E51" s="221"/>
      <x:c r="F51" s="218" t="str">
        <x:f>IFERROR(LN(E51/C51)*10000,"")</x:f>
      </x:c>
      <x:c r="G51" s="191"/>
      <x:c r="H51" s="191"/>
      <x:c r="I51" s="191"/>
      <x:c r="J51" s="191"/>
      <x:c r="K51" s="189"/>
      <x:c r="L51" s="197" t="str">
        <x:f>IF(K51="Up",G51,IF(K51="Down",1-G51,""))</x:f>
      </x:c>
      <x:c r="M51" s="198" t="str">
        <x:f>IF(K51="Up",I51,IF(K51="Down",J51,""))</x:f>
      </x:c>
      <x:c r="N51" s="192"/>
      <x:c r="O51" s="198" t="n">
        <x:f>IF(N51="Taker",M51*'08_Bet_Calculator'!$B$18*(1-M51),0)</x:f>
        <x:v>0</x:v>
      </x:c>
      <x:c r="P51" s="192"/>
      <x:c r="Q51" s="198" t="str">
        <x:f>IF(M51="","",MIN(0.999,M51+O51+P51))</x:f>
      </x:c>
      <x:c r="R51" s="197" t="str">
        <x:f>IF(L51="","",L51-Q51)</x:f>
      </x:c>
      <x:c r="S51" s="197" t="str">
        <x:f>IF(L51="","",L51-'08_Bet_Calculator'!$B$24*H51-Q51-'08_Bet_Calculator'!$B$20)</x:f>
      </x:c>
      <x:c r="T51" s="197" t="n">
        <x:f>IF(OR(L51="",Q51&gt;=1),0,MAX(0,(MAX(0,L51-'08_Bet_Calculator'!$B$24*H51)-Q51)/(1-Q51)))</x:f>
        <x:v>0</x:v>
      </x:c>
      <x:c r="U51" s="197" t="n">
        <x:f>T51*'08_Bet_Calculator'!$B$21</x:f>
        <x:v>0</x:v>
      </x:c>
      <x:c r="V51" s="221"/>
      <x:c r="W51" s="200" t="n">
        <x:f>IF(OR(V51="",S51&lt;=0),0,MIN(V51*U51,V51*'08_Bet_Calculator'!$B$22,'08_Bet_Calculator'!$B$23))</x:f>
        <x:v>0</x:v>
      </x:c>
      <x:c r="X51" s="222" t="n">
        <x:f>IFERROR(W51/Q51,0)</x:f>
        <x:v>0</x:v>
      </x:c>
      <x:c r="Y51" s="189"/>
      <x:c r="Z51" s="196" t="str">
        <x:f>IF(OR(Y51="",K51=""),"",IF(Y51=K51,1,0))</x:f>
      </x:c>
      <x:c r="AA51" s="200" t="str">
        <x:f>IF(Z51="","",X51*(Z51-Q51))</x:f>
      </x:c>
      <x:c r="AB51" s="197" t="str">
        <x:f>IFERROR(AA51/W51,"")</x:f>
      </x:c>
      <x:c r="AC51" s="197" t="str">
        <x:f>IF(Z51="","",(L51-Z51)^2)</x:f>
      </x:c>
      <x:c r="AD51" s="198" t="str">
        <x:f>IF(Z51="","",-(Z51*LN(MAX(0.0001,L51))+(1-Z51)*LN(MAX(0.0001,1-L51))))</x:f>
      </x:c>
      <x:c r="AE51" s="189"/>
      <x:c r="AF51" s="200" t="n">
        <x:f>AF50+IF(AA51="",0,AA51)</x:f>
        <x:v>0</x:v>
      </x:c>
      <x:c r="AG51" s="200" t="n">
        <x:f>MAX(AG50,AF51)</x:f>
        <x:v>0</x:v>
      </x:c>
      <x:c r="AH51" s="200" t="n">
        <x:f>AF51-AG51</x:f>
        <x:v>0</x:v>
      </x:c>
    </x:row>
    <x:row r="52">
      <x:c r="A52" s="189"/>
      <x:c r="B52" s="189"/>
      <x:c r="C52" s="221"/>
      <x:c r="D52" s="189"/>
      <x:c r="E52" s="221"/>
      <x:c r="F52" s="218" t="str">
        <x:f>IFERROR(LN(E52/C52)*10000,"")</x:f>
      </x:c>
      <x:c r="G52" s="191"/>
      <x:c r="H52" s="191"/>
      <x:c r="I52" s="191"/>
      <x:c r="J52" s="191"/>
      <x:c r="K52" s="189"/>
      <x:c r="L52" s="197" t="str">
        <x:f>IF(K52="Up",G52,IF(K52="Down",1-G52,""))</x:f>
      </x:c>
      <x:c r="M52" s="198" t="str">
        <x:f>IF(K52="Up",I52,IF(K52="Down",J52,""))</x:f>
      </x:c>
      <x:c r="N52" s="192"/>
      <x:c r="O52" s="198" t="n">
        <x:f>IF(N52="Taker",M52*'08_Bet_Calculator'!$B$18*(1-M52),0)</x:f>
        <x:v>0</x:v>
      </x:c>
      <x:c r="P52" s="192"/>
      <x:c r="Q52" s="198" t="str">
        <x:f>IF(M52="","",MIN(0.999,M52+O52+P52))</x:f>
      </x:c>
      <x:c r="R52" s="197" t="str">
        <x:f>IF(L52="","",L52-Q52)</x:f>
      </x:c>
      <x:c r="S52" s="197" t="str">
        <x:f>IF(L52="","",L52-'08_Bet_Calculator'!$B$24*H52-Q52-'08_Bet_Calculator'!$B$20)</x:f>
      </x:c>
      <x:c r="T52" s="197" t="n">
        <x:f>IF(OR(L52="",Q52&gt;=1),0,MAX(0,(MAX(0,L52-'08_Bet_Calculator'!$B$24*H52)-Q52)/(1-Q52)))</x:f>
        <x:v>0</x:v>
      </x:c>
      <x:c r="U52" s="197" t="n">
        <x:f>T52*'08_Bet_Calculator'!$B$21</x:f>
        <x:v>0</x:v>
      </x:c>
      <x:c r="V52" s="221"/>
      <x:c r="W52" s="200" t="n">
        <x:f>IF(OR(V52="",S52&lt;=0),0,MIN(V52*U52,V52*'08_Bet_Calculator'!$B$22,'08_Bet_Calculator'!$B$23))</x:f>
        <x:v>0</x:v>
      </x:c>
      <x:c r="X52" s="222" t="n">
        <x:f>IFERROR(W52/Q52,0)</x:f>
        <x:v>0</x:v>
      </x:c>
      <x:c r="Y52" s="189"/>
      <x:c r="Z52" s="196" t="str">
        <x:f>IF(OR(Y52="",K52=""),"",IF(Y52=K52,1,0))</x:f>
      </x:c>
      <x:c r="AA52" s="200" t="str">
        <x:f>IF(Z52="","",X52*(Z52-Q52))</x:f>
      </x:c>
      <x:c r="AB52" s="197" t="str">
        <x:f>IFERROR(AA52/W52,"")</x:f>
      </x:c>
      <x:c r="AC52" s="197" t="str">
        <x:f>IF(Z52="","",(L52-Z52)^2)</x:f>
      </x:c>
      <x:c r="AD52" s="198" t="str">
        <x:f>IF(Z52="","",-(Z52*LN(MAX(0.0001,L52))+(1-Z52)*LN(MAX(0.0001,1-L52))))</x:f>
      </x:c>
      <x:c r="AE52" s="189"/>
      <x:c r="AF52" s="200" t="n">
        <x:f>AF51+IF(AA52="",0,AA52)</x:f>
        <x:v>0</x:v>
      </x:c>
      <x:c r="AG52" s="200" t="n">
        <x:f>MAX(AG51,AF52)</x:f>
        <x:v>0</x:v>
      </x:c>
      <x:c r="AH52" s="200" t="n">
        <x:f>AF52-AG52</x:f>
        <x:v>0</x:v>
      </x:c>
    </x:row>
    <x:row r="53">
      <x:c r="A53" s="189"/>
      <x:c r="B53" s="189"/>
      <x:c r="C53" s="221"/>
      <x:c r="D53" s="189"/>
      <x:c r="E53" s="221"/>
      <x:c r="F53" s="218" t="str">
        <x:f>IFERROR(LN(E53/C53)*10000,"")</x:f>
      </x:c>
      <x:c r="G53" s="191"/>
      <x:c r="H53" s="191"/>
      <x:c r="I53" s="191"/>
      <x:c r="J53" s="191"/>
      <x:c r="K53" s="189"/>
      <x:c r="L53" s="197" t="str">
        <x:f>IF(K53="Up",G53,IF(K53="Down",1-G53,""))</x:f>
      </x:c>
      <x:c r="M53" s="198" t="str">
        <x:f>IF(K53="Up",I53,IF(K53="Down",J53,""))</x:f>
      </x:c>
      <x:c r="N53" s="192"/>
      <x:c r="O53" s="198" t="n">
        <x:f>IF(N53="Taker",M53*'08_Bet_Calculator'!$B$18*(1-M53),0)</x:f>
        <x:v>0</x:v>
      </x:c>
      <x:c r="P53" s="192"/>
      <x:c r="Q53" s="198" t="str">
        <x:f>IF(M53="","",MIN(0.999,M53+O53+P53))</x:f>
      </x:c>
      <x:c r="R53" s="197" t="str">
        <x:f>IF(L53="","",L53-Q53)</x:f>
      </x:c>
      <x:c r="S53" s="197" t="str">
        <x:f>IF(L53="","",L53-'08_Bet_Calculator'!$B$24*H53-Q53-'08_Bet_Calculator'!$B$20)</x:f>
      </x:c>
      <x:c r="T53" s="197" t="n">
        <x:f>IF(OR(L53="",Q53&gt;=1),0,MAX(0,(MAX(0,L53-'08_Bet_Calculator'!$B$24*H53)-Q53)/(1-Q53)))</x:f>
        <x:v>0</x:v>
      </x:c>
      <x:c r="U53" s="197" t="n">
        <x:f>T53*'08_Bet_Calculator'!$B$21</x:f>
        <x:v>0</x:v>
      </x:c>
      <x:c r="V53" s="221"/>
      <x:c r="W53" s="200" t="n">
        <x:f>IF(OR(V53="",S53&lt;=0),0,MIN(V53*U53,V53*'08_Bet_Calculator'!$B$22,'08_Bet_Calculator'!$B$23))</x:f>
        <x:v>0</x:v>
      </x:c>
      <x:c r="X53" s="222" t="n">
        <x:f>IFERROR(W53/Q53,0)</x:f>
        <x:v>0</x:v>
      </x:c>
      <x:c r="Y53" s="189"/>
      <x:c r="Z53" s="196" t="str">
        <x:f>IF(OR(Y53="",K53=""),"",IF(Y53=K53,1,0))</x:f>
      </x:c>
      <x:c r="AA53" s="200" t="str">
        <x:f>IF(Z53="","",X53*(Z53-Q53))</x:f>
      </x:c>
      <x:c r="AB53" s="197" t="str">
        <x:f>IFERROR(AA53/W53,"")</x:f>
      </x:c>
      <x:c r="AC53" s="197" t="str">
        <x:f>IF(Z53="","",(L53-Z53)^2)</x:f>
      </x:c>
      <x:c r="AD53" s="198" t="str">
        <x:f>IF(Z53="","",-(Z53*LN(MAX(0.0001,L53))+(1-Z53)*LN(MAX(0.0001,1-L53))))</x:f>
      </x:c>
      <x:c r="AE53" s="189"/>
      <x:c r="AF53" s="200" t="n">
        <x:f>AF52+IF(AA53="",0,AA53)</x:f>
        <x:v>0</x:v>
      </x:c>
      <x:c r="AG53" s="200" t="n">
        <x:f>MAX(AG52,AF53)</x:f>
        <x:v>0</x:v>
      </x:c>
      <x:c r="AH53" s="200" t="n">
        <x:f>AF53-AG53</x:f>
        <x:v>0</x:v>
      </x:c>
    </x:row>
    <x:row r="54">
      <x:c r="A54" s="189"/>
      <x:c r="B54" s="189"/>
      <x:c r="C54" s="221"/>
      <x:c r="D54" s="189"/>
      <x:c r="E54" s="221"/>
      <x:c r="F54" s="218" t="str">
        <x:f>IFERROR(LN(E54/C54)*10000,"")</x:f>
      </x:c>
      <x:c r="G54" s="191"/>
      <x:c r="H54" s="191"/>
      <x:c r="I54" s="191"/>
      <x:c r="J54" s="191"/>
      <x:c r="K54" s="189"/>
      <x:c r="L54" s="197" t="str">
        <x:f>IF(K54="Up",G54,IF(K54="Down",1-G54,""))</x:f>
      </x:c>
      <x:c r="M54" s="198" t="str">
        <x:f>IF(K54="Up",I54,IF(K54="Down",J54,""))</x:f>
      </x:c>
      <x:c r="N54" s="192"/>
      <x:c r="O54" s="198" t="n">
        <x:f>IF(N54="Taker",M54*'08_Bet_Calculator'!$B$18*(1-M54),0)</x:f>
        <x:v>0</x:v>
      </x:c>
      <x:c r="P54" s="192"/>
      <x:c r="Q54" s="198" t="str">
        <x:f>IF(M54="","",MIN(0.999,M54+O54+P54))</x:f>
      </x:c>
      <x:c r="R54" s="197" t="str">
        <x:f>IF(L54="","",L54-Q54)</x:f>
      </x:c>
      <x:c r="S54" s="197" t="str">
        <x:f>IF(L54="","",L54-'08_Bet_Calculator'!$B$24*H54-Q54-'08_Bet_Calculator'!$B$20)</x:f>
      </x:c>
      <x:c r="T54" s="197" t="n">
        <x:f>IF(OR(L54="",Q54&gt;=1),0,MAX(0,(MAX(0,L54-'08_Bet_Calculator'!$B$24*H54)-Q54)/(1-Q54)))</x:f>
        <x:v>0</x:v>
      </x:c>
      <x:c r="U54" s="197" t="n">
        <x:f>T54*'08_Bet_Calculator'!$B$21</x:f>
        <x:v>0</x:v>
      </x:c>
      <x:c r="V54" s="221"/>
      <x:c r="W54" s="200" t="n">
        <x:f>IF(OR(V54="",S54&lt;=0),0,MIN(V54*U54,V54*'08_Bet_Calculator'!$B$22,'08_Bet_Calculator'!$B$23))</x:f>
        <x:v>0</x:v>
      </x:c>
      <x:c r="X54" s="222" t="n">
        <x:f>IFERROR(W54/Q54,0)</x:f>
        <x:v>0</x:v>
      </x:c>
      <x:c r="Y54" s="189"/>
      <x:c r="Z54" s="196" t="str">
        <x:f>IF(OR(Y54="",K54=""),"",IF(Y54=K54,1,0))</x:f>
      </x:c>
      <x:c r="AA54" s="200" t="str">
        <x:f>IF(Z54="","",X54*(Z54-Q54))</x:f>
      </x:c>
      <x:c r="AB54" s="197" t="str">
        <x:f>IFERROR(AA54/W54,"")</x:f>
      </x:c>
      <x:c r="AC54" s="197" t="str">
        <x:f>IF(Z54="","",(L54-Z54)^2)</x:f>
      </x:c>
      <x:c r="AD54" s="198" t="str">
        <x:f>IF(Z54="","",-(Z54*LN(MAX(0.0001,L54))+(1-Z54)*LN(MAX(0.0001,1-L54))))</x:f>
      </x:c>
      <x:c r="AE54" s="189"/>
      <x:c r="AF54" s="200" t="n">
        <x:f>AF53+IF(AA54="",0,AA54)</x:f>
        <x:v>0</x:v>
      </x:c>
      <x:c r="AG54" s="200" t="n">
        <x:f>MAX(AG53,AF54)</x:f>
        <x:v>0</x:v>
      </x:c>
      <x:c r="AH54" s="200" t="n">
        <x:f>AF54-AG54</x:f>
        <x:v>0</x:v>
      </x:c>
    </x:row>
    <x:row r="55">
      <x:c r="A55" s="189"/>
      <x:c r="B55" s="189"/>
      <x:c r="C55" s="221"/>
      <x:c r="D55" s="189"/>
      <x:c r="E55" s="221"/>
      <x:c r="F55" s="218" t="str">
        <x:f>IFERROR(LN(E55/C55)*10000,"")</x:f>
      </x:c>
      <x:c r="G55" s="191"/>
      <x:c r="H55" s="191"/>
      <x:c r="I55" s="191"/>
      <x:c r="J55" s="191"/>
      <x:c r="K55" s="189"/>
      <x:c r="L55" s="197" t="str">
        <x:f>IF(K55="Up",G55,IF(K55="Down",1-G55,""))</x:f>
      </x:c>
      <x:c r="M55" s="198" t="str">
        <x:f>IF(K55="Up",I55,IF(K55="Down",J55,""))</x:f>
      </x:c>
      <x:c r="N55" s="192"/>
      <x:c r="O55" s="198" t="n">
        <x:f>IF(N55="Taker",M55*'08_Bet_Calculator'!$B$18*(1-M55),0)</x:f>
        <x:v>0</x:v>
      </x:c>
      <x:c r="P55" s="192"/>
      <x:c r="Q55" s="198" t="str">
        <x:f>IF(M55="","",MIN(0.999,M55+O55+P55))</x:f>
      </x:c>
      <x:c r="R55" s="197" t="str">
        <x:f>IF(L55="","",L55-Q55)</x:f>
      </x:c>
      <x:c r="S55" s="197" t="str">
        <x:f>IF(L55="","",L55-'08_Bet_Calculator'!$B$24*H55-Q55-'08_Bet_Calculator'!$B$20)</x:f>
      </x:c>
      <x:c r="T55" s="197" t="n">
        <x:f>IF(OR(L55="",Q55&gt;=1),0,MAX(0,(MAX(0,L55-'08_Bet_Calculator'!$B$24*H55)-Q55)/(1-Q55)))</x:f>
        <x:v>0</x:v>
      </x:c>
      <x:c r="U55" s="197" t="n">
        <x:f>T55*'08_Bet_Calculator'!$B$21</x:f>
        <x:v>0</x:v>
      </x:c>
      <x:c r="V55" s="221"/>
      <x:c r="W55" s="200" t="n">
        <x:f>IF(OR(V55="",S55&lt;=0),0,MIN(V55*U55,V55*'08_Bet_Calculator'!$B$22,'08_Bet_Calculator'!$B$23))</x:f>
        <x:v>0</x:v>
      </x:c>
      <x:c r="X55" s="222" t="n">
        <x:f>IFERROR(W55/Q55,0)</x:f>
        <x:v>0</x:v>
      </x:c>
      <x:c r="Y55" s="189"/>
      <x:c r="Z55" s="196" t="str">
        <x:f>IF(OR(Y55="",K55=""),"",IF(Y55=K55,1,0))</x:f>
      </x:c>
      <x:c r="AA55" s="200" t="str">
        <x:f>IF(Z55="","",X55*(Z55-Q55))</x:f>
      </x:c>
      <x:c r="AB55" s="197" t="str">
        <x:f>IFERROR(AA55/W55,"")</x:f>
      </x:c>
      <x:c r="AC55" s="197" t="str">
        <x:f>IF(Z55="","",(L55-Z55)^2)</x:f>
      </x:c>
      <x:c r="AD55" s="198" t="str">
        <x:f>IF(Z55="","",-(Z55*LN(MAX(0.0001,L55))+(1-Z55)*LN(MAX(0.0001,1-L55))))</x:f>
      </x:c>
      <x:c r="AE55" s="189"/>
      <x:c r="AF55" s="200" t="n">
        <x:f>AF54+IF(AA55="",0,AA55)</x:f>
        <x:v>0</x:v>
      </x:c>
      <x:c r="AG55" s="200" t="n">
        <x:f>MAX(AG54,AF55)</x:f>
        <x:v>0</x:v>
      </x:c>
      <x:c r="AH55" s="200" t="n">
        <x:f>AF55-AG55</x:f>
        <x:v>0</x:v>
      </x:c>
    </x:row>
    <x:row r="56">
      <x:c r="A56" s="189"/>
      <x:c r="B56" s="189"/>
      <x:c r="C56" s="221"/>
      <x:c r="D56" s="189"/>
      <x:c r="E56" s="221"/>
      <x:c r="F56" s="218" t="str">
        <x:f>IFERROR(LN(E56/C56)*10000,"")</x:f>
      </x:c>
      <x:c r="G56" s="191"/>
      <x:c r="H56" s="191"/>
      <x:c r="I56" s="191"/>
      <x:c r="J56" s="191"/>
      <x:c r="K56" s="189"/>
      <x:c r="L56" s="197" t="str">
        <x:f>IF(K56="Up",G56,IF(K56="Down",1-G56,""))</x:f>
      </x:c>
      <x:c r="M56" s="198" t="str">
        <x:f>IF(K56="Up",I56,IF(K56="Down",J56,""))</x:f>
      </x:c>
      <x:c r="N56" s="192"/>
      <x:c r="O56" s="198" t="n">
        <x:f>IF(N56="Taker",M56*'08_Bet_Calculator'!$B$18*(1-M56),0)</x:f>
        <x:v>0</x:v>
      </x:c>
      <x:c r="P56" s="192"/>
      <x:c r="Q56" s="198" t="str">
        <x:f>IF(M56="","",MIN(0.999,M56+O56+P56))</x:f>
      </x:c>
      <x:c r="R56" s="197" t="str">
        <x:f>IF(L56="","",L56-Q56)</x:f>
      </x:c>
      <x:c r="S56" s="197" t="str">
        <x:f>IF(L56="","",L56-'08_Bet_Calculator'!$B$24*H56-Q56-'08_Bet_Calculator'!$B$20)</x:f>
      </x:c>
      <x:c r="T56" s="197" t="n">
        <x:f>IF(OR(L56="",Q56&gt;=1),0,MAX(0,(MAX(0,L56-'08_Bet_Calculator'!$B$24*H56)-Q56)/(1-Q56)))</x:f>
        <x:v>0</x:v>
      </x:c>
      <x:c r="U56" s="197" t="n">
        <x:f>T56*'08_Bet_Calculator'!$B$21</x:f>
        <x:v>0</x:v>
      </x:c>
      <x:c r="V56" s="221"/>
      <x:c r="W56" s="200" t="n">
        <x:f>IF(OR(V56="",S56&lt;=0),0,MIN(V56*U56,V56*'08_Bet_Calculator'!$B$22,'08_Bet_Calculator'!$B$23))</x:f>
        <x:v>0</x:v>
      </x:c>
      <x:c r="X56" s="222" t="n">
        <x:f>IFERROR(W56/Q56,0)</x:f>
        <x:v>0</x:v>
      </x:c>
      <x:c r="Y56" s="189"/>
      <x:c r="Z56" s="196" t="str">
        <x:f>IF(OR(Y56="",K56=""),"",IF(Y56=K56,1,0))</x:f>
      </x:c>
      <x:c r="AA56" s="200" t="str">
        <x:f>IF(Z56="","",X56*(Z56-Q56))</x:f>
      </x:c>
      <x:c r="AB56" s="197" t="str">
        <x:f>IFERROR(AA56/W56,"")</x:f>
      </x:c>
      <x:c r="AC56" s="197" t="str">
        <x:f>IF(Z56="","",(L56-Z56)^2)</x:f>
      </x:c>
      <x:c r="AD56" s="198" t="str">
        <x:f>IF(Z56="","",-(Z56*LN(MAX(0.0001,L56))+(1-Z56)*LN(MAX(0.0001,1-L56))))</x:f>
      </x:c>
      <x:c r="AE56" s="189"/>
      <x:c r="AF56" s="200" t="n">
        <x:f>AF55+IF(AA56="",0,AA56)</x:f>
        <x:v>0</x:v>
      </x:c>
      <x:c r="AG56" s="200" t="n">
        <x:f>MAX(AG55,AF56)</x:f>
        <x:v>0</x:v>
      </x:c>
      <x:c r="AH56" s="200" t="n">
        <x:f>AF56-AG56</x:f>
        <x:v>0</x:v>
      </x:c>
    </x:row>
    <x:row r="57">
      <x:c r="A57" s="189"/>
      <x:c r="B57" s="189"/>
      <x:c r="C57" s="221"/>
      <x:c r="D57" s="189"/>
      <x:c r="E57" s="221"/>
      <x:c r="F57" s="218" t="str">
        <x:f>IFERROR(LN(E57/C57)*10000,"")</x:f>
      </x:c>
      <x:c r="G57" s="191"/>
      <x:c r="H57" s="191"/>
      <x:c r="I57" s="191"/>
      <x:c r="J57" s="191"/>
      <x:c r="K57" s="189"/>
      <x:c r="L57" s="197" t="str">
        <x:f>IF(K57="Up",G57,IF(K57="Down",1-G57,""))</x:f>
      </x:c>
      <x:c r="M57" s="198" t="str">
        <x:f>IF(K57="Up",I57,IF(K57="Down",J57,""))</x:f>
      </x:c>
      <x:c r="N57" s="192"/>
      <x:c r="O57" s="198" t="n">
        <x:f>IF(N57="Taker",M57*'08_Bet_Calculator'!$B$18*(1-M57),0)</x:f>
        <x:v>0</x:v>
      </x:c>
      <x:c r="P57" s="192"/>
      <x:c r="Q57" s="198" t="str">
        <x:f>IF(M57="","",MIN(0.999,M57+O57+P57))</x:f>
      </x:c>
      <x:c r="R57" s="197" t="str">
        <x:f>IF(L57="","",L57-Q57)</x:f>
      </x:c>
      <x:c r="S57" s="197" t="str">
        <x:f>IF(L57="","",L57-'08_Bet_Calculator'!$B$24*H57-Q57-'08_Bet_Calculator'!$B$20)</x:f>
      </x:c>
      <x:c r="T57" s="197" t="n">
        <x:f>IF(OR(L57="",Q57&gt;=1),0,MAX(0,(MAX(0,L57-'08_Bet_Calculator'!$B$24*H57)-Q57)/(1-Q57)))</x:f>
        <x:v>0</x:v>
      </x:c>
      <x:c r="U57" s="197" t="n">
        <x:f>T57*'08_Bet_Calculator'!$B$21</x:f>
        <x:v>0</x:v>
      </x:c>
      <x:c r="V57" s="221"/>
      <x:c r="W57" s="200" t="n">
        <x:f>IF(OR(V57="",S57&lt;=0),0,MIN(V57*U57,V57*'08_Bet_Calculator'!$B$22,'08_Bet_Calculator'!$B$23))</x:f>
        <x:v>0</x:v>
      </x:c>
      <x:c r="X57" s="222" t="n">
        <x:f>IFERROR(W57/Q57,0)</x:f>
        <x:v>0</x:v>
      </x:c>
      <x:c r="Y57" s="189"/>
      <x:c r="Z57" s="196" t="str">
        <x:f>IF(OR(Y57="",K57=""),"",IF(Y57=K57,1,0))</x:f>
      </x:c>
      <x:c r="AA57" s="200" t="str">
        <x:f>IF(Z57="","",X57*(Z57-Q57))</x:f>
      </x:c>
      <x:c r="AB57" s="197" t="str">
        <x:f>IFERROR(AA57/W57,"")</x:f>
      </x:c>
      <x:c r="AC57" s="197" t="str">
        <x:f>IF(Z57="","",(L57-Z57)^2)</x:f>
      </x:c>
      <x:c r="AD57" s="198" t="str">
        <x:f>IF(Z57="","",-(Z57*LN(MAX(0.0001,L57))+(1-Z57)*LN(MAX(0.0001,1-L57))))</x:f>
      </x:c>
      <x:c r="AE57" s="189"/>
      <x:c r="AF57" s="200" t="n">
        <x:f>AF56+IF(AA57="",0,AA57)</x:f>
        <x:v>0</x:v>
      </x:c>
      <x:c r="AG57" s="200" t="n">
        <x:f>MAX(AG56,AF57)</x:f>
        <x:v>0</x:v>
      </x:c>
      <x:c r="AH57" s="200" t="n">
        <x:f>AF57-AG57</x:f>
        <x:v>0</x:v>
      </x:c>
    </x:row>
    <x:row r="58">
      <x:c r="A58" s="189"/>
      <x:c r="B58" s="189"/>
      <x:c r="C58" s="221"/>
      <x:c r="D58" s="189"/>
      <x:c r="E58" s="221"/>
      <x:c r="F58" s="218" t="str">
        <x:f>IFERROR(LN(E58/C58)*10000,"")</x:f>
      </x:c>
      <x:c r="G58" s="191"/>
      <x:c r="H58" s="191"/>
      <x:c r="I58" s="191"/>
      <x:c r="J58" s="191"/>
      <x:c r="K58" s="189"/>
      <x:c r="L58" s="197" t="str">
        <x:f>IF(K58="Up",G58,IF(K58="Down",1-G58,""))</x:f>
      </x:c>
      <x:c r="M58" s="198" t="str">
        <x:f>IF(K58="Up",I58,IF(K58="Down",J58,""))</x:f>
      </x:c>
      <x:c r="N58" s="192"/>
      <x:c r="O58" s="198" t="n">
        <x:f>IF(N58="Taker",M58*'08_Bet_Calculator'!$B$18*(1-M58),0)</x:f>
        <x:v>0</x:v>
      </x:c>
      <x:c r="P58" s="192"/>
      <x:c r="Q58" s="198" t="str">
        <x:f>IF(M58="","",MIN(0.999,M58+O58+P58))</x:f>
      </x:c>
      <x:c r="R58" s="197" t="str">
        <x:f>IF(L58="","",L58-Q58)</x:f>
      </x:c>
      <x:c r="S58" s="197" t="str">
        <x:f>IF(L58="","",L58-'08_Bet_Calculator'!$B$24*H58-Q58-'08_Bet_Calculator'!$B$20)</x:f>
      </x:c>
      <x:c r="T58" s="197" t="n">
        <x:f>IF(OR(L58="",Q58&gt;=1),0,MAX(0,(MAX(0,L58-'08_Bet_Calculator'!$B$24*H58)-Q58)/(1-Q58)))</x:f>
        <x:v>0</x:v>
      </x:c>
      <x:c r="U58" s="197" t="n">
        <x:f>T58*'08_Bet_Calculator'!$B$21</x:f>
        <x:v>0</x:v>
      </x:c>
      <x:c r="V58" s="221"/>
      <x:c r="W58" s="200" t="n">
        <x:f>IF(OR(V58="",S58&lt;=0),0,MIN(V58*U58,V58*'08_Bet_Calculator'!$B$22,'08_Bet_Calculator'!$B$23))</x:f>
        <x:v>0</x:v>
      </x:c>
      <x:c r="X58" s="222" t="n">
        <x:f>IFERROR(W58/Q58,0)</x:f>
        <x:v>0</x:v>
      </x:c>
      <x:c r="Y58" s="189"/>
      <x:c r="Z58" s="196" t="str">
        <x:f>IF(OR(Y58="",K58=""),"",IF(Y58=K58,1,0))</x:f>
      </x:c>
      <x:c r="AA58" s="200" t="str">
        <x:f>IF(Z58="","",X58*(Z58-Q58))</x:f>
      </x:c>
      <x:c r="AB58" s="197" t="str">
        <x:f>IFERROR(AA58/W58,"")</x:f>
      </x:c>
      <x:c r="AC58" s="197" t="str">
        <x:f>IF(Z58="","",(L58-Z58)^2)</x:f>
      </x:c>
      <x:c r="AD58" s="198" t="str">
        <x:f>IF(Z58="","",-(Z58*LN(MAX(0.0001,L58))+(1-Z58)*LN(MAX(0.0001,1-L58))))</x:f>
      </x:c>
      <x:c r="AE58" s="189"/>
      <x:c r="AF58" s="200" t="n">
        <x:f>AF57+IF(AA58="",0,AA58)</x:f>
        <x:v>0</x:v>
      </x:c>
      <x:c r="AG58" s="200" t="n">
        <x:f>MAX(AG57,AF58)</x:f>
        <x:v>0</x:v>
      </x:c>
      <x:c r="AH58" s="200" t="n">
        <x:f>AF58-AG58</x:f>
        <x:v>0</x:v>
      </x:c>
    </x:row>
    <x:row r="59">
      <x:c r="A59" s="189"/>
      <x:c r="B59" s="189"/>
      <x:c r="C59" s="221"/>
      <x:c r="D59" s="189"/>
      <x:c r="E59" s="221"/>
      <x:c r="F59" s="218" t="str">
        <x:f>IFERROR(LN(E59/C59)*10000,"")</x:f>
      </x:c>
      <x:c r="G59" s="191"/>
      <x:c r="H59" s="191"/>
      <x:c r="I59" s="191"/>
      <x:c r="J59" s="191"/>
      <x:c r="K59" s="189"/>
      <x:c r="L59" s="197" t="str">
        <x:f>IF(K59="Up",G59,IF(K59="Down",1-G59,""))</x:f>
      </x:c>
      <x:c r="M59" s="198" t="str">
        <x:f>IF(K59="Up",I59,IF(K59="Down",J59,""))</x:f>
      </x:c>
      <x:c r="N59" s="192"/>
      <x:c r="O59" s="198" t="n">
        <x:f>IF(N59="Taker",M59*'08_Bet_Calculator'!$B$18*(1-M59),0)</x:f>
        <x:v>0</x:v>
      </x:c>
      <x:c r="P59" s="192"/>
      <x:c r="Q59" s="198" t="str">
        <x:f>IF(M59="","",MIN(0.999,M59+O59+P59))</x:f>
      </x:c>
      <x:c r="R59" s="197" t="str">
        <x:f>IF(L59="","",L59-Q59)</x:f>
      </x:c>
      <x:c r="S59" s="197" t="str">
        <x:f>IF(L59="","",L59-'08_Bet_Calculator'!$B$24*H59-Q59-'08_Bet_Calculator'!$B$20)</x:f>
      </x:c>
      <x:c r="T59" s="197" t="n">
        <x:f>IF(OR(L59="",Q59&gt;=1),0,MAX(0,(MAX(0,L59-'08_Bet_Calculator'!$B$24*H59)-Q59)/(1-Q59)))</x:f>
        <x:v>0</x:v>
      </x:c>
      <x:c r="U59" s="197" t="n">
        <x:f>T59*'08_Bet_Calculator'!$B$21</x:f>
        <x:v>0</x:v>
      </x:c>
      <x:c r="V59" s="221"/>
      <x:c r="W59" s="200" t="n">
        <x:f>IF(OR(V59="",S59&lt;=0),0,MIN(V59*U59,V59*'08_Bet_Calculator'!$B$22,'08_Bet_Calculator'!$B$23))</x:f>
        <x:v>0</x:v>
      </x:c>
      <x:c r="X59" s="222" t="n">
        <x:f>IFERROR(W59/Q59,0)</x:f>
        <x:v>0</x:v>
      </x:c>
      <x:c r="Y59" s="189"/>
      <x:c r="Z59" s="196" t="str">
        <x:f>IF(OR(Y59="",K59=""),"",IF(Y59=K59,1,0))</x:f>
      </x:c>
      <x:c r="AA59" s="200" t="str">
        <x:f>IF(Z59="","",X59*(Z59-Q59))</x:f>
      </x:c>
      <x:c r="AB59" s="197" t="str">
        <x:f>IFERROR(AA59/W59,"")</x:f>
      </x:c>
      <x:c r="AC59" s="197" t="str">
        <x:f>IF(Z59="","",(L59-Z59)^2)</x:f>
      </x:c>
      <x:c r="AD59" s="198" t="str">
        <x:f>IF(Z59="","",-(Z59*LN(MAX(0.0001,L59))+(1-Z59)*LN(MAX(0.0001,1-L59))))</x:f>
      </x:c>
      <x:c r="AE59" s="189"/>
      <x:c r="AF59" s="200" t="n">
        <x:f>AF58+IF(AA59="",0,AA59)</x:f>
        <x:v>0</x:v>
      </x:c>
      <x:c r="AG59" s="200" t="n">
        <x:f>MAX(AG58,AF59)</x:f>
        <x:v>0</x:v>
      </x:c>
      <x:c r="AH59" s="200" t="n">
        <x:f>AF59-AG59</x:f>
        <x:v>0</x:v>
      </x:c>
    </x:row>
    <x:row r="60">
      <x:c r="A60" s="189"/>
      <x:c r="B60" s="189"/>
      <x:c r="C60" s="221"/>
      <x:c r="D60" s="189"/>
      <x:c r="E60" s="221"/>
      <x:c r="F60" s="218" t="str">
        <x:f>IFERROR(LN(E60/C60)*10000,"")</x:f>
      </x:c>
      <x:c r="G60" s="191"/>
      <x:c r="H60" s="191"/>
      <x:c r="I60" s="191"/>
      <x:c r="J60" s="191"/>
      <x:c r="K60" s="189"/>
      <x:c r="L60" s="197" t="str">
        <x:f>IF(K60="Up",G60,IF(K60="Down",1-G60,""))</x:f>
      </x:c>
      <x:c r="M60" s="198" t="str">
        <x:f>IF(K60="Up",I60,IF(K60="Down",J60,""))</x:f>
      </x:c>
      <x:c r="N60" s="192"/>
      <x:c r="O60" s="198" t="n">
        <x:f>IF(N60="Taker",M60*'08_Bet_Calculator'!$B$18*(1-M60),0)</x:f>
        <x:v>0</x:v>
      </x:c>
      <x:c r="P60" s="192"/>
      <x:c r="Q60" s="198" t="str">
        <x:f>IF(M60="","",MIN(0.999,M60+O60+P60))</x:f>
      </x:c>
      <x:c r="R60" s="197" t="str">
        <x:f>IF(L60="","",L60-Q60)</x:f>
      </x:c>
      <x:c r="S60" s="197" t="str">
        <x:f>IF(L60="","",L60-'08_Bet_Calculator'!$B$24*H60-Q60-'08_Bet_Calculator'!$B$20)</x:f>
      </x:c>
      <x:c r="T60" s="197" t="n">
        <x:f>IF(OR(L60="",Q60&gt;=1),0,MAX(0,(MAX(0,L60-'08_Bet_Calculator'!$B$24*H60)-Q60)/(1-Q60)))</x:f>
        <x:v>0</x:v>
      </x:c>
      <x:c r="U60" s="197" t="n">
        <x:f>T60*'08_Bet_Calculator'!$B$21</x:f>
        <x:v>0</x:v>
      </x:c>
      <x:c r="V60" s="221"/>
      <x:c r="W60" s="200" t="n">
        <x:f>IF(OR(V60="",S60&lt;=0),0,MIN(V60*U60,V60*'08_Bet_Calculator'!$B$22,'08_Bet_Calculator'!$B$23))</x:f>
        <x:v>0</x:v>
      </x:c>
      <x:c r="X60" s="222" t="n">
        <x:f>IFERROR(W60/Q60,0)</x:f>
        <x:v>0</x:v>
      </x:c>
      <x:c r="Y60" s="189"/>
      <x:c r="Z60" s="196" t="str">
        <x:f>IF(OR(Y60="",K60=""),"",IF(Y60=K60,1,0))</x:f>
      </x:c>
      <x:c r="AA60" s="200" t="str">
        <x:f>IF(Z60="","",X60*(Z60-Q60))</x:f>
      </x:c>
      <x:c r="AB60" s="197" t="str">
        <x:f>IFERROR(AA60/W60,"")</x:f>
      </x:c>
      <x:c r="AC60" s="197" t="str">
        <x:f>IF(Z60="","",(L60-Z60)^2)</x:f>
      </x:c>
      <x:c r="AD60" s="198" t="str">
        <x:f>IF(Z60="","",-(Z60*LN(MAX(0.0001,L60))+(1-Z60)*LN(MAX(0.0001,1-L60))))</x:f>
      </x:c>
      <x:c r="AE60" s="189"/>
      <x:c r="AF60" s="200" t="n">
        <x:f>AF59+IF(AA60="",0,AA60)</x:f>
        <x:v>0</x:v>
      </x:c>
      <x:c r="AG60" s="200" t="n">
        <x:f>MAX(AG59,AF60)</x:f>
        <x:v>0</x:v>
      </x:c>
      <x:c r="AH60" s="200" t="n">
        <x:f>AF60-AG60</x:f>
        <x:v>0</x:v>
      </x:c>
    </x:row>
    <x:row r="61">
      <x:c r="A61" s="189"/>
      <x:c r="B61" s="189"/>
      <x:c r="C61" s="221"/>
      <x:c r="D61" s="189"/>
      <x:c r="E61" s="221"/>
      <x:c r="F61" s="218" t="str">
        <x:f>IFERROR(LN(E61/C61)*10000,"")</x:f>
      </x:c>
      <x:c r="G61" s="191"/>
      <x:c r="H61" s="191"/>
      <x:c r="I61" s="191"/>
      <x:c r="J61" s="191"/>
      <x:c r="K61" s="189"/>
      <x:c r="L61" s="197" t="str">
        <x:f>IF(K61="Up",G61,IF(K61="Down",1-G61,""))</x:f>
      </x:c>
      <x:c r="M61" s="198" t="str">
        <x:f>IF(K61="Up",I61,IF(K61="Down",J61,""))</x:f>
      </x:c>
      <x:c r="N61" s="192"/>
      <x:c r="O61" s="198" t="n">
        <x:f>IF(N61="Taker",M61*'08_Bet_Calculator'!$B$18*(1-M61),0)</x:f>
        <x:v>0</x:v>
      </x:c>
      <x:c r="P61" s="192"/>
      <x:c r="Q61" s="198" t="str">
        <x:f>IF(M61="","",MIN(0.999,M61+O61+P61))</x:f>
      </x:c>
      <x:c r="R61" s="197" t="str">
        <x:f>IF(L61="","",L61-Q61)</x:f>
      </x:c>
      <x:c r="S61" s="197" t="str">
        <x:f>IF(L61="","",L61-'08_Bet_Calculator'!$B$24*H61-Q61-'08_Bet_Calculator'!$B$20)</x:f>
      </x:c>
      <x:c r="T61" s="197" t="n">
        <x:f>IF(OR(L61="",Q61&gt;=1),0,MAX(0,(MAX(0,L61-'08_Bet_Calculator'!$B$24*H61)-Q61)/(1-Q61)))</x:f>
        <x:v>0</x:v>
      </x:c>
      <x:c r="U61" s="197" t="n">
        <x:f>T61*'08_Bet_Calculator'!$B$21</x:f>
        <x:v>0</x:v>
      </x:c>
      <x:c r="V61" s="221"/>
      <x:c r="W61" s="200" t="n">
        <x:f>IF(OR(V61="",S61&lt;=0),0,MIN(V61*U61,V61*'08_Bet_Calculator'!$B$22,'08_Bet_Calculator'!$B$23))</x:f>
        <x:v>0</x:v>
      </x:c>
      <x:c r="X61" s="222" t="n">
        <x:f>IFERROR(W61/Q61,0)</x:f>
        <x:v>0</x:v>
      </x:c>
      <x:c r="Y61" s="189"/>
      <x:c r="Z61" s="196" t="str">
        <x:f>IF(OR(Y61="",K61=""),"",IF(Y61=K61,1,0))</x:f>
      </x:c>
      <x:c r="AA61" s="200" t="str">
        <x:f>IF(Z61="","",X61*(Z61-Q61))</x:f>
      </x:c>
      <x:c r="AB61" s="197" t="str">
        <x:f>IFERROR(AA61/W61,"")</x:f>
      </x:c>
      <x:c r="AC61" s="197" t="str">
        <x:f>IF(Z61="","",(L61-Z61)^2)</x:f>
      </x:c>
      <x:c r="AD61" s="198" t="str">
        <x:f>IF(Z61="","",-(Z61*LN(MAX(0.0001,L61))+(1-Z61)*LN(MAX(0.0001,1-L61))))</x:f>
      </x:c>
      <x:c r="AE61" s="189"/>
      <x:c r="AF61" s="200" t="n">
        <x:f>AF60+IF(AA61="",0,AA61)</x:f>
        <x:v>0</x:v>
      </x:c>
      <x:c r="AG61" s="200" t="n">
        <x:f>MAX(AG60,AF61)</x:f>
        <x:v>0</x:v>
      </x:c>
      <x:c r="AH61" s="200" t="n">
        <x:f>AF61-AG61</x:f>
        <x:v>0</x:v>
      </x:c>
    </x:row>
    <x:row r="62">
      <x:c r="A62" s="189"/>
      <x:c r="B62" s="189"/>
      <x:c r="C62" s="221"/>
      <x:c r="D62" s="189"/>
      <x:c r="E62" s="221"/>
      <x:c r="F62" s="218" t="str">
        <x:f>IFERROR(LN(E62/C62)*10000,"")</x:f>
      </x:c>
      <x:c r="G62" s="191"/>
      <x:c r="H62" s="191"/>
      <x:c r="I62" s="191"/>
      <x:c r="J62" s="191"/>
      <x:c r="K62" s="189"/>
      <x:c r="L62" s="197" t="str">
        <x:f>IF(K62="Up",G62,IF(K62="Down",1-G62,""))</x:f>
      </x:c>
      <x:c r="M62" s="198" t="str">
        <x:f>IF(K62="Up",I62,IF(K62="Down",J62,""))</x:f>
      </x:c>
      <x:c r="N62" s="192"/>
      <x:c r="O62" s="198" t="n">
        <x:f>IF(N62="Taker",M62*'08_Bet_Calculator'!$B$18*(1-M62),0)</x:f>
        <x:v>0</x:v>
      </x:c>
      <x:c r="P62" s="192"/>
      <x:c r="Q62" s="198" t="str">
        <x:f>IF(M62="","",MIN(0.999,M62+O62+P62))</x:f>
      </x:c>
      <x:c r="R62" s="197" t="str">
        <x:f>IF(L62="","",L62-Q62)</x:f>
      </x:c>
      <x:c r="S62" s="197" t="str">
        <x:f>IF(L62="","",L62-'08_Bet_Calculator'!$B$24*H62-Q62-'08_Bet_Calculator'!$B$20)</x:f>
      </x:c>
      <x:c r="T62" s="197" t="n">
        <x:f>IF(OR(L62="",Q62&gt;=1),0,MAX(0,(MAX(0,L62-'08_Bet_Calculator'!$B$24*H62)-Q62)/(1-Q62)))</x:f>
        <x:v>0</x:v>
      </x:c>
      <x:c r="U62" s="197" t="n">
        <x:f>T62*'08_Bet_Calculator'!$B$21</x:f>
        <x:v>0</x:v>
      </x:c>
      <x:c r="V62" s="221"/>
      <x:c r="W62" s="200" t="n">
        <x:f>IF(OR(V62="",S62&lt;=0),0,MIN(V62*U62,V62*'08_Bet_Calculator'!$B$22,'08_Bet_Calculator'!$B$23))</x:f>
        <x:v>0</x:v>
      </x:c>
      <x:c r="X62" s="222" t="n">
        <x:f>IFERROR(W62/Q62,0)</x:f>
        <x:v>0</x:v>
      </x:c>
      <x:c r="Y62" s="189"/>
      <x:c r="Z62" s="196" t="str">
        <x:f>IF(OR(Y62="",K62=""),"",IF(Y62=K62,1,0))</x:f>
      </x:c>
      <x:c r="AA62" s="200" t="str">
        <x:f>IF(Z62="","",X62*(Z62-Q62))</x:f>
      </x:c>
      <x:c r="AB62" s="197" t="str">
        <x:f>IFERROR(AA62/W62,"")</x:f>
      </x:c>
      <x:c r="AC62" s="197" t="str">
        <x:f>IF(Z62="","",(L62-Z62)^2)</x:f>
      </x:c>
      <x:c r="AD62" s="198" t="str">
        <x:f>IF(Z62="","",-(Z62*LN(MAX(0.0001,L62))+(1-Z62)*LN(MAX(0.0001,1-L62))))</x:f>
      </x:c>
      <x:c r="AE62" s="189"/>
      <x:c r="AF62" s="200" t="n">
        <x:f>AF61+IF(AA62="",0,AA62)</x:f>
        <x:v>0</x:v>
      </x:c>
      <x:c r="AG62" s="200" t="n">
        <x:f>MAX(AG61,AF62)</x:f>
        <x:v>0</x:v>
      </x:c>
      <x:c r="AH62" s="200" t="n">
        <x:f>AF62-AG62</x:f>
        <x:v>0</x:v>
      </x:c>
    </x:row>
    <x:row r="63">
      <x:c r="A63" s="189"/>
      <x:c r="B63" s="189"/>
      <x:c r="C63" s="221"/>
      <x:c r="D63" s="189"/>
      <x:c r="E63" s="221"/>
      <x:c r="F63" s="218" t="str">
        <x:f>IFERROR(LN(E63/C63)*10000,"")</x:f>
      </x:c>
      <x:c r="G63" s="191"/>
      <x:c r="H63" s="191"/>
      <x:c r="I63" s="191"/>
      <x:c r="J63" s="191"/>
      <x:c r="K63" s="189"/>
      <x:c r="L63" s="197" t="str">
        <x:f>IF(K63="Up",G63,IF(K63="Down",1-G63,""))</x:f>
      </x:c>
      <x:c r="M63" s="198" t="str">
        <x:f>IF(K63="Up",I63,IF(K63="Down",J63,""))</x:f>
      </x:c>
      <x:c r="N63" s="192"/>
      <x:c r="O63" s="198" t="n">
        <x:f>IF(N63="Taker",M63*'08_Bet_Calculator'!$B$18*(1-M63),0)</x:f>
        <x:v>0</x:v>
      </x:c>
      <x:c r="P63" s="192"/>
      <x:c r="Q63" s="198" t="str">
        <x:f>IF(M63="","",MIN(0.999,M63+O63+P63))</x:f>
      </x:c>
      <x:c r="R63" s="197" t="str">
        <x:f>IF(L63="","",L63-Q63)</x:f>
      </x:c>
      <x:c r="S63" s="197" t="str">
        <x:f>IF(L63="","",L63-'08_Bet_Calculator'!$B$24*H63-Q63-'08_Bet_Calculator'!$B$20)</x:f>
      </x:c>
      <x:c r="T63" s="197" t="n">
        <x:f>IF(OR(L63="",Q63&gt;=1),0,MAX(0,(MAX(0,L63-'08_Bet_Calculator'!$B$24*H63)-Q63)/(1-Q63)))</x:f>
        <x:v>0</x:v>
      </x:c>
      <x:c r="U63" s="197" t="n">
        <x:f>T63*'08_Bet_Calculator'!$B$21</x:f>
        <x:v>0</x:v>
      </x:c>
      <x:c r="V63" s="221"/>
      <x:c r="W63" s="200" t="n">
        <x:f>IF(OR(V63="",S63&lt;=0),0,MIN(V63*U63,V63*'08_Bet_Calculator'!$B$22,'08_Bet_Calculator'!$B$23))</x:f>
        <x:v>0</x:v>
      </x:c>
      <x:c r="X63" s="222" t="n">
        <x:f>IFERROR(W63/Q63,0)</x:f>
        <x:v>0</x:v>
      </x:c>
      <x:c r="Y63" s="189"/>
      <x:c r="Z63" s="196" t="str">
        <x:f>IF(OR(Y63="",K63=""),"",IF(Y63=K63,1,0))</x:f>
      </x:c>
      <x:c r="AA63" s="200" t="str">
        <x:f>IF(Z63="","",X63*(Z63-Q63))</x:f>
      </x:c>
      <x:c r="AB63" s="197" t="str">
        <x:f>IFERROR(AA63/W63,"")</x:f>
      </x:c>
      <x:c r="AC63" s="197" t="str">
        <x:f>IF(Z63="","",(L63-Z63)^2)</x:f>
      </x:c>
      <x:c r="AD63" s="198" t="str">
        <x:f>IF(Z63="","",-(Z63*LN(MAX(0.0001,L63))+(1-Z63)*LN(MAX(0.0001,1-L63))))</x:f>
      </x:c>
      <x:c r="AE63" s="189"/>
      <x:c r="AF63" s="200" t="n">
        <x:f>AF62+IF(AA63="",0,AA63)</x:f>
        <x:v>0</x:v>
      </x:c>
      <x:c r="AG63" s="200" t="n">
        <x:f>MAX(AG62,AF63)</x:f>
        <x:v>0</x:v>
      </x:c>
      <x:c r="AH63" s="200" t="n">
        <x:f>AF63-AG63</x:f>
        <x:v>0</x:v>
      </x:c>
    </x:row>
    <x:row r="64">
      <x:c r="A64" s="189"/>
      <x:c r="B64" s="189"/>
      <x:c r="C64" s="221"/>
      <x:c r="D64" s="189"/>
      <x:c r="E64" s="221"/>
      <x:c r="F64" s="218" t="str">
        <x:f>IFERROR(LN(E64/C64)*10000,"")</x:f>
      </x:c>
      <x:c r="G64" s="191"/>
      <x:c r="H64" s="191"/>
      <x:c r="I64" s="191"/>
      <x:c r="J64" s="191"/>
      <x:c r="K64" s="189"/>
      <x:c r="L64" s="197" t="str">
        <x:f>IF(K64="Up",G64,IF(K64="Down",1-G64,""))</x:f>
      </x:c>
      <x:c r="M64" s="198" t="str">
        <x:f>IF(K64="Up",I64,IF(K64="Down",J64,""))</x:f>
      </x:c>
      <x:c r="N64" s="192"/>
      <x:c r="O64" s="198" t="n">
        <x:f>IF(N64="Taker",M64*'08_Bet_Calculator'!$B$18*(1-M64),0)</x:f>
        <x:v>0</x:v>
      </x:c>
      <x:c r="P64" s="192"/>
      <x:c r="Q64" s="198" t="str">
        <x:f>IF(M64="","",MIN(0.999,M64+O64+P64))</x:f>
      </x:c>
      <x:c r="R64" s="197" t="str">
        <x:f>IF(L64="","",L64-Q64)</x:f>
      </x:c>
      <x:c r="S64" s="197" t="str">
        <x:f>IF(L64="","",L64-'08_Bet_Calculator'!$B$24*H64-Q64-'08_Bet_Calculator'!$B$20)</x:f>
      </x:c>
      <x:c r="T64" s="197" t="n">
        <x:f>IF(OR(L64="",Q64&gt;=1),0,MAX(0,(MAX(0,L64-'08_Bet_Calculator'!$B$24*H64)-Q64)/(1-Q64)))</x:f>
        <x:v>0</x:v>
      </x:c>
      <x:c r="U64" s="197" t="n">
        <x:f>T64*'08_Bet_Calculator'!$B$21</x:f>
        <x:v>0</x:v>
      </x:c>
      <x:c r="V64" s="221"/>
      <x:c r="W64" s="200" t="n">
        <x:f>IF(OR(V64="",S64&lt;=0),0,MIN(V64*U64,V64*'08_Bet_Calculator'!$B$22,'08_Bet_Calculator'!$B$23))</x:f>
        <x:v>0</x:v>
      </x:c>
      <x:c r="X64" s="222" t="n">
        <x:f>IFERROR(W64/Q64,0)</x:f>
        <x:v>0</x:v>
      </x:c>
      <x:c r="Y64" s="189"/>
      <x:c r="Z64" s="196" t="str">
        <x:f>IF(OR(Y64="",K64=""),"",IF(Y64=K64,1,0))</x:f>
      </x:c>
      <x:c r="AA64" s="200" t="str">
        <x:f>IF(Z64="","",X64*(Z64-Q64))</x:f>
      </x:c>
      <x:c r="AB64" s="197" t="str">
        <x:f>IFERROR(AA64/W64,"")</x:f>
      </x:c>
      <x:c r="AC64" s="197" t="str">
        <x:f>IF(Z64="","",(L64-Z64)^2)</x:f>
      </x:c>
      <x:c r="AD64" s="198" t="str">
        <x:f>IF(Z64="","",-(Z64*LN(MAX(0.0001,L64))+(1-Z64)*LN(MAX(0.0001,1-L64))))</x:f>
      </x:c>
      <x:c r="AE64" s="189"/>
      <x:c r="AF64" s="200" t="n">
        <x:f>AF63+IF(AA64="",0,AA64)</x:f>
        <x:v>0</x:v>
      </x:c>
      <x:c r="AG64" s="200" t="n">
        <x:f>MAX(AG63,AF64)</x:f>
        <x:v>0</x:v>
      </x:c>
      <x:c r="AH64" s="200" t="n">
        <x:f>AF64-AG64</x:f>
        <x:v>0</x:v>
      </x:c>
    </x:row>
    <x:row r="65">
      <x:c r="A65" s="189"/>
      <x:c r="B65" s="189"/>
      <x:c r="C65" s="221"/>
      <x:c r="D65" s="189"/>
      <x:c r="E65" s="221"/>
      <x:c r="F65" s="218" t="str">
        <x:f>IFERROR(LN(E65/C65)*10000,"")</x:f>
      </x:c>
      <x:c r="G65" s="191"/>
      <x:c r="H65" s="191"/>
      <x:c r="I65" s="191"/>
      <x:c r="J65" s="191"/>
      <x:c r="K65" s="189"/>
      <x:c r="L65" s="197" t="str">
        <x:f>IF(K65="Up",G65,IF(K65="Down",1-G65,""))</x:f>
      </x:c>
      <x:c r="M65" s="198" t="str">
        <x:f>IF(K65="Up",I65,IF(K65="Down",J65,""))</x:f>
      </x:c>
      <x:c r="N65" s="192"/>
      <x:c r="O65" s="198" t="n">
        <x:f>IF(N65="Taker",M65*'08_Bet_Calculator'!$B$18*(1-M65),0)</x:f>
        <x:v>0</x:v>
      </x:c>
      <x:c r="P65" s="192"/>
      <x:c r="Q65" s="198" t="str">
        <x:f>IF(M65="","",MIN(0.999,M65+O65+P65))</x:f>
      </x:c>
      <x:c r="R65" s="197" t="str">
        <x:f>IF(L65="","",L65-Q65)</x:f>
      </x:c>
      <x:c r="S65" s="197" t="str">
        <x:f>IF(L65="","",L65-'08_Bet_Calculator'!$B$24*H65-Q65-'08_Bet_Calculator'!$B$20)</x:f>
      </x:c>
      <x:c r="T65" s="197" t="n">
        <x:f>IF(OR(L65="",Q65&gt;=1),0,MAX(0,(MAX(0,L65-'08_Bet_Calculator'!$B$24*H65)-Q65)/(1-Q65)))</x:f>
        <x:v>0</x:v>
      </x:c>
      <x:c r="U65" s="197" t="n">
        <x:f>T65*'08_Bet_Calculator'!$B$21</x:f>
        <x:v>0</x:v>
      </x:c>
      <x:c r="V65" s="221"/>
      <x:c r="W65" s="200" t="n">
        <x:f>IF(OR(V65="",S65&lt;=0),0,MIN(V65*U65,V65*'08_Bet_Calculator'!$B$22,'08_Bet_Calculator'!$B$23))</x:f>
        <x:v>0</x:v>
      </x:c>
      <x:c r="X65" s="222" t="n">
        <x:f>IFERROR(W65/Q65,0)</x:f>
        <x:v>0</x:v>
      </x:c>
      <x:c r="Y65" s="189"/>
      <x:c r="Z65" s="196" t="str">
        <x:f>IF(OR(Y65="",K65=""),"",IF(Y65=K65,1,0))</x:f>
      </x:c>
      <x:c r="AA65" s="200" t="str">
        <x:f>IF(Z65="","",X65*(Z65-Q65))</x:f>
      </x:c>
      <x:c r="AB65" s="197" t="str">
        <x:f>IFERROR(AA65/W65,"")</x:f>
      </x:c>
      <x:c r="AC65" s="197" t="str">
        <x:f>IF(Z65="","",(L65-Z65)^2)</x:f>
      </x:c>
      <x:c r="AD65" s="198" t="str">
        <x:f>IF(Z65="","",-(Z65*LN(MAX(0.0001,L65))+(1-Z65)*LN(MAX(0.0001,1-L65))))</x:f>
      </x:c>
      <x:c r="AE65" s="189"/>
      <x:c r="AF65" s="200" t="n">
        <x:f>AF64+IF(AA65="",0,AA65)</x:f>
        <x:v>0</x:v>
      </x:c>
      <x:c r="AG65" s="200" t="n">
        <x:f>MAX(AG64,AF65)</x:f>
        <x:v>0</x:v>
      </x:c>
      <x:c r="AH65" s="200" t="n">
        <x:f>AF65-AG65</x:f>
        <x:v>0</x:v>
      </x:c>
    </x:row>
    <x:row r="66">
      <x:c r="A66" s="189"/>
      <x:c r="B66" s="189"/>
      <x:c r="C66" s="221"/>
      <x:c r="D66" s="189"/>
      <x:c r="E66" s="221"/>
      <x:c r="F66" s="218" t="str">
        <x:f>IFERROR(LN(E66/C66)*10000,"")</x:f>
      </x:c>
      <x:c r="G66" s="191"/>
      <x:c r="H66" s="191"/>
      <x:c r="I66" s="191"/>
      <x:c r="J66" s="191"/>
      <x:c r="K66" s="189"/>
      <x:c r="L66" s="197" t="str">
        <x:f>IF(K66="Up",G66,IF(K66="Down",1-G66,""))</x:f>
      </x:c>
      <x:c r="M66" s="198" t="str">
        <x:f>IF(K66="Up",I66,IF(K66="Down",J66,""))</x:f>
      </x:c>
      <x:c r="N66" s="192"/>
      <x:c r="O66" s="198" t="n">
        <x:f>IF(N66="Taker",M66*'08_Bet_Calculator'!$B$18*(1-M66),0)</x:f>
        <x:v>0</x:v>
      </x:c>
      <x:c r="P66" s="192"/>
      <x:c r="Q66" s="198" t="str">
        <x:f>IF(M66="","",MIN(0.999,M66+O66+P66))</x:f>
      </x:c>
      <x:c r="R66" s="197" t="str">
        <x:f>IF(L66="","",L66-Q66)</x:f>
      </x:c>
      <x:c r="S66" s="197" t="str">
        <x:f>IF(L66="","",L66-'08_Bet_Calculator'!$B$24*H66-Q66-'08_Bet_Calculator'!$B$20)</x:f>
      </x:c>
      <x:c r="T66" s="197" t="n">
        <x:f>IF(OR(L66="",Q66&gt;=1),0,MAX(0,(MAX(0,L66-'08_Bet_Calculator'!$B$24*H66)-Q66)/(1-Q66)))</x:f>
        <x:v>0</x:v>
      </x:c>
      <x:c r="U66" s="197" t="n">
        <x:f>T66*'08_Bet_Calculator'!$B$21</x:f>
        <x:v>0</x:v>
      </x:c>
      <x:c r="V66" s="221"/>
      <x:c r="W66" s="200" t="n">
        <x:f>IF(OR(V66="",S66&lt;=0),0,MIN(V66*U66,V66*'08_Bet_Calculator'!$B$22,'08_Bet_Calculator'!$B$23))</x:f>
        <x:v>0</x:v>
      </x:c>
      <x:c r="X66" s="222" t="n">
        <x:f>IFERROR(W66/Q66,0)</x:f>
        <x:v>0</x:v>
      </x:c>
      <x:c r="Y66" s="189"/>
      <x:c r="Z66" s="196" t="str">
        <x:f>IF(OR(Y66="",K66=""),"",IF(Y66=K66,1,0))</x:f>
      </x:c>
      <x:c r="AA66" s="200" t="str">
        <x:f>IF(Z66="","",X66*(Z66-Q66))</x:f>
      </x:c>
      <x:c r="AB66" s="197" t="str">
        <x:f>IFERROR(AA66/W66,"")</x:f>
      </x:c>
      <x:c r="AC66" s="197" t="str">
        <x:f>IF(Z66="","",(L66-Z66)^2)</x:f>
      </x:c>
      <x:c r="AD66" s="198" t="str">
        <x:f>IF(Z66="","",-(Z66*LN(MAX(0.0001,L66))+(1-Z66)*LN(MAX(0.0001,1-L66))))</x:f>
      </x:c>
      <x:c r="AE66" s="189"/>
      <x:c r="AF66" s="200" t="n">
        <x:f>AF65+IF(AA66="",0,AA66)</x:f>
        <x:v>0</x:v>
      </x:c>
      <x:c r="AG66" s="200" t="n">
        <x:f>MAX(AG65,AF66)</x:f>
        <x:v>0</x:v>
      </x:c>
      <x:c r="AH66" s="200" t="n">
        <x:f>AF66-AG66</x:f>
        <x:v>0</x:v>
      </x:c>
    </x:row>
    <x:row r="67">
      <x:c r="A67" s="189"/>
      <x:c r="B67" s="189"/>
      <x:c r="C67" s="221"/>
      <x:c r="D67" s="189"/>
      <x:c r="E67" s="221"/>
      <x:c r="F67" s="218" t="str">
        <x:f>IFERROR(LN(E67/C67)*10000,"")</x:f>
      </x:c>
      <x:c r="G67" s="191"/>
      <x:c r="H67" s="191"/>
      <x:c r="I67" s="191"/>
      <x:c r="J67" s="191"/>
      <x:c r="K67" s="189"/>
      <x:c r="L67" s="197" t="str">
        <x:f>IF(K67="Up",G67,IF(K67="Down",1-G67,""))</x:f>
      </x:c>
      <x:c r="M67" s="198" t="str">
        <x:f>IF(K67="Up",I67,IF(K67="Down",J67,""))</x:f>
      </x:c>
      <x:c r="N67" s="192"/>
      <x:c r="O67" s="198" t="n">
        <x:f>IF(N67="Taker",M67*'08_Bet_Calculator'!$B$18*(1-M67),0)</x:f>
        <x:v>0</x:v>
      </x:c>
      <x:c r="P67" s="192"/>
      <x:c r="Q67" s="198" t="str">
        <x:f>IF(M67="","",MIN(0.999,M67+O67+P67))</x:f>
      </x:c>
      <x:c r="R67" s="197" t="str">
        <x:f>IF(L67="","",L67-Q67)</x:f>
      </x:c>
      <x:c r="S67" s="197" t="str">
        <x:f>IF(L67="","",L67-'08_Bet_Calculator'!$B$24*H67-Q67-'08_Bet_Calculator'!$B$20)</x:f>
      </x:c>
      <x:c r="T67" s="197" t="n">
        <x:f>IF(OR(L67="",Q67&gt;=1),0,MAX(0,(MAX(0,L67-'08_Bet_Calculator'!$B$24*H67)-Q67)/(1-Q67)))</x:f>
        <x:v>0</x:v>
      </x:c>
      <x:c r="U67" s="197" t="n">
        <x:f>T67*'08_Bet_Calculator'!$B$21</x:f>
        <x:v>0</x:v>
      </x:c>
      <x:c r="V67" s="221"/>
      <x:c r="W67" s="200" t="n">
        <x:f>IF(OR(V67="",S67&lt;=0),0,MIN(V67*U67,V67*'08_Bet_Calculator'!$B$22,'08_Bet_Calculator'!$B$23))</x:f>
        <x:v>0</x:v>
      </x:c>
      <x:c r="X67" s="222" t="n">
        <x:f>IFERROR(W67/Q67,0)</x:f>
        <x:v>0</x:v>
      </x:c>
      <x:c r="Y67" s="189"/>
      <x:c r="Z67" s="196" t="str">
        <x:f>IF(OR(Y67="",K67=""),"",IF(Y67=K67,1,0))</x:f>
      </x:c>
      <x:c r="AA67" s="200" t="str">
        <x:f>IF(Z67="","",X67*(Z67-Q67))</x:f>
      </x:c>
      <x:c r="AB67" s="197" t="str">
        <x:f>IFERROR(AA67/W67,"")</x:f>
      </x:c>
      <x:c r="AC67" s="197" t="str">
        <x:f>IF(Z67="","",(L67-Z67)^2)</x:f>
      </x:c>
      <x:c r="AD67" s="198" t="str">
        <x:f>IF(Z67="","",-(Z67*LN(MAX(0.0001,L67))+(1-Z67)*LN(MAX(0.0001,1-L67))))</x:f>
      </x:c>
      <x:c r="AE67" s="189"/>
      <x:c r="AF67" s="200" t="n">
        <x:f>AF66+IF(AA67="",0,AA67)</x:f>
        <x:v>0</x:v>
      </x:c>
      <x:c r="AG67" s="200" t="n">
        <x:f>MAX(AG66,AF67)</x:f>
        <x:v>0</x:v>
      </x:c>
      <x:c r="AH67" s="200" t="n">
        <x:f>AF67-AG67</x:f>
        <x:v>0</x:v>
      </x:c>
    </x:row>
    <x:row r="68">
      <x:c r="A68" s="189"/>
      <x:c r="B68" s="189"/>
      <x:c r="C68" s="221"/>
      <x:c r="D68" s="189"/>
      <x:c r="E68" s="221"/>
      <x:c r="F68" s="218" t="str">
        <x:f>IFERROR(LN(E68/C68)*10000,"")</x:f>
      </x:c>
      <x:c r="G68" s="191"/>
      <x:c r="H68" s="191"/>
      <x:c r="I68" s="191"/>
      <x:c r="J68" s="191"/>
      <x:c r="K68" s="189"/>
      <x:c r="L68" s="197" t="str">
        <x:f>IF(K68="Up",G68,IF(K68="Down",1-G68,""))</x:f>
      </x:c>
      <x:c r="M68" s="198" t="str">
        <x:f>IF(K68="Up",I68,IF(K68="Down",J68,""))</x:f>
      </x:c>
      <x:c r="N68" s="192"/>
      <x:c r="O68" s="198" t="n">
        <x:f>IF(N68="Taker",M68*'08_Bet_Calculator'!$B$18*(1-M68),0)</x:f>
        <x:v>0</x:v>
      </x:c>
      <x:c r="P68" s="192"/>
      <x:c r="Q68" s="198" t="str">
        <x:f>IF(M68="","",MIN(0.999,M68+O68+P68))</x:f>
      </x:c>
      <x:c r="R68" s="197" t="str">
        <x:f>IF(L68="","",L68-Q68)</x:f>
      </x:c>
      <x:c r="S68" s="197" t="str">
        <x:f>IF(L68="","",L68-'08_Bet_Calculator'!$B$24*H68-Q68-'08_Bet_Calculator'!$B$20)</x:f>
      </x:c>
      <x:c r="T68" s="197" t="n">
        <x:f>IF(OR(L68="",Q68&gt;=1),0,MAX(0,(MAX(0,L68-'08_Bet_Calculator'!$B$24*H68)-Q68)/(1-Q68)))</x:f>
        <x:v>0</x:v>
      </x:c>
      <x:c r="U68" s="197" t="n">
        <x:f>T68*'08_Bet_Calculator'!$B$21</x:f>
        <x:v>0</x:v>
      </x:c>
      <x:c r="V68" s="221"/>
      <x:c r="W68" s="200" t="n">
        <x:f>IF(OR(V68="",S68&lt;=0),0,MIN(V68*U68,V68*'08_Bet_Calculator'!$B$22,'08_Bet_Calculator'!$B$23))</x:f>
        <x:v>0</x:v>
      </x:c>
      <x:c r="X68" s="222" t="n">
        <x:f>IFERROR(W68/Q68,0)</x:f>
        <x:v>0</x:v>
      </x:c>
      <x:c r="Y68" s="189"/>
      <x:c r="Z68" s="196" t="str">
        <x:f>IF(OR(Y68="",K68=""),"",IF(Y68=K68,1,0))</x:f>
      </x:c>
      <x:c r="AA68" s="200" t="str">
        <x:f>IF(Z68="","",X68*(Z68-Q68))</x:f>
      </x:c>
      <x:c r="AB68" s="197" t="str">
        <x:f>IFERROR(AA68/W68,"")</x:f>
      </x:c>
      <x:c r="AC68" s="197" t="str">
        <x:f>IF(Z68="","",(L68-Z68)^2)</x:f>
      </x:c>
      <x:c r="AD68" s="198" t="str">
        <x:f>IF(Z68="","",-(Z68*LN(MAX(0.0001,L68))+(1-Z68)*LN(MAX(0.0001,1-L68))))</x:f>
      </x:c>
      <x:c r="AE68" s="189"/>
      <x:c r="AF68" s="200" t="n">
        <x:f>AF67+IF(AA68="",0,AA68)</x:f>
        <x:v>0</x:v>
      </x:c>
      <x:c r="AG68" s="200" t="n">
        <x:f>MAX(AG67,AF68)</x:f>
        <x:v>0</x:v>
      </x:c>
      <x:c r="AH68" s="200" t="n">
        <x:f>AF68-AG68</x:f>
        <x:v>0</x:v>
      </x:c>
    </x:row>
    <x:row r="69">
      <x:c r="A69" s="189"/>
      <x:c r="B69" s="189"/>
      <x:c r="C69" s="221"/>
      <x:c r="D69" s="189"/>
      <x:c r="E69" s="221"/>
      <x:c r="F69" s="218" t="str">
        <x:f>IFERROR(LN(E69/C69)*10000,"")</x:f>
      </x:c>
      <x:c r="G69" s="191"/>
      <x:c r="H69" s="191"/>
      <x:c r="I69" s="191"/>
      <x:c r="J69" s="191"/>
      <x:c r="K69" s="189"/>
      <x:c r="L69" s="197" t="str">
        <x:f>IF(K69="Up",G69,IF(K69="Down",1-G69,""))</x:f>
      </x:c>
      <x:c r="M69" s="198" t="str">
        <x:f>IF(K69="Up",I69,IF(K69="Down",J69,""))</x:f>
      </x:c>
      <x:c r="N69" s="192"/>
      <x:c r="O69" s="198" t="n">
        <x:f>IF(N69="Taker",M69*'08_Bet_Calculator'!$B$18*(1-M69),0)</x:f>
        <x:v>0</x:v>
      </x:c>
      <x:c r="P69" s="192"/>
      <x:c r="Q69" s="198" t="str">
        <x:f>IF(M69="","",MIN(0.999,M69+O69+P69))</x:f>
      </x:c>
      <x:c r="R69" s="197" t="str">
        <x:f>IF(L69="","",L69-Q69)</x:f>
      </x:c>
      <x:c r="S69" s="197" t="str">
        <x:f>IF(L69="","",L69-'08_Bet_Calculator'!$B$24*H69-Q69-'08_Bet_Calculator'!$B$20)</x:f>
      </x:c>
      <x:c r="T69" s="197" t="n">
        <x:f>IF(OR(L69="",Q69&gt;=1),0,MAX(0,(MAX(0,L69-'08_Bet_Calculator'!$B$24*H69)-Q69)/(1-Q69)))</x:f>
        <x:v>0</x:v>
      </x:c>
      <x:c r="U69" s="197" t="n">
        <x:f>T69*'08_Bet_Calculator'!$B$21</x:f>
        <x:v>0</x:v>
      </x:c>
      <x:c r="V69" s="221"/>
      <x:c r="W69" s="200" t="n">
        <x:f>IF(OR(V69="",S69&lt;=0),0,MIN(V69*U69,V69*'08_Bet_Calculator'!$B$22,'08_Bet_Calculator'!$B$23))</x:f>
        <x:v>0</x:v>
      </x:c>
      <x:c r="X69" s="222" t="n">
        <x:f>IFERROR(W69/Q69,0)</x:f>
        <x:v>0</x:v>
      </x:c>
      <x:c r="Y69" s="189"/>
      <x:c r="Z69" s="196" t="str">
        <x:f>IF(OR(Y69="",K69=""),"",IF(Y69=K69,1,0))</x:f>
      </x:c>
      <x:c r="AA69" s="200" t="str">
        <x:f>IF(Z69="","",X69*(Z69-Q69))</x:f>
      </x:c>
      <x:c r="AB69" s="197" t="str">
        <x:f>IFERROR(AA69/W69,"")</x:f>
      </x:c>
      <x:c r="AC69" s="197" t="str">
        <x:f>IF(Z69="","",(L69-Z69)^2)</x:f>
      </x:c>
      <x:c r="AD69" s="198" t="str">
        <x:f>IF(Z69="","",-(Z69*LN(MAX(0.0001,L69))+(1-Z69)*LN(MAX(0.0001,1-L69))))</x:f>
      </x:c>
      <x:c r="AE69" s="189"/>
      <x:c r="AF69" s="200" t="n">
        <x:f>AF68+IF(AA69="",0,AA69)</x:f>
        <x:v>0</x:v>
      </x:c>
      <x:c r="AG69" s="200" t="n">
        <x:f>MAX(AG68,AF69)</x:f>
        <x:v>0</x:v>
      </x:c>
      <x:c r="AH69" s="200" t="n">
        <x:f>AF69-AG69</x:f>
        <x:v>0</x:v>
      </x:c>
    </x:row>
    <x:row r="70">
      <x:c r="A70" s="189"/>
      <x:c r="B70" s="189"/>
      <x:c r="C70" s="221"/>
      <x:c r="D70" s="189"/>
      <x:c r="E70" s="221"/>
      <x:c r="F70" s="218" t="str">
        <x:f>IFERROR(LN(E70/C70)*10000,"")</x:f>
      </x:c>
      <x:c r="G70" s="191"/>
      <x:c r="H70" s="191"/>
      <x:c r="I70" s="191"/>
      <x:c r="J70" s="191"/>
      <x:c r="K70" s="189"/>
      <x:c r="L70" s="197" t="str">
        <x:f>IF(K70="Up",G70,IF(K70="Down",1-G70,""))</x:f>
      </x:c>
      <x:c r="M70" s="198" t="str">
        <x:f>IF(K70="Up",I70,IF(K70="Down",J70,""))</x:f>
      </x:c>
      <x:c r="N70" s="192"/>
      <x:c r="O70" s="198" t="n">
        <x:f>IF(N70="Taker",M70*'08_Bet_Calculator'!$B$18*(1-M70),0)</x:f>
        <x:v>0</x:v>
      </x:c>
      <x:c r="P70" s="192"/>
      <x:c r="Q70" s="198" t="str">
        <x:f>IF(M70="","",MIN(0.999,M70+O70+P70))</x:f>
      </x:c>
      <x:c r="R70" s="197" t="str">
        <x:f>IF(L70="","",L70-Q70)</x:f>
      </x:c>
      <x:c r="S70" s="197" t="str">
        <x:f>IF(L70="","",L70-'08_Bet_Calculator'!$B$24*H70-Q70-'08_Bet_Calculator'!$B$20)</x:f>
      </x:c>
      <x:c r="T70" s="197" t="n">
        <x:f>IF(OR(L70="",Q70&gt;=1),0,MAX(0,(MAX(0,L70-'08_Bet_Calculator'!$B$24*H70)-Q70)/(1-Q70)))</x:f>
        <x:v>0</x:v>
      </x:c>
      <x:c r="U70" s="197" t="n">
        <x:f>T70*'08_Bet_Calculator'!$B$21</x:f>
        <x:v>0</x:v>
      </x:c>
      <x:c r="V70" s="221"/>
      <x:c r="W70" s="200" t="n">
        <x:f>IF(OR(V70="",S70&lt;=0),0,MIN(V70*U70,V70*'08_Bet_Calculator'!$B$22,'08_Bet_Calculator'!$B$23))</x:f>
        <x:v>0</x:v>
      </x:c>
      <x:c r="X70" s="222" t="n">
        <x:f>IFERROR(W70/Q70,0)</x:f>
        <x:v>0</x:v>
      </x:c>
      <x:c r="Y70" s="189"/>
      <x:c r="Z70" s="196" t="str">
        <x:f>IF(OR(Y70="",K70=""),"",IF(Y70=K70,1,0))</x:f>
      </x:c>
      <x:c r="AA70" s="200" t="str">
        <x:f>IF(Z70="","",X70*(Z70-Q70))</x:f>
      </x:c>
      <x:c r="AB70" s="197" t="str">
        <x:f>IFERROR(AA70/W70,"")</x:f>
      </x:c>
      <x:c r="AC70" s="197" t="str">
        <x:f>IF(Z70="","",(L70-Z70)^2)</x:f>
      </x:c>
      <x:c r="AD70" s="198" t="str">
        <x:f>IF(Z70="","",-(Z70*LN(MAX(0.0001,L70))+(1-Z70)*LN(MAX(0.0001,1-L70))))</x:f>
      </x:c>
      <x:c r="AE70" s="189"/>
      <x:c r="AF70" s="200" t="n">
        <x:f>AF69+IF(AA70="",0,AA70)</x:f>
        <x:v>0</x:v>
      </x:c>
      <x:c r="AG70" s="200" t="n">
        <x:f>MAX(AG69,AF70)</x:f>
        <x:v>0</x:v>
      </x:c>
      <x:c r="AH70" s="200" t="n">
        <x:f>AF70-AG70</x:f>
        <x:v>0</x:v>
      </x:c>
    </x:row>
    <x:row r="71">
      <x:c r="A71" s="189"/>
      <x:c r="B71" s="189"/>
      <x:c r="C71" s="221"/>
      <x:c r="D71" s="189"/>
      <x:c r="E71" s="221"/>
      <x:c r="F71" s="218" t="str">
        <x:f>IFERROR(LN(E71/C71)*10000,"")</x:f>
      </x:c>
      <x:c r="G71" s="191"/>
      <x:c r="H71" s="191"/>
      <x:c r="I71" s="191"/>
      <x:c r="J71" s="191"/>
      <x:c r="K71" s="189"/>
      <x:c r="L71" s="197" t="str">
        <x:f>IF(K71="Up",G71,IF(K71="Down",1-G71,""))</x:f>
      </x:c>
      <x:c r="M71" s="198" t="str">
        <x:f>IF(K71="Up",I71,IF(K71="Down",J71,""))</x:f>
      </x:c>
      <x:c r="N71" s="192"/>
      <x:c r="O71" s="198" t="n">
        <x:f>IF(N71="Taker",M71*'08_Bet_Calculator'!$B$18*(1-M71),0)</x:f>
        <x:v>0</x:v>
      </x:c>
      <x:c r="P71" s="192"/>
      <x:c r="Q71" s="198" t="str">
        <x:f>IF(M71="","",MIN(0.999,M71+O71+P71))</x:f>
      </x:c>
      <x:c r="R71" s="197" t="str">
        <x:f>IF(L71="","",L71-Q71)</x:f>
      </x:c>
      <x:c r="S71" s="197" t="str">
        <x:f>IF(L71="","",L71-'08_Bet_Calculator'!$B$24*H71-Q71-'08_Bet_Calculator'!$B$20)</x:f>
      </x:c>
      <x:c r="T71" s="197" t="n">
        <x:f>IF(OR(L71="",Q71&gt;=1),0,MAX(0,(MAX(0,L71-'08_Bet_Calculator'!$B$24*H71)-Q71)/(1-Q71)))</x:f>
        <x:v>0</x:v>
      </x:c>
      <x:c r="U71" s="197" t="n">
        <x:f>T71*'08_Bet_Calculator'!$B$21</x:f>
        <x:v>0</x:v>
      </x:c>
      <x:c r="V71" s="221"/>
      <x:c r="W71" s="200" t="n">
        <x:f>IF(OR(V71="",S71&lt;=0),0,MIN(V71*U71,V71*'08_Bet_Calculator'!$B$22,'08_Bet_Calculator'!$B$23))</x:f>
        <x:v>0</x:v>
      </x:c>
      <x:c r="X71" s="222" t="n">
        <x:f>IFERROR(W71/Q71,0)</x:f>
        <x:v>0</x:v>
      </x:c>
      <x:c r="Y71" s="189"/>
      <x:c r="Z71" s="196" t="str">
        <x:f>IF(OR(Y71="",K71=""),"",IF(Y71=K71,1,0))</x:f>
      </x:c>
      <x:c r="AA71" s="200" t="str">
        <x:f>IF(Z71="","",X71*(Z71-Q71))</x:f>
      </x:c>
      <x:c r="AB71" s="197" t="str">
        <x:f>IFERROR(AA71/W71,"")</x:f>
      </x:c>
      <x:c r="AC71" s="197" t="str">
        <x:f>IF(Z71="","",(L71-Z71)^2)</x:f>
      </x:c>
      <x:c r="AD71" s="198" t="str">
        <x:f>IF(Z71="","",-(Z71*LN(MAX(0.0001,L71))+(1-Z71)*LN(MAX(0.0001,1-L71))))</x:f>
      </x:c>
      <x:c r="AE71" s="189"/>
      <x:c r="AF71" s="200" t="n">
        <x:f>AF70+IF(AA71="",0,AA71)</x:f>
        <x:v>0</x:v>
      </x:c>
      <x:c r="AG71" s="200" t="n">
        <x:f>MAX(AG70,AF71)</x:f>
        <x:v>0</x:v>
      </x:c>
      <x:c r="AH71" s="200" t="n">
        <x:f>AF71-AG71</x:f>
        <x:v>0</x:v>
      </x:c>
    </x:row>
    <x:row r="72">
      <x:c r="A72" s="189"/>
      <x:c r="B72" s="189"/>
      <x:c r="C72" s="221"/>
      <x:c r="D72" s="189"/>
      <x:c r="E72" s="221"/>
      <x:c r="F72" s="218" t="str">
        <x:f>IFERROR(LN(E72/C72)*10000,"")</x:f>
      </x:c>
      <x:c r="G72" s="191"/>
      <x:c r="H72" s="191"/>
      <x:c r="I72" s="191"/>
      <x:c r="J72" s="191"/>
      <x:c r="K72" s="189"/>
      <x:c r="L72" s="197" t="str">
        <x:f>IF(K72="Up",G72,IF(K72="Down",1-G72,""))</x:f>
      </x:c>
      <x:c r="M72" s="198" t="str">
        <x:f>IF(K72="Up",I72,IF(K72="Down",J72,""))</x:f>
      </x:c>
      <x:c r="N72" s="192"/>
      <x:c r="O72" s="198" t="n">
        <x:f>IF(N72="Taker",M72*'08_Bet_Calculator'!$B$18*(1-M72),0)</x:f>
        <x:v>0</x:v>
      </x:c>
      <x:c r="P72" s="192"/>
      <x:c r="Q72" s="198" t="str">
        <x:f>IF(M72="","",MIN(0.999,M72+O72+P72))</x:f>
      </x:c>
      <x:c r="R72" s="197" t="str">
        <x:f>IF(L72="","",L72-Q72)</x:f>
      </x:c>
      <x:c r="S72" s="197" t="str">
        <x:f>IF(L72="","",L72-'08_Bet_Calculator'!$B$24*H72-Q72-'08_Bet_Calculator'!$B$20)</x:f>
      </x:c>
      <x:c r="T72" s="197" t="n">
        <x:f>IF(OR(L72="",Q72&gt;=1),0,MAX(0,(MAX(0,L72-'08_Bet_Calculator'!$B$24*H72)-Q72)/(1-Q72)))</x:f>
        <x:v>0</x:v>
      </x:c>
      <x:c r="U72" s="197" t="n">
        <x:f>T72*'08_Bet_Calculator'!$B$21</x:f>
        <x:v>0</x:v>
      </x:c>
      <x:c r="V72" s="221"/>
      <x:c r="W72" s="200" t="n">
        <x:f>IF(OR(V72="",S72&lt;=0),0,MIN(V72*U72,V72*'08_Bet_Calculator'!$B$22,'08_Bet_Calculator'!$B$23))</x:f>
        <x:v>0</x:v>
      </x:c>
      <x:c r="X72" s="222" t="n">
        <x:f>IFERROR(W72/Q72,0)</x:f>
        <x:v>0</x:v>
      </x:c>
      <x:c r="Y72" s="189"/>
      <x:c r="Z72" s="196" t="str">
        <x:f>IF(OR(Y72="",K72=""),"",IF(Y72=K72,1,0))</x:f>
      </x:c>
      <x:c r="AA72" s="200" t="str">
        <x:f>IF(Z72="","",X72*(Z72-Q72))</x:f>
      </x:c>
      <x:c r="AB72" s="197" t="str">
        <x:f>IFERROR(AA72/W72,"")</x:f>
      </x:c>
      <x:c r="AC72" s="197" t="str">
        <x:f>IF(Z72="","",(L72-Z72)^2)</x:f>
      </x:c>
      <x:c r="AD72" s="198" t="str">
        <x:f>IF(Z72="","",-(Z72*LN(MAX(0.0001,L72))+(1-Z72)*LN(MAX(0.0001,1-L72))))</x:f>
      </x:c>
      <x:c r="AE72" s="189"/>
      <x:c r="AF72" s="200" t="n">
        <x:f>AF71+IF(AA72="",0,AA72)</x:f>
        <x:v>0</x:v>
      </x:c>
      <x:c r="AG72" s="200" t="n">
        <x:f>MAX(AG71,AF72)</x:f>
        <x:v>0</x:v>
      </x:c>
      <x:c r="AH72" s="200" t="n">
        <x:f>AF72-AG72</x:f>
        <x:v>0</x:v>
      </x:c>
    </x:row>
    <x:row r="73">
      <x:c r="A73" s="189"/>
      <x:c r="B73" s="189"/>
      <x:c r="C73" s="221"/>
      <x:c r="D73" s="189"/>
      <x:c r="E73" s="221"/>
      <x:c r="F73" s="218" t="str">
        <x:f>IFERROR(LN(E73/C73)*10000,"")</x:f>
      </x:c>
      <x:c r="G73" s="191"/>
      <x:c r="H73" s="191"/>
      <x:c r="I73" s="191"/>
      <x:c r="J73" s="191"/>
      <x:c r="K73" s="189"/>
      <x:c r="L73" s="197" t="str">
        <x:f>IF(K73="Up",G73,IF(K73="Down",1-G73,""))</x:f>
      </x:c>
      <x:c r="M73" s="198" t="str">
        <x:f>IF(K73="Up",I73,IF(K73="Down",J73,""))</x:f>
      </x:c>
      <x:c r="N73" s="192"/>
      <x:c r="O73" s="198" t="n">
        <x:f>IF(N73="Taker",M73*'08_Bet_Calculator'!$B$18*(1-M73),0)</x:f>
        <x:v>0</x:v>
      </x:c>
      <x:c r="P73" s="192"/>
      <x:c r="Q73" s="198" t="str">
        <x:f>IF(M73="","",MIN(0.999,M73+O73+P73))</x:f>
      </x:c>
      <x:c r="R73" s="197" t="str">
        <x:f>IF(L73="","",L73-Q73)</x:f>
      </x:c>
      <x:c r="S73" s="197" t="str">
        <x:f>IF(L73="","",L73-'08_Bet_Calculator'!$B$24*H73-Q73-'08_Bet_Calculator'!$B$20)</x:f>
      </x:c>
      <x:c r="T73" s="197" t="n">
        <x:f>IF(OR(L73="",Q73&gt;=1),0,MAX(0,(MAX(0,L73-'08_Bet_Calculator'!$B$24*H73)-Q73)/(1-Q73)))</x:f>
        <x:v>0</x:v>
      </x:c>
      <x:c r="U73" s="197" t="n">
        <x:f>T73*'08_Bet_Calculator'!$B$21</x:f>
        <x:v>0</x:v>
      </x:c>
      <x:c r="V73" s="221"/>
      <x:c r="W73" s="200" t="n">
        <x:f>IF(OR(V73="",S73&lt;=0),0,MIN(V73*U73,V73*'08_Bet_Calculator'!$B$22,'08_Bet_Calculator'!$B$23))</x:f>
        <x:v>0</x:v>
      </x:c>
      <x:c r="X73" s="222" t="n">
        <x:f>IFERROR(W73/Q73,0)</x:f>
        <x:v>0</x:v>
      </x:c>
      <x:c r="Y73" s="189"/>
      <x:c r="Z73" s="196" t="str">
        <x:f>IF(OR(Y73="",K73=""),"",IF(Y73=K73,1,0))</x:f>
      </x:c>
      <x:c r="AA73" s="200" t="str">
        <x:f>IF(Z73="","",X73*(Z73-Q73))</x:f>
      </x:c>
      <x:c r="AB73" s="197" t="str">
        <x:f>IFERROR(AA73/W73,"")</x:f>
      </x:c>
      <x:c r="AC73" s="197" t="str">
        <x:f>IF(Z73="","",(L73-Z73)^2)</x:f>
      </x:c>
      <x:c r="AD73" s="198" t="str">
        <x:f>IF(Z73="","",-(Z73*LN(MAX(0.0001,L73))+(1-Z73)*LN(MAX(0.0001,1-L73))))</x:f>
      </x:c>
      <x:c r="AE73" s="189"/>
      <x:c r="AF73" s="200" t="n">
        <x:f>AF72+IF(AA73="",0,AA73)</x:f>
        <x:v>0</x:v>
      </x:c>
      <x:c r="AG73" s="200" t="n">
        <x:f>MAX(AG72,AF73)</x:f>
        <x:v>0</x:v>
      </x:c>
      <x:c r="AH73" s="200" t="n">
        <x:f>AF73-AG73</x:f>
        <x:v>0</x:v>
      </x:c>
    </x:row>
    <x:row r="74">
      <x:c r="A74" s="189"/>
      <x:c r="B74" s="189"/>
      <x:c r="C74" s="221"/>
      <x:c r="D74" s="189"/>
      <x:c r="E74" s="221"/>
      <x:c r="F74" s="218" t="str">
        <x:f>IFERROR(LN(E74/C74)*10000,"")</x:f>
      </x:c>
      <x:c r="G74" s="191"/>
      <x:c r="H74" s="191"/>
      <x:c r="I74" s="191"/>
      <x:c r="J74" s="191"/>
      <x:c r="K74" s="189"/>
      <x:c r="L74" s="197" t="str">
        <x:f>IF(K74="Up",G74,IF(K74="Down",1-G74,""))</x:f>
      </x:c>
      <x:c r="M74" s="198" t="str">
        <x:f>IF(K74="Up",I74,IF(K74="Down",J74,""))</x:f>
      </x:c>
      <x:c r="N74" s="192"/>
      <x:c r="O74" s="198" t="n">
        <x:f>IF(N74="Taker",M74*'08_Bet_Calculator'!$B$18*(1-M74),0)</x:f>
        <x:v>0</x:v>
      </x:c>
      <x:c r="P74" s="192"/>
      <x:c r="Q74" s="198" t="str">
        <x:f>IF(M74="","",MIN(0.999,M74+O74+P74))</x:f>
      </x:c>
      <x:c r="R74" s="197" t="str">
        <x:f>IF(L74="","",L74-Q74)</x:f>
      </x:c>
      <x:c r="S74" s="197" t="str">
        <x:f>IF(L74="","",L74-'08_Bet_Calculator'!$B$24*H74-Q74-'08_Bet_Calculator'!$B$20)</x:f>
      </x:c>
      <x:c r="T74" s="197" t="n">
        <x:f>IF(OR(L74="",Q74&gt;=1),0,MAX(0,(MAX(0,L74-'08_Bet_Calculator'!$B$24*H74)-Q74)/(1-Q74)))</x:f>
        <x:v>0</x:v>
      </x:c>
      <x:c r="U74" s="197" t="n">
        <x:f>T74*'08_Bet_Calculator'!$B$21</x:f>
        <x:v>0</x:v>
      </x:c>
      <x:c r="V74" s="221"/>
      <x:c r="W74" s="200" t="n">
        <x:f>IF(OR(V74="",S74&lt;=0),0,MIN(V74*U74,V74*'08_Bet_Calculator'!$B$22,'08_Bet_Calculator'!$B$23))</x:f>
        <x:v>0</x:v>
      </x:c>
      <x:c r="X74" s="222" t="n">
        <x:f>IFERROR(W74/Q74,0)</x:f>
        <x:v>0</x:v>
      </x:c>
      <x:c r="Y74" s="189"/>
      <x:c r="Z74" s="196" t="str">
        <x:f>IF(OR(Y74="",K74=""),"",IF(Y74=K74,1,0))</x:f>
      </x:c>
      <x:c r="AA74" s="200" t="str">
        <x:f>IF(Z74="","",X74*(Z74-Q74))</x:f>
      </x:c>
      <x:c r="AB74" s="197" t="str">
        <x:f>IFERROR(AA74/W74,"")</x:f>
      </x:c>
      <x:c r="AC74" s="197" t="str">
        <x:f>IF(Z74="","",(L74-Z74)^2)</x:f>
      </x:c>
      <x:c r="AD74" s="198" t="str">
        <x:f>IF(Z74="","",-(Z74*LN(MAX(0.0001,L74))+(1-Z74)*LN(MAX(0.0001,1-L74))))</x:f>
      </x:c>
      <x:c r="AE74" s="189"/>
      <x:c r="AF74" s="200" t="n">
        <x:f>AF73+IF(AA74="",0,AA74)</x:f>
        <x:v>0</x:v>
      </x:c>
      <x:c r="AG74" s="200" t="n">
        <x:f>MAX(AG73,AF74)</x:f>
        <x:v>0</x:v>
      </x:c>
      <x:c r="AH74" s="200" t="n">
        <x:f>AF74-AG74</x:f>
        <x:v>0</x:v>
      </x:c>
    </x:row>
    <x:row r="75">
      <x:c r="A75" s="189"/>
      <x:c r="B75" s="189"/>
      <x:c r="C75" s="221"/>
      <x:c r="D75" s="189"/>
      <x:c r="E75" s="221"/>
      <x:c r="F75" s="218" t="str">
        <x:f>IFERROR(LN(E75/C75)*10000,"")</x:f>
      </x:c>
      <x:c r="G75" s="191"/>
      <x:c r="H75" s="191"/>
      <x:c r="I75" s="191"/>
      <x:c r="J75" s="191"/>
      <x:c r="K75" s="189"/>
      <x:c r="L75" s="197" t="str">
        <x:f>IF(K75="Up",G75,IF(K75="Down",1-G75,""))</x:f>
      </x:c>
      <x:c r="M75" s="198" t="str">
        <x:f>IF(K75="Up",I75,IF(K75="Down",J75,""))</x:f>
      </x:c>
      <x:c r="N75" s="192"/>
      <x:c r="O75" s="198" t="n">
        <x:f>IF(N75="Taker",M75*'08_Bet_Calculator'!$B$18*(1-M75),0)</x:f>
        <x:v>0</x:v>
      </x:c>
      <x:c r="P75" s="192"/>
      <x:c r="Q75" s="198" t="str">
        <x:f>IF(M75="","",MIN(0.999,M75+O75+P75))</x:f>
      </x:c>
      <x:c r="R75" s="197" t="str">
        <x:f>IF(L75="","",L75-Q75)</x:f>
      </x:c>
      <x:c r="S75" s="197" t="str">
        <x:f>IF(L75="","",L75-'08_Bet_Calculator'!$B$24*H75-Q75-'08_Bet_Calculator'!$B$20)</x:f>
      </x:c>
      <x:c r="T75" s="197" t="n">
        <x:f>IF(OR(L75="",Q75&gt;=1),0,MAX(0,(MAX(0,L75-'08_Bet_Calculator'!$B$24*H75)-Q75)/(1-Q75)))</x:f>
        <x:v>0</x:v>
      </x:c>
      <x:c r="U75" s="197" t="n">
        <x:f>T75*'08_Bet_Calculator'!$B$21</x:f>
        <x:v>0</x:v>
      </x:c>
      <x:c r="V75" s="221"/>
      <x:c r="W75" s="200" t="n">
        <x:f>IF(OR(V75="",S75&lt;=0),0,MIN(V75*U75,V75*'08_Bet_Calculator'!$B$22,'08_Bet_Calculator'!$B$23))</x:f>
        <x:v>0</x:v>
      </x:c>
      <x:c r="X75" s="222" t="n">
        <x:f>IFERROR(W75/Q75,0)</x:f>
        <x:v>0</x:v>
      </x:c>
      <x:c r="Y75" s="189"/>
      <x:c r="Z75" s="196" t="str">
        <x:f>IF(OR(Y75="",K75=""),"",IF(Y75=K75,1,0))</x:f>
      </x:c>
      <x:c r="AA75" s="200" t="str">
        <x:f>IF(Z75="","",X75*(Z75-Q75))</x:f>
      </x:c>
      <x:c r="AB75" s="197" t="str">
        <x:f>IFERROR(AA75/W75,"")</x:f>
      </x:c>
      <x:c r="AC75" s="197" t="str">
        <x:f>IF(Z75="","",(L75-Z75)^2)</x:f>
      </x:c>
      <x:c r="AD75" s="198" t="str">
        <x:f>IF(Z75="","",-(Z75*LN(MAX(0.0001,L75))+(1-Z75)*LN(MAX(0.0001,1-L75))))</x:f>
      </x:c>
      <x:c r="AE75" s="189"/>
      <x:c r="AF75" s="200" t="n">
        <x:f>AF74+IF(AA75="",0,AA75)</x:f>
        <x:v>0</x:v>
      </x:c>
      <x:c r="AG75" s="200" t="n">
        <x:f>MAX(AG74,AF75)</x:f>
        <x:v>0</x:v>
      </x:c>
      <x:c r="AH75" s="200" t="n">
        <x:f>AF75-AG75</x:f>
        <x:v>0</x:v>
      </x:c>
    </x:row>
    <x:row r="76">
      <x:c r="A76" s="189"/>
      <x:c r="B76" s="189"/>
      <x:c r="C76" s="221"/>
      <x:c r="D76" s="189"/>
      <x:c r="E76" s="221"/>
      <x:c r="F76" s="218" t="str">
        <x:f>IFERROR(LN(E76/C76)*10000,"")</x:f>
      </x:c>
      <x:c r="G76" s="191"/>
      <x:c r="H76" s="191"/>
      <x:c r="I76" s="191"/>
      <x:c r="J76" s="191"/>
      <x:c r="K76" s="189"/>
      <x:c r="L76" s="197" t="str">
        <x:f>IF(K76="Up",G76,IF(K76="Down",1-G76,""))</x:f>
      </x:c>
      <x:c r="M76" s="198" t="str">
        <x:f>IF(K76="Up",I76,IF(K76="Down",J76,""))</x:f>
      </x:c>
      <x:c r="N76" s="192"/>
      <x:c r="O76" s="198" t="n">
        <x:f>IF(N76="Taker",M76*'08_Bet_Calculator'!$B$18*(1-M76),0)</x:f>
        <x:v>0</x:v>
      </x:c>
      <x:c r="P76" s="192"/>
      <x:c r="Q76" s="198" t="str">
        <x:f>IF(M76="","",MIN(0.999,M76+O76+P76))</x:f>
      </x:c>
      <x:c r="R76" s="197" t="str">
        <x:f>IF(L76="","",L76-Q76)</x:f>
      </x:c>
      <x:c r="S76" s="197" t="str">
        <x:f>IF(L76="","",L76-'08_Bet_Calculator'!$B$24*H76-Q76-'08_Bet_Calculator'!$B$20)</x:f>
      </x:c>
      <x:c r="T76" s="197" t="n">
        <x:f>IF(OR(L76="",Q76&gt;=1),0,MAX(0,(MAX(0,L76-'08_Bet_Calculator'!$B$24*H76)-Q76)/(1-Q76)))</x:f>
        <x:v>0</x:v>
      </x:c>
      <x:c r="U76" s="197" t="n">
        <x:f>T76*'08_Bet_Calculator'!$B$21</x:f>
        <x:v>0</x:v>
      </x:c>
      <x:c r="V76" s="221"/>
      <x:c r="W76" s="200" t="n">
        <x:f>IF(OR(V76="",S76&lt;=0),0,MIN(V76*U76,V76*'08_Bet_Calculator'!$B$22,'08_Bet_Calculator'!$B$23))</x:f>
        <x:v>0</x:v>
      </x:c>
      <x:c r="X76" s="222" t="n">
        <x:f>IFERROR(W76/Q76,0)</x:f>
        <x:v>0</x:v>
      </x:c>
      <x:c r="Y76" s="189"/>
      <x:c r="Z76" s="196" t="str">
        <x:f>IF(OR(Y76="",K76=""),"",IF(Y76=K76,1,0))</x:f>
      </x:c>
      <x:c r="AA76" s="200" t="str">
        <x:f>IF(Z76="","",X76*(Z76-Q76))</x:f>
      </x:c>
      <x:c r="AB76" s="197" t="str">
        <x:f>IFERROR(AA76/W76,"")</x:f>
      </x:c>
      <x:c r="AC76" s="197" t="str">
        <x:f>IF(Z76="","",(L76-Z76)^2)</x:f>
      </x:c>
      <x:c r="AD76" s="198" t="str">
        <x:f>IF(Z76="","",-(Z76*LN(MAX(0.0001,L76))+(1-Z76)*LN(MAX(0.0001,1-L76))))</x:f>
      </x:c>
      <x:c r="AE76" s="189"/>
      <x:c r="AF76" s="200" t="n">
        <x:f>AF75+IF(AA76="",0,AA76)</x:f>
        <x:v>0</x:v>
      </x:c>
      <x:c r="AG76" s="200" t="n">
        <x:f>MAX(AG75,AF76)</x:f>
        <x:v>0</x:v>
      </x:c>
      <x:c r="AH76" s="200" t="n">
        <x:f>AF76-AG76</x:f>
        <x:v>0</x:v>
      </x:c>
    </x:row>
    <x:row r="77">
      <x:c r="A77" s="189"/>
      <x:c r="B77" s="189"/>
      <x:c r="C77" s="221"/>
      <x:c r="D77" s="189"/>
      <x:c r="E77" s="221"/>
      <x:c r="F77" s="218" t="str">
        <x:f>IFERROR(LN(E77/C77)*10000,"")</x:f>
      </x:c>
      <x:c r="G77" s="191"/>
      <x:c r="H77" s="191"/>
      <x:c r="I77" s="191"/>
      <x:c r="J77" s="191"/>
      <x:c r="K77" s="189"/>
      <x:c r="L77" s="197" t="str">
        <x:f>IF(K77="Up",G77,IF(K77="Down",1-G77,""))</x:f>
      </x:c>
      <x:c r="M77" s="198" t="str">
        <x:f>IF(K77="Up",I77,IF(K77="Down",J77,""))</x:f>
      </x:c>
      <x:c r="N77" s="192"/>
      <x:c r="O77" s="198" t="n">
        <x:f>IF(N77="Taker",M77*'08_Bet_Calculator'!$B$18*(1-M77),0)</x:f>
        <x:v>0</x:v>
      </x:c>
      <x:c r="P77" s="192"/>
      <x:c r="Q77" s="198" t="str">
        <x:f>IF(M77="","",MIN(0.999,M77+O77+P77))</x:f>
      </x:c>
      <x:c r="R77" s="197" t="str">
        <x:f>IF(L77="","",L77-Q77)</x:f>
      </x:c>
      <x:c r="S77" s="197" t="str">
        <x:f>IF(L77="","",L77-'08_Bet_Calculator'!$B$24*H77-Q77-'08_Bet_Calculator'!$B$20)</x:f>
      </x:c>
      <x:c r="T77" s="197" t="n">
        <x:f>IF(OR(L77="",Q77&gt;=1),0,MAX(0,(MAX(0,L77-'08_Bet_Calculator'!$B$24*H77)-Q77)/(1-Q77)))</x:f>
        <x:v>0</x:v>
      </x:c>
      <x:c r="U77" s="197" t="n">
        <x:f>T77*'08_Bet_Calculator'!$B$21</x:f>
        <x:v>0</x:v>
      </x:c>
      <x:c r="V77" s="221"/>
      <x:c r="W77" s="200" t="n">
        <x:f>IF(OR(V77="",S77&lt;=0),0,MIN(V77*U77,V77*'08_Bet_Calculator'!$B$22,'08_Bet_Calculator'!$B$23))</x:f>
        <x:v>0</x:v>
      </x:c>
      <x:c r="X77" s="222" t="n">
        <x:f>IFERROR(W77/Q77,0)</x:f>
        <x:v>0</x:v>
      </x:c>
      <x:c r="Y77" s="189"/>
      <x:c r="Z77" s="196" t="str">
        <x:f>IF(OR(Y77="",K77=""),"",IF(Y77=K77,1,0))</x:f>
      </x:c>
      <x:c r="AA77" s="200" t="str">
        <x:f>IF(Z77="","",X77*(Z77-Q77))</x:f>
      </x:c>
      <x:c r="AB77" s="197" t="str">
        <x:f>IFERROR(AA77/W77,"")</x:f>
      </x:c>
      <x:c r="AC77" s="197" t="str">
        <x:f>IF(Z77="","",(L77-Z77)^2)</x:f>
      </x:c>
      <x:c r="AD77" s="198" t="str">
        <x:f>IF(Z77="","",-(Z77*LN(MAX(0.0001,L77))+(1-Z77)*LN(MAX(0.0001,1-L77))))</x:f>
      </x:c>
      <x:c r="AE77" s="189"/>
      <x:c r="AF77" s="200" t="n">
        <x:f>AF76+IF(AA77="",0,AA77)</x:f>
        <x:v>0</x:v>
      </x:c>
      <x:c r="AG77" s="200" t="n">
        <x:f>MAX(AG76,AF77)</x:f>
        <x:v>0</x:v>
      </x:c>
      <x:c r="AH77" s="200" t="n">
        <x:f>AF77-AG77</x:f>
        <x:v>0</x:v>
      </x:c>
    </x:row>
    <x:row r="78">
      <x:c r="A78" s="189"/>
      <x:c r="B78" s="189"/>
      <x:c r="C78" s="221"/>
      <x:c r="D78" s="189"/>
      <x:c r="E78" s="221"/>
      <x:c r="F78" s="218" t="str">
        <x:f>IFERROR(LN(E78/C78)*10000,"")</x:f>
      </x:c>
      <x:c r="G78" s="191"/>
      <x:c r="H78" s="191"/>
      <x:c r="I78" s="191"/>
      <x:c r="J78" s="191"/>
      <x:c r="K78" s="189"/>
      <x:c r="L78" s="197" t="str">
        <x:f>IF(K78="Up",G78,IF(K78="Down",1-G78,""))</x:f>
      </x:c>
      <x:c r="M78" s="198" t="str">
        <x:f>IF(K78="Up",I78,IF(K78="Down",J78,""))</x:f>
      </x:c>
      <x:c r="N78" s="192"/>
      <x:c r="O78" s="198" t="n">
        <x:f>IF(N78="Taker",M78*'08_Bet_Calculator'!$B$18*(1-M78),0)</x:f>
        <x:v>0</x:v>
      </x:c>
      <x:c r="P78" s="192"/>
      <x:c r="Q78" s="198" t="str">
        <x:f>IF(M78="","",MIN(0.999,M78+O78+P78))</x:f>
      </x:c>
      <x:c r="R78" s="197" t="str">
        <x:f>IF(L78="","",L78-Q78)</x:f>
      </x:c>
      <x:c r="S78" s="197" t="str">
        <x:f>IF(L78="","",L78-'08_Bet_Calculator'!$B$24*H78-Q78-'08_Bet_Calculator'!$B$20)</x:f>
      </x:c>
      <x:c r="T78" s="197" t="n">
        <x:f>IF(OR(L78="",Q78&gt;=1),0,MAX(0,(MAX(0,L78-'08_Bet_Calculator'!$B$24*H78)-Q78)/(1-Q78)))</x:f>
        <x:v>0</x:v>
      </x:c>
      <x:c r="U78" s="197" t="n">
        <x:f>T78*'08_Bet_Calculator'!$B$21</x:f>
        <x:v>0</x:v>
      </x:c>
      <x:c r="V78" s="221"/>
      <x:c r="W78" s="200" t="n">
        <x:f>IF(OR(V78="",S78&lt;=0),0,MIN(V78*U78,V78*'08_Bet_Calculator'!$B$22,'08_Bet_Calculator'!$B$23))</x:f>
        <x:v>0</x:v>
      </x:c>
      <x:c r="X78" s="222" t="n">
        <x:f>IFERROR(W78/Q78,0)</x:f>
        <x:v>0</x:v>
      </x:c>
      <x:c r="Y78" s="189"/>
      <x:c r="Z78" s="196" t="str">
        <x:f>IF(OR(Y78="",K78=""),"",IF(Y78=K78,1,0))</x:f>
      </x:c>
      <x:c r="AA78" s="200" t="str">
        <x:f>IF(Z78="","",X78*(Z78-Q78))</x:f>
      </x:c>
      <x:c r="AB78" s="197" t="str">
        <x:f>IFERROR(AA78/W78,"")</x:f>
      </x:c>
      <x:c r="AC78" s="197" t="str">
        <x:f>IF(Z78="","",(L78-Z78)^2)</x:f>
      </x:c>
      <x:c r="AD78" s="198" t="str">
        <x:f>IF(Z78="","",-(Z78*LN(MAX(0.0001,L78))+(1-Z78)*LN(MAX(0.0001,1-L78))))</x:f>
      </x:c>
      <x:c r="AE78" s="189"/>
      <x:c r="AF78" s="200" t="n">
        <x:f>AF77+IF(AA78="",0,AA78)</x:f>
        <x:v>0</x:v>
      </x:c>
      <x:c r="AG78" s="200" t="n">
        <x:f>MAX(AG77,AF78)</x:f>
        <x:v>0</x:v>
      </x:c>
      <x:c r="AH78" s="200" t="n">
        <x:f>AF78-AG78</x:f>
        <x:v>0</x:v>
      </x:c>
    </x:row>
    <x:row r="79">
      <x:c r="A79" s="189"/>
      <x:c r="B79" s="189"/>
      <x:c r="C79" s="221"/>
      <x:c r="D79" s="189"/>
      <x:c r="E79" s="221"/>
      <x:c r="F79" s="218" t="str">
        <x:f>IFERROR(LN(E79/C79)*10000,"")</x:f>
      </x:c>
      <x:c r="G79" s="191"/>
      <x:c r="H79" s="191"/>
      <x:c r="I79" s="191"/>
      <x:c r="J79" s="191"/>
      <x:c r="K79" s="189"/>
      <x:c r="L79" s="197" t="str">
        <x:f>IF(K79="Up",G79,IF(K79="Down",1-G79,""))</x:f>
      </x:c>
      <x:c r="M79" s="198" t="str">
        <x:f>IF(K79="Up",I79,IF(K79="Down",J79,""))</x:f>
      </x:c>
      <x:c r="N79" s="192"/>
      <x:c r="O79" s="198" t="n">
        <x:f>IF(N79="Taker",M79*'08_Bet_Calculator'!$B$18*(1-M79),0)</x:f>
        <x:v>0</x:v>
      </x:c>
      <x:c r="P79" s="192"/>
      <x:c r="Q79" s="198" t="str">
        <x:f>IF(M79="","",MIN(0.999,M79+O79+P79))</x:f>
      </x:c>
      <x:c r="R79" s="197" t="str">
        <x:f>IF(L79="","",L79-Q79)</x:f>
      </x:c>
      <x:c r="S79" s="197" t="str">
        <x:f>IF(L79="","",L79-'08_Bet_Calculator'!$B$24*H79-Q79-'08_Bet_Calculator'!$B$20)</x:f>
      </x:c>
      <x:c r="T79" s="197" t="n">
        <x:f>IF(OR(L79="",Q79&gt;=1),0,MAX(0,(MAX(0,L79-'08_Bet_Calculator'!$B$24*H79)-Q79)/(1-Q79)))</x:f>
        <x:v>0</x:v>
      </x:c>
      <x:c r="U79" s="197" t="n">
        <x:f>T79*'08_Bet_Calculator'!$B$21</x:f>
        <x:v>0</x:v>
      </x:c>
      <x:c r="V79" s="221"/>
      <x:c r="W79" s="200" t="n">
        <x:f>IF(OR(V79="",S79&lt;=0),0,MIN(V79*U79,V79*'08_Bet_Calculator'!$B$22,'08_Bet_Calculator'!$B$23))</x:f>
        <x:v>0</x:v>
      </x:c>
      <x:c r="X79" s="222" t="n">
        <x:f>IFERROR(W79/Q79,0)</x:f>
        <x:v>0</x:v>
      </x:c>
      <x:c r="Y79" s="189"/>
      <x:c r="Z79" s="196" t="str">
        <x:f>IF(OR(Y79="",K79=""),"",IF(Y79=K79,1,0))</x:f>
      </x:c>
      <x:c r="AA79" s="200" t="str">
        <x:f>IF(Z79="","",X79*(Z79-Q79))</x:f>
      </x:c>
      <x:c r="AB79" s="197" t="str">
        <x:f>IFERROR(AA79/W79,"")</x:f>
      </x:c>
      <x:c r="AC79" s="197" t="str">
        <x:f>IF(Z79="","",(L79-Z79)^2)</x:f>
      </x:c>
      <x:c r="AD79" s="198" t="str">
        <x:f>IF(Z79="","",-(Z79*LN(MAX(0.0001,L79))+(1-Z79)*LN(MAX(0.0001,1-L79))))</x:f>
      </x:c>
      <x:c r="AE79" s="189"/>
      <x:c r="AF79" s="200" t="n">
        <x:f>AF78+IF(AA79="",0,AA79)</x:f>
        <x:v>0</x:v>
      </x:c>
      <x:c r="AG79" s="200" t="n">
        <x:f>MAX(AG78,AF79)</x:f>
        <x:v>0</x:v>
      </x:c>
      <x:c r="AH79" s="200" t="n">
        <x:f>AF79-AG79</x:f>
        <x:v>0</x:v>
      </x:c>
    </x:row>
    <x:row r="80">
      <x:c r="A80" s="189"/>
      <x:c r="B80" s="189"/>
      <x:c r="C80" s="221"/>
      <x:c r="D80" s="189"/>
      <x:c r="E80" s="221"/>
      <x:c r="F80" s="218" t="str">
        <x:f>IFERROR(LN(E80/C80)*10000,"")</x:f>
      </x:c>
      <x:c r="G80" s="191"/>
      <x:c r="H80" s="191"/>
      <x:c r="I80" s="191"/>
      <x:c r="J80" s="191"/>
      <x:c r="K80" s="189"/>
      <x:c r="L80" s="197" t="str">
        <x:f>IF(K80="Up",G80,IF(K80="Down",1-G80,""))</x:f>
      </x:c>
      <x:c r="M80" s="198" t="str">
        <x:f>IF(K80="Up",I80,IF(K80="Down",J80,""))</x:f>
      </x:c>
      <x:c r="N80" s="192"/>
      <x:c r="O80" s="198" t="n">
        <x:f>IF(N80="Taker",M80*'08_Bet_Calculator'!$B$18*(1-M80),0)</x:f>
        <x:v>0</x:v>
      </x:c>
      <x:c r="P80" s="192"/>
      <x:c r="Q80" s="198" t="str">
        <x:f>IF(M80="","",MIN(0.999,M80+O80+P80))</x:f>
      </x:c>
      <x:c r="R80" s="197" t="str">
        <x:f>IF(L80="","",L80-Q80)</x:f>
      </x:c>
      <x:c r="S80" s="197" t="str">
        <x:f>IF(L80="","",L80-'08_Bet_Calculator'!$B$24*H80-Q80-'08_Bet_Calculator'!$B$20)</x:f>
      </x:c>
      <x:c r="T80" s="197" t="n">
        <x:f>IF(OR(L80="",Q80&gt;=1),0,MAX(0,(MAX(0,L80-'08_Bet_Calculator'!$B$24*H80)-Q80)/(1-Q80)))</x:f>
        <x:v>0</x:v>
      </x:c>
      <x:c r="U80" s="197" t="n">
        <x:f>T80*'08_Bet_Calculator'!$B$21</x:f>
        <x:v>0</x:v>
      </x:c>
      <x:c r="V80" s="221"/>
      <x:c r="W80" s="200" t="n">
        <x:f>IF(OR(V80="",S80&lt;=0),0,MIN(V80*U80,V80*'08_Bet_Calculator'!$B$22,'08_Bet_Calculator'!$B$23))</x:f>
        <x:v>0</x:v>
      </x:c>
      <x:c r="X80" s="222" t="n">
        <x:f>IFERROR(W80/Q80,0)</x:f>
        <x:v>0</x:v>
      </x:c>
      <x:c r="Y80" s="189"/>
      <x:c r="Z80" s="196" t="str">
        <x:f>IF(OR(Y80="",K80=""),"",IF(Y80=K80,1,0))</x:f>
      </x:c>
      <x:c r="AA80" s="200" t="str">
        <x:f>IF(Z80="","",X80*(Z80-Q80))</x:f>
      </x:c>
      <x:c r="AB80" s="197" t="str">
        <x:f>IFERROR(AA80/W80,"")</x:f>
      </x:c>
      <x:c r="AC80" s="197" t="str">
        <x:f>IF(Z80="","",(L80-Z80)^2)</x:f>
      </x:c>
      <x:c r="AD80" s="198" t="str">
        <x:f>IF(Z80="","",-(Z80*LN(MAX(0.0001,L80))+(1-Z80)*LN(MAX(0.0001,1-L80))))</x:f>
      </x:c>
      <x:c r="AE80" s="189"/>
      <x:c r="AF80" s="200" t="n">
        <x:f>AF79+IF(AA80="",0,AA80)</x:f>
        <x:v>0</x:v>
      </x:c>
      <x:c r="AG80" s="200" t="n">
        <x:f>MAX(AG79,AF80)</x:f>
        <x:v>0</x:v>
      </x:c>
      <x:c r="AH80" s="200" t="n">
        <x:f>AF80-AG80</x:f>
        <x:v>0</x:v>
      </x:c>
    </x:row>
    <x:row r="81">
      <x:c r="A81" s="189"/>
      <x:c r="B81" s="189"/>
      <x:c r="C81" s="221"/>
      <x:c r="D81" s="189"/>
      <x:c r="E81" s="221"/>
      <x:c r="F81" s="218" t="str">
        <x:f>IFERROR(LN(E81/C81)*10000,"")</x:f>
      </x:c>
      <x:c r="G81" s="191"/>
      <x:c r="H81" s="191"/>
      <x:c r="I81" s="191"/>
      <x:c r="J81" s="191"/>
      <x:c r="K81" s="189"/>
      <x:c r="L81" s="197" t="str">
        <x:f>IF(K81="Up",G81,IF(K81="Down",1-G81,""))</x:f>
      </x:c>
      <x:c r="M81" s="198" t="str">
        <x:f>IF(K81="Up",I81,IF(K81="Down",J81,""))</x:f>
      </x:c>
      <x:c r="N81" s="192"/>
      <x:c r="O81" s="198" t="n">
        <x:f>IF(N81="Taker",M81*'08_Bet_Calculator'!$B$18*(1-M81),0)</x:f>
        <x:v>0</x:v>
      </x:c>
      <x:c r="P81" s="192"/>
      <x:c r="Q81" s="198" t="str">
        <x:f>IF(M81="","",MIN(0.999,M81+O81+P81))</x:f>
      </x:c>
      <x:c r="R81" s="197" t="str">
        <x:f>IF(L81="","",L81-Q81)</x:f>
      </x:c>
      <x:c r="S81" s="197" t="str">
        <x:f>IF(L81="","",L81-'08_Bet_Calculator'!$B$24*H81-Q81-'08_Bet_Calculator'!$B$20)</x:f>
      </x:c>
      <x:c r="T81" s="197" t="n">
        <x:f>IF(OR(L81="",Q81&gt;=1),0,MAX(0,(MAX(0,L81-'08_Bet_Calculator'!$B$24*H81)-Q81)/(1-Q81)))</x:f>
        <x:v>0</x:v>
      </x:c>
      <x:c r="U81" s="197" t="n">
        <x:f>T81*'08_Bet_Calculator'!$B$21</x:f>
        <x:v>0</x:v>
      </x:c>
      <x:c r="V81" s="221"/>
      <x:c r="W81" s="200" t="n">
        <x:f>IF(OR(V81="",S81&lt;=0),0,MIN(V81*U81,V81*'08_Bet_Calculator'!$B$22,'08_Bet_Calculator'!$B$23))</x:f>
        <x:v>0</x:v>
      </x:c>
      <x:c r="X81" s="222" t="n">
        <x:f>IFERROR(W81/Q81,0)</x:f>
        <x:v>0</x:v>
      </x:c>
      <x:c r="Y81" s="189"/>
      <x:c r="Z81" s="196" t="str">
        <x:f>IF(OR(Y81="",K81=""),"",IF(Y81=K81,1,0))</x:f>
      </x:c>
      <x:c r="AA81" s="200" t="str">
        <x:f>IF(Z81="","",X81*(Z81-Q81))</x:f>
      </x:c>
      <x:c r="AB81" s="197" t="str">
        <x:f>IFERROR(AA81/W81,"")</x:f>
      </x:c>
      <x:c r="AC81" s="197" t="str">
        <x:f>IF(Z81="","",(L81-Z81)^2)</x:f>
      </x:c>
      <x:c r="AD81" s="198" t="str">
        <x:f>IF(Z81="","",-(Z81*LN(MAX(0.0001,L81))+(1-Z81)*LN(MAX(0.0001,1-L81))))</x:f>
      </x:c>
      <x:c r="AE81" s="189"/>
      <x:c r="AF81" s="200" t="n">
        <x:f>AF80+IF(AA81="",0,AA81)</x:f>
        <x:v>0</x:v>
      </x:c>
      <x:c r="AG81" s="200" t="n">
        <x:f>MAX(AG80,AF81)</x:f>
        <x:v>0</x:v>
      </x:c>
      <x:c r="AH81" s="200" t="n">
        <x:f>AF81-AG81</x:f>
        <x:v>0</x:v>
      </x:c>
    </x:row>
    <x:row r="82">
      <x:c r="A82" s="189"/>
      <x:c r="B82" s="189"/>
      <x:c r="C82" s="221"/>
      <x:c r="D82" s="189"/>
      <x:c r="E82" s="221"/>
      <x:c r="F82" s="218" t="str">
        <x:f>IFERROR(LN(E82/C82)*10000,"")</x:f>
      </x:c>
      <x:c r="G82" s="191"/>
      <x:c r="H82" s="191"/>
      <x:c r="I82" s="191"/>
      <x:c r="J82" s="191"/>
      <x:c r="K82" s="189"/>
      <x:c r="L82" s="197" t="str">
        <x:f>IF(K82="Up",G82,IF(K82="Down",1-G82,""))</x:f>
      </x:c>
      <x:c r="M82" s="198" t="str">
        <x:f>IF(K82="Up",I82,IF(K82="Down",J82,""))</x:f>
      </x:c>
      <x:c r="N82" s="192"/>
      <x:c r="O82" s="198" t="n">
        <x:f>IF(N82="Taker",M82*'08_Bet_Calculator'!$B$18*(1-M82),0)</x:f>
        <x:v>0</x:v>
      </x:c>
      <x:c r="P82" s="192"/>
      <x:c r="Q82" s="198" t="str">
        <x:f>IF(M82="","",MIN(0.999,M82+O82+P82))</x:f>
      </x:c>
      <x:c r="R82" s="197" t="str">
        <x:f>IF(L82="","",L82-Q82)</x:f>
      </x:c>
      <x:c r="S82" s="197" t="str">
        <x:f>IF(L82="","",L82-'08_Bet_Calculator'!$B$24*H82-Q82-'08_Bet_Calculator'!$B$20)</x:f>
      </x:c>
      <x:c r="T82" s="197" t="n">
        <x:f>IF(OR(L82="",Q82&gt;=1),0,MAX(0,(MAX(0,L82-'08_Bet_Calculator'!$B$24*H82)-Q82)/(1-Q82)))</x:f>
        <x:v>0</x:v>
      </x:c>
      <x:c r="U82" s="197" t="n">
        <x:f>T82*'08_Bet_Calculator'!$B$21</x:f>
        <x:v>0</x:v>
      </x:c>
      <x:c r="V82" s="221"/>
      <x:c r="W82" s="200" t="n">
        <x:f>IF(OR(V82="",S82&lt;=0),0,MIN(V82*U82,V82*'08_Bet_Calculator'!$B$22,'08_Bet_Calculator'!$B$23))</x:f>
        <x:v>0</x:v>
      </x:c>
      <x:c r="X82" s="222" t="n">
        <x:f>IFERROR(W82/Q82,0)</x:f>
        <x:v>0</x:v>
      </x:c>
      <x:c r="Y82" s="189"/>
      <x:c r="Z82" s="196" t="str">
        <x:f>IF(OR(Y82="",K82=""),"",IF(Y82=K82,1,0))</x:f>
      </x:c>
      <x:c r="AA82" s="200" t="str">
        <x:f>IF(Z82="","",X82*(Z82-Q82))</x:f>
      </x:c>
      <x:c r="AB82" s="197" t="str">
        <x:f>IFERROR(AA82/W82,"")</x:f>
      </x:c>
      <x:c r="AC82" s="197" t="str">
        <x:f>IF(Z82="","",(L82-Z82)^2)</x:f>
      </x:c>
      <x:c r="AD82" s="198" t="str">
        <x:f>IF(Z82="","",-(Z82*LN(MAX(0.0001,L82))+(1-Z82)*LN(MAX(0.0001,1-L82))))</x:f>
      </x:c>
      <x:c r="AE82" s="189"/>
      <x:c r="AF82" s="200" t="n">
        <x:f>AF81+IF(AA82="",0,AA82)</x:f>
        <x:v>0</x:v>
      </x:c>
      <x:c r="AG82" s="200" t="n">
        <x:f>MAX(AG81,AF82)</x:f>
        <x:v>0</x:v>
      </x:c>
      <x:c r="AH82" s="200" t="n">
        <x:f>AF82-AG82</x:f>
        <x:v>0</x:v>
      </x:c>
    </x:row>
    <x:row r="83">
      <x:c r="A83" s="189"/>
      <x:c r="B83" s="189"/>
      <x:c r="C83" s="221"/>
      <x:c r="D83" s="189"/>
      <x:c r="E83" s="221"/>
      <x:c r="F83" s="218" t="str">
        <x:f>IFERROR(LN(E83/C83)*10000,"")</x:f>
      </x:c>
      <x:c r="G83" s="191"/>
      <x:c r="H83" s="191"/>
      <x:c r="I83" s="191"/>
      <x:c r="J83" s="191"/>
      <x:c r="K83" s="189"/>
      <x:c r="L83" s="197" t="str">
        <x:f>IF(K83="Up",G83,IF(K83="Down",1-G83,""))</x:f>
      </x:c>
      <x:c r="M83" s="198" t="str">
        <x:f>IF(K83="Up",I83,IF(K83="Down",J83,""))</x:f>
      </x:c>
      <x:c r="N83" s="192"/>
      <x:c r="O83" s="198" t="n">
        <x:f>IF(N83="Taker",M83*'08_Bet_Calculator'!$B$18*(1-M83),0)</x:f>
        <x:v>0</x:v>
      </x:c>
      <x:c r="P83" s="192"/>
      <x:c r="Q83" s="198" t="str">
        <x:f>IF(M83="","",MIN(0.999,M83+O83+P83))</x:f>
      </x:c>
      <x:c r="R83" s="197" t="str">
        <x:f>IF(L83="","",L83-Q83)</x:f>
      </x:c>
      <x:c r="S83" s="197" t="str">
        <x:f>IF(L83="","",L83-'08_Bet_Calculator'!$B$24*H83-Q83-'08_Bet_Calculator'!$B$20)</x:f>
      </x:c>
      <x:c r="T83" s="197" t="n">
        <x:f>IF(OR(L83="",Q83&gt;=1),0,MAX(0,(MAX(0,L83-'08_Bet_Calculator'!$B$24*H83)-Q83)/(1-Q83)))</x:f>
        <x:v>0</x:v>
      </x:c>
      <x:c r="U83" s="197" t="n">
        <x:f>T83*'08_Bet_Calculator'!$B$21</x:f>
        <x:v>0</x:v>
      </x:c>
      <x:c r="V83" s="221"/>
      <x:c r="W83" s="200" t="n">
        <x:f>IF(OR(V83="",S83&lt;=0),0,MIN(V83*U83,V83*'08_Bet_Calculator'!$B$22,'08_Bet_Calculator'!$B$23))</x:f>
        <x:v>0</x:v>
      </x:c>
      <x:c r="X83" s="222" t="n">
        <x:f>IFERROR(W83/Q83,0)</x:f>
        <x:v>0</x:v>
      </x:c>
      <x:c r="Y83" s="189"/>
      <x:c r="Z83" s="196" t="str">
        <x:f>IF(OR(Y83="",K83=""),"",IF(Y83=K83,1,0))</x:f>
      </x:c>
      <x:c r="AA83" s="200" t="str">
        <x:f>IF(Z83="","",X83*(Z83-Q83))</x:f>
      </x:c>
      <x:c r="AB83" s="197" t="str">
        <x:f>IFERROR(AA83/W83,"")</x:f>
      </x:c>
      <x:c r="AC83" s="197" t="str">
        <x:f>IF(Z83="","",(L83-Z83)^2)</x:f>
      </x:c>
      <x:c r="AD83" s="198" t="str">
        <x:f>IF(Z83="","",-(Z83*LN(MAX(0.0001,L83))+(1-Z83)*LN(MAX(0.0001,1-L83))))</x:f>
      </x:c>
      <x:c r="AE83" s="189"/>
      <x:c r="AF83" s="200" t="n">
        <x:f>AF82+IF(AA83="",0,AA83)</x:f>
        <x:v>0</x:v>
      </x:c>
      <x:c r="AG83" s="200" t="n">
        <x:f>MAX(AG82,AF83)</x:f>
        <x:v>0</x:v>
      </x:c>
      <x:c r="AH83" s="200" t="n">
        <x:f>AF83-AG83</x:f>
        <x:v>0</x:v>
      </x:c>
    </x:row>
    <x:row r="84">
      <x:c r="A84" s="189"/>
      <x:c r="B84" s="189"/>
      <x:c r="C84" s="221"/>
      <x:c r="D84" s="189"/>
      <x:c r="E84" s="221"/>
      <x:c r="F84" s="218" t="str">
        <x:f>IFERROR(LN(E84/C84)*10000,"")</x:f>
      </x:c>
      <x:c r="G84" s="191"/>
      <x:c r="H84" s="191"/>
      <x:c r="I84" s="191"/>
      <x:c r="J84" s="191"/>
      <x:c r="K84" s="189"/>
      <x:c r="L84" s="197" t="str">
        <x:f>IF(K84="Up",G84,IF(K84="Down",1-G84,""))</x:f>
      </x:c>
      <x:c r="M84" s="198" t="str">
        <x:f>IF(K84="Up",I84,IF(K84="Down",J84,""))</x:f>
      </x:c>
      <x:c r="N84" s="192"/>
      <x:c r="O84" s="198" t="n">
        <x:f>IF(N84="Taker",M84*'08_Bet_Calculator'!$B$18*(1-M84),0)</x:f>
        <x:v>0</x:v>
      </x:c>
      <x:c r="P84" s="192"/>
      <x:c r="Q84" s="198" t="str">
        <x:f>IF(M84="","",MIN(0.999,M84+O84+P84))</x:f>
      </x:c>
      <x:c r="R84" s="197" t="str">
        <x:f>IF(L84="","",L84-Q84)</x:f>
      </x:c>
      <x:c r="S84" s="197" t="str">
        <x:f>IF(L84="","",L84-'08_Bet_Calculator'!$B$24*H84-Q84-'08_Bet_Calculator'!$B$20)</x:f>
      </x:c>
      <x:c r="T84" s="197" t="n">
        <x:f>IF(OR(L84="",Q84&gt;=1),0,MAX(0,(MAX(0,L84-'08_Bet_Calculator'!$B$24*H84)-Q84)/(1-Q84)))</x:f>
        <x:v>0</x:v>
      </x:c>
      <x:c r="U84" s="197" t="n">
        <x:f>T84*'08_Bet_Calculator'!$B$21</x:f>
        <x:v>0</x:v>
      </x:c>
      <x:c r="V84" s="221"/>
      <x:c r="W84" s="200" t="n">
        <x:f>IF(OR(V84="",S84&lt;=0),0,MIN(V84*U84,V84*'08_Bet_Calculator'!$B$22,'08_Bet_Calculator'!$B$23))</x:f>
        <x:v>0</x:v>
      </x:c>
      <x:c r="X84" s="222" t="n">
        <x:f>IFERROR(W84/Q84,0)</x:f>
        <x:v>0</x:v>
      </x:c>
      <x:c r="Y84" s="189"/>
      <x:c r="Z84" s="196" t="str">
        <x:f>IF(OR(Y84="",K84=""),"",IF(Y84=K84,1,0))</x:f>
      </x:c>
      <x:c r="AA84" s="200" t="str">
        <x:f>IF(Z84="","",X84*(Z84-Q84))</x:f>
      </x:c>
      <x:c r="AB84" s="197" t="str">
        <x:f>IFERROR(AA84/W84,"")</x:f>
      </x:c>
      <x:c r="AC84" s="197" t="str">
        <x:f>IF(Z84="","",(L84-Z84)^2)</x:f>
      </x:c>
      <x:c r="AD84" s="198" t="str">
        <x:f>IF(Z84="","",-(Z84*LN(MAX(0.0001,L84))+(1-Z84)*LN(MAX(0.0001,1-L84))))</x:f>
      </x:c>
      <x:c r="AE84" s="189"/>
      <x:c r="AF84" s="200" t="n">
        <x:f>AF83+IF(AA84="",0,AA84)</x:f>
        <x:v>0</x:v>
      </x:c>
      <x:c r="AG84" s="200" t="n">
        <x:f>MAX(AG83,AF84)</x:f>
        <x:v>0</x:v>
      </x:c>
      <x:c r="AH84" s="200" t="n">
        <x:f>AF84-AG84</x:f>
        <x:v>0</x:v>
      </x:c>
    </x:row>
    <x:row r="85">
      <x:c r="A85" s="189"/>
      <x:c r="B85" s="189"/>
      <x:c r="C85" s="221"/>
      <x:c r="D85" s="189"/>
      <x:c r="E85" s="221"/>
      <x:c r="F85" s="218" t="str">
        <x:f>IFERROR(LN(E85/C85)*10000,"")</x:f>
      </x:c>
      <x:c r="G85" s="191"/>
      <x:c r="H85" s="191"/>
      <x:c r="I85" s="191"/>
      <x:c r="J85" s="191"/>
      <x:c r="K85" s="189"/>
      <x:c r="L85" s="197" t="str">
        <x:f>IF(K85="Up",G85,IF(K85="Down",1-G85,""))</x:f>
      </x:c>
      <x:c r="M85" s="198" t="str">
        <x:f>IF(K85="Up",I85,IF(K85="Down",J85,""))</x:f>
      </x:c>
      <x:c r="N85" s="192"/>
      <x:c r="O85" s="198" t="n">
        <x:f>IF(N85="Taker",M85*'08_Bet_Calculator'!$B$18*(1-M85),0)</x:f>
        <x:v>0</x:v>
      </x:c>
      <x:c r="P85" s="192"/>
      <x:c r="Q85" s="198" t="str">
        <x:f>IF(M85="","",MIN(0.999,M85+O85+P85))</x:f>
      </x:c>
      <x:c r="R85" s="197" t="str">
        <x:f>IF(L85="","",L85-Q85)</x:f>
      </x:c>
      <x:c r="S85" s="197" t="str">
        <x:f>IF(L85="","",L85-'08_Bet_Calculator'!$B$24*H85-Q85-'08_Bet_Calculator'!$B$20)</x:f>
      </x:c>
      <x:c r="T85" s="197" t="n">
        <x:f>IF(OR(L85="",Q85&gt;=1),0,MAX(0,(MAX(0,L85-'08_Bet_Calculator'!$B$24*H85)-Q85)/(1-Q85)))</x:f>
        <x:v>0</x:v>
      </x:c>
      <x:c r="U85" s="197" t="n">
        <x:f>T85*'08_Bet_Calculator'!$B$21</x:f>
        <x:v>0</x:v>
      </x:c>
      <x:c r="V85" s="221"/>
      <x:c r="W85" s="200" t="n">
        <x:f>IF(OR(V85="",S85&lt;=0),0,MIN(V85*U85,V85*'08_Bet_Calculator'!$B$22,'08_Bet_Calculator'!$B$23))</x:f>
        <x:v>0</x:v>
      </x:c>
      <x:c r="X85" s="222" t="n">
        <x:f>IFERROR(W85/Q85,0)</x:f>
        <x:v>0</x:v>
      </x:c>
      <x:c r="Y85" s="189"/>
      <x:c r="Z85" s="196" t="str">
        <x:f>IF(OR(Y85="",K85=""),"",IF(Y85=K85,1,0))</x:f>
      </x:c>
      <x:c r="AA85" s="200" t="str">
        <x:f>IF(Z85="","",X85*(Z85-Q85))</x:f>
      </x:c>
      <x:c r="AB85" s="197" t="str">
        <x:f>IFERROR(AA85/W85,"")</x:f>
      </x:c>
      <x:c r="AC85" s="197" t="str">
        <x:f>IF(Z85="","",(L85-Z85)^2)</x:f>
      </x:c>
      <x:c r="AD85" s="198" t="str">
        <x:f>IF(Z85="","",-(Z85*LN(MAX(0.0001,L85))+(1-Z85)*LN(MAX(0.0001,1-L85))))</x:f>
      </x:c>
      <x:c r="AE85" s="189"/>
      <x:c r="AF85" s="200" t="n">
        <x:f>AF84+IF(AA85="",0,AA85)</x:f>
        <x:v>0</x:v>
      </x:c>
      <x:c r="AG85" s="200" t="n">
        <x:f>MAX(AG84,AF85)</x:f>
        <x:v>0</x:v>
      </x:c>
      <x:c r="AH85" s="200" t="n">
        <x:f>AF85-AG85</x:f>
        <x:v>0</x:v>
      </x:c>
    </x:row>
    <x:row r="86">
      <x:c r="A86" s="189"/>
      <x:c r="B86" s="189"/>
      <x:c r="C86" s="221"/>
      <x:c r="D86" s="189"/>
      <x:c r="E86" s="221"/>
      <x:c r="F86" s="218" t="str">
        <x:f>IFERROR(LN(E86/C86)*10000,"")</x:f>
      </x:c>
      <x:c r="G86" s="191"/>
      <x:c r="H86" s="191"/>
      <x:c r="I86" s="191"/>
      <x:c r="J86" s="191"/>
      <x:c r="K86" s="189"/>
      <x:c r="L86" s="197" t="str">
        <x:f>IF(K86="Up",G86,IF(K86="Down",1-G86,""))</x:f>
      </x:c>
      <x:c r="M86" s="198" t="str">
        <x:f>IF(K86="Up",I86,IF(K86="Down",J86,""))</x:f>
      </x:c>
      <x:c r="N86" s="192"/>
      <x:c r="O86" s="198" t="n">
        <x:f>IF(N86="Taker",M86*'08_Bet_Calculator'!$B$18*(1-M86),0)</x:f>
        <x:v>0</x:v>
      </x:c>
      <x:c r="P86" s="192"/>
      <x:c r="Q86" s="198" t="str">
        <x:f>IF(M86="","",MIN(0.999,M86+O86+P86))</x:f>
      </x:c>
      <x:c r="R86" s="197" t="str">
        <x:f>IF(L86="","",L86-Q86)</x:f>
      </x:c>
      <x:c r="S86" s="197" t="str">
        <x:f>IF(L86="","",L86-'08_Bet_Calculator'!$B$24*H86-Q86-'08_Bet_Calculator'!$B$20)</x:f>
      </x:c>
      <x:c r="T86" s="197" t="n">
        <x:f>IF(OR(L86="",Q86&gt;=1),0,MAX(0,(MAX(0,L86-'08_Bet_Calculator'!$B$24*H86)-Q86)/(1-Q86)))</x:f>
        <x:v>0</x:v>
      </x:c>
      <x:c r="U86" s="197" t="n">
        <x:f>T86*'08_Bet_Calculator'!$B$21</x:f>
        <x:v>0</x:v>
      </x:c>
      <x:c r="V86" s="221"/>
      <x:c r="W86" s="200" t="n">
        <x:f>IF(OR(V86="",S86&lt;=0),0,MIN(V86*U86,V86*'08_Bet_Calculator'!$B$22,'08_Bet_Calculator'!$B$23))</x:f>
        <x:v>0</x:v>
      </x:c>
      <x:c r="X86" s="222" t="n">
        <x:f>IFERROR(W86/Q86,0)</x:f>
        <x:v>0</x:v>
      </x:c>
      <x:c r="Y86" s="189"/>
      <x:c r="Z86" s="196" t="str">
        <x:f>IF(OR(Y86="",K86=""),"",IF(Y86=K86,1,0))</x:f>
      </x:c>
      <x:c r="AA86" s="200" t="str">
        <x:f>IF(Z86="","",X86*(Z86-Q86))</x:f>
      </x:c>
      <x:c r="AB86" s="197" t="str">
        <x:f>IFERROR(AA86/W86,"")</x:f>
      </x:c>
      <x:c r="AC86" s="197" t="str">
        <x:f>IF(Z86="","",(L86-Z86)^2)</x:f>
      </x:c>
      <x:c r="AD86" s="198" t="str">
        <x:f>IF(Z86="","",-(Z86*LN(MAX(0.0001,L86))+(1-Z86)*LN(MAX(0.0001,1-L86))))</x:f>
      </x:c>
      <x:c r="AE86" s="189"/>
      <x:c r="AF86" s="200" t="n">
        <x:f>AF85+IF(AA86="",0,AA86)</x:f>
        <x:v>0</x:v>
      </x:c>
      <x:c r="AG86" s="200" t="n">
        <x:f>MAX(AG85,AF86)</x:f>
        <x:v>0</x:v>
      </x:c>
      <x:c r="AH86" s="200" t="n">
        <x:f>AF86-AG86</x:f>
        <x:v>0</x:v>
      </x:c>
    </x:row>
    <x:row r="87">
      <x:c r="A87" s="189"/>
      <x:c r="B87" s="189"/>
      <x:c r="C87" s="221"/>
      <x:c r="D87" s="189"/>
      <x:c r="E87" s="221"/>
      <x:c r="F87" s="218" t="str">
        <x:f>IFERROR(LN(E87/C87)*10000,"")</x:f>
      </x:c>
      <x:c r="G87" s="191"/>
      <x:c r="H87" s="191"/>
      <x:c r="I87" s="191"/>
      <x:c r="J87" s="191"/>
      <x:c r="K87" s="189"/>
      <x:c r="L87" s="197" t="str">
        <x:f>IF(K87="Up",G87,IF(K87="Down",1-G87,""))</x:f>
      </x:c>
      <x:c r="M87" s="198" t="str">
        <x:f>IF(K87="Up",I87,IF(K87="Down",J87,""))</x:f>
      </x:c>
      <x:c r="N87" s="192"/>
      <x:c r="O87" s="198" t="n">
        <x:f>IF(N87="Taker",M87*'08_Bet_Calculator'!$B$18*(1-M87),0)</x:f>
        <x:v>0</x:v>
      </x:c>
      <x:c r="P87" s="192"/>
      <x:c r="Q87" s="198" t="str">
        <x:f>IF(M87="","",MIN(0.999,M87+O87+P87))</x:f>
      </x:c>
      <x:c r="R87" s="197" t="str">
        <x:f>IF(L87="","",L87-Q87)</x:f>
      </x:c>
      <x:c r="S87" s="197" t="str">
        <x:f>IF(L87="","",L87-'08_Bet_Calculator'!$B$24*H87-Q87-'08_Bet_Calculator'!$B$20)</x:f>
      </x:c>
      <x:c r="T87" s="197" t="n">
        <x:f>IF(OR(L87="",Q87&gt;=1),0,MAX(0,(MAX(0,L87-'08_Bet_Calculator'!$B$24*H87)-Q87)/(1-Q87)))</x:f>
        <x:v>0</x:v>
      </x:c>
      <x:c r="U87" s="197" t="n">
        <x:f>T87*'08_Bet_Calculator'!$B$21</x:f>
        <x:v>0</x:v>
      </x:c>
      <x:c r="V87" s="221"/>
      <x:c r="W87" s="200" t="n">
        <x:f>IF(OR(V87="",S87&lt;=0),0,MIN(V87*U87,V87*'08_Bet_Calculator'!$B$22,'08_Bet_Calculator'!$B$23))</x:f>
        <x:v>0</x:v>
      </x:c>
      <x:c r="X87" s="222" t="n">
        <x:f>IFERROR(W87/Q87,0)</x:f>
        <x:v>0</x:v>
      </x:c>
      <x:c r="Y87" s="189"/>
      <x:c r="Z87" s="196" t="str">
        <x:f>IF(OR(Y87="",K87=""),"",IF(Y87=K87,1,0))</x:f>
      </x:c>
      <x:c r="AA87" s="200" t="str">
        <x:f>IF(Z87="","",X87*(Z87-Q87))</x:f>
      </x:c>
      <x:c r="AB87" s="197" t="str">
        <x:f>IFERROR(AA87/W87,"")</x:f>
      </x:c>
      <x:c r="AC87" s="197" t="str">
        <x:f>IF(Z87="","",(L87-Z87)^2)</x:f>
      </x:c>
      <x:c r="AD87" s="198" t="str">
        <x:f>IF(Z87="","",-(Z87*LN(MAX(0.0001,L87))+(1-Z87)*LN(MAX(0.0001,1-L87))))</x:f>
      </x:c>
      <x:c r="AE87" s="189"/>
      <x:c r="AF87" s="200" t="n">
        <x:f>AF86+IF(AA87="",0,AA87)</x:f>
        <x:v>0</x:v>
      </x:c>
      <x:c r="AG87" s="200" t="n">
        <x:f>MAX(AG86,AF87)</x:f>
        <x:v>0</x:v>
      </x:c>
      <x:c r="AH87" s="200" t="n">
        <x:f>AF87-AG87</x:f>
        <x:v>0</x:v>
      </x:c>
    </x:row>
    <x:row r="88">
      <x:c r="A88" s="189"/>
      <x:c r="B88" s="189"/>
      <x:c r="C88" s="221"/>
      <x:c r="D88" s="189"/>
      <x:c r="E88" s="221"/>
      <x:c r="F88" s="218" t="str">
        <x:f>IFERROR(LN(E88/C88)*10000,"")</x:f>
      </x:c>
      <x:c r="G88" s="191"/>
      <x:c r="H88" s="191"/>
      <x:c r="I88" s="191"/>
      <x:c r="J88" s="191"/>
      <x:c r="K88" s="189"/>
      <x:c r="L88" s="197" t="str">
        <x:f>IF(K88="Up",G88,IF(K88="Down",1-G88,""))</x:f>
      </x:c>
      <x:c r="M88" s="198" t="str">
        <x:f>IF(K88="Up",I88,IF(K88="Down",J88,""))</x:f>
      </x:c>
      <x:c r="N88" s="192"/>
      <x:c r="O88" s="198" t="n">
        <x:f>IF(N88="Taker",M88*'08_Bet_Calculator'!$B$18*(1-M88),0)</x:f>
        <x:v>0</x:v>
      </x:c>
      <x:c r="P88" s="192"/>
      <x:c r="Q88" s="198" t="str">
        <x:f>IF(M88="","",MIN(0.999,M88+O88+P88))</x:f>
      </x:c>
      <x:c r="R88" s="197" t="str">
        <x:f>IF(L88="","",L88-Q88)</x:f>
      </x:c>
      <x:c r="S88" s="197" t="str">
        <x:f>IF(L88="","",L88-'08_Bet_Calculator'!$B$24*H88-Q88-'08_Bet_Calculator'!$B$20)</x:f>
      </x:c>
      <x:c r="T88" s="197" t="n">
        <x:f>IF(OR(L88="",Q88&gt;=1),0,MAX(0,(MAX(0,L88-'08_Bet_Calculator'!$B$24*H88)-Q88)/(1-Q88)))</x:f>
        <x:v>0</x:v>
      </x:c>
      <x:c r="U88" s="197" t="n">
        <x:f>T88*'08_Bet_Calculator'!$B$21</x:f>
        <x:v>0</x:v>
      </x:c>
      <x:c r="V88" s="221"/>
      <x:c r="W88" s="200" t="n">
        <x:f>IF(OR(V88="",S88&lt;=0),0,MIN(V88*U88,V88*'08_Bet_Calculator'!$B$22,'08_Bet_Calculator'!$B$23))</x:f>
        <x:v>0</x:v>
      </x:c>
      <x:c r="X88" s="222" t="n">
        <x:f>IFERROR(W88/Q88,0)</x:f>
        <x:v>0</x:v>
      </x:c>
      <x:c r="Y88" s="189"/>
      <x:c r="Z88" s="196" t="str">
        <x:f>IF(OR(Y88="",K88=""),"",IF(Y88=K88,1,0))</x:f>
      </x:c>
      <x:c r="AA88" s="200" t="str">
        <x:f>IF(Z88="","",X88*(Z88-Q88))</x:f>
      </x:c>
      <x:c r="AB88" s="197" t="str">
        <x:f>IFERROR(AA88/W88,"")</x:f>
      </x:c>
      <x:c r="AC88" s="197" t="str">
        <x:f>IF(Z88="","",(L88-Z88)^2)</x:f>
      </x:c>
      <x:c r="AD88" s="198" t="str">
        <x:f>IF(Z88="","",-(Z88*LN(MAX(0.0001,L88))+(1-Z88)*LN(MAX(0.0001,1-L88))))</x:f>
      </x:c>
      <x:c r="AE88" s="189"/>
      <x:c r="AF88" s="200" t="n">
        <x:f>AF87+IF(AA88="",0,AA88)</x:f>
        <x:v>0</x:v>
      </x:c>
      <x:c r="AG88" s="200" t="n">
        <x:f>MAX(AG87,AF88)</x:f>
        <x:v>0</x:v>
      </x:c>
      <x:c r="AH88" s="200" t="n">
        <x:f>AF88-AG88</x:f>
        <x:v>0</x:v>
      </x:c>
    </x:row>
    <x:row r="89">
      <x:c r="A89" s="189"/>
      <x:c r="B89" s="189"/>
      <x:c r="C89" s="221"/>
      <x:c r="D89" s="189"/>
      <x:c r="E89" s="221"/>
      <x:c r="F89" s="218" t="str">
        <x:f>IFERROR(LN(E89/C89)*10000,"")</x:f>
      </x:c>
      <x:c r="G89" s="191"/>
      <x:c r="H89" s="191"/>
      <x:c r="I89" s="191"/>
      <x:c r="J89" s="191"/>
      <x:c r="K89" s="189"/>
      <x:c r="L89" s="197" t="str">
        <x:f>IF(K89="Up",G89,IF(K89="Down",1-G89,""))</x:f>
      </x:c>
      <x:c r="M89" s="198" t="str">
        <x:f>IF(K89="Up",I89,IF(K89="Down",J89,""))</x:f>
      </x:c>
      <x:c r="N89" s="192"/>
      <x:c r="O89" s="198" t="n">
        <x:f>IF(N89="Taker",M89*'08_Bet_Calculator'!$B$18*(1-M89),0)</x:f>
        <x:v>0</x:v>
      </x:c>
      <x:c r="P89" s="192"/>
      <x:c r="Q89" s="198" t="str">
        <x:f>IF(M89="","",MIN(0.999,M89+O89+P89))</x:f>
      </x:c>
      <x:c r="R89" s="197" t="str">
        <x:f>IF(L89="","",L89-Q89)</x:f>
      </x:c>
      <x:c r="S89" s="197" t="str">
        <x:f>IF(L89="","",L89-'08_Bet_Calculator'!$B$24*H89-Q89-'08_Bet_Calculator'!$B$20)</x:f>
      </x:c>
      <x:c r="T89" s="197" t="n">
        <x:f>IF(OR(L89="",Q89&gt;=1),0,MAX(0,(MAX(0,L89-'08_Bet_Calculator'!$B$24*H89)-Q89)/(1-Q89)))</x:f>
        <x:v>0</x:v>
      </x:c>
      <x:c r="U89" s="197" t="n">
        <x:f>T89*'08_Bet_Calculator'!$B$21</x:f>
        <x:v>0</x:v>
      </x:c>
      <x:c r="V89" s="221"/>
      <x:c r="W89" s="200" t="n">
        <x:f>IF(OR(V89="",S89&lt;=0),0,MIN(V89*U89,V89*'08_Bet_Calculator'!$B$22,'08_Bet_Calculator'!$B$23))</x:f>
        <x:v>0</x:v>
      </x:c>
      <x:c r="X89" s="222" t="n">
        <x:f>IFERROR(W89/Q89,0)</x:f>
        <x:v>0</x:v>
      </x:c>
      <x:c r="Y89" s="189"/>
      <x:c r="Z89" s="196" t="str">
        <x:f>IF(OR(Y89="",K89=""),"",IF(Y89=K89,1,0))</x:f>
      </x:c>
      <x:c r="AA89" s="200" t="str">
        <x:f>IF(Z89="","",X89*(Z89-Q89))</x:f>
      </x:c>
      <x:c r="AB89" s="197" t="str">
        <x:f>IFERROR(AA89/W89,"")</x:f>
      </x:c>
      <x:c r="AC89" s="197" t="str">
        <x:f>IF(Z89="","",(L89-Z89)^2)</x:f>
      </x:c>
      <x:c r="AD89" s="198" t="str">
        <x:f>IF(Z89="","",-(Z89*LN(MAX(0.0001,L89))+(1-Z89)*LN(MAX(0.0001,1-L89))))</x:f>
      </x:c>
      <x:c r="AE89" s="189"/>
      <x:c r="AF89" s="200" t="n">
        <x:f>AF88+IF(AA89="",0,AA89)</x:f>
        <x:v>0</x:v>
      </x:c>
      <x:c r="AG89" s="200" t="n">
        <x:f>MAX(AG88,AF89)</x:f>
        <x:v>0</x:v>
      </x:c>
      <x:c r="AH89" s="200" t="n">
        <x:f>AF89-AG89</x:f>
        <x:v>0</x:v>
      </x:c>
    </x:row>
    <x:row r="90">
      <x:c r="A90" s="189"/>
      <x:c r="B90" s="189"/>
      <x:c r="C90" s="221"/>
      <x:c r="D90" s="189"/>
      <x:c r="E90" s="221"/>
      <x:c r="F90" s="218" t="str">
        <x:f>IFERROR(LN(E90/C90)*10000,"")</x:f>
      </x:c>
      <x:c r="G90" s="191"/>
      <x:c r="H90" s="191"/>
      <x:c r="I90" s="191"/>
      <x:c r="J90" s="191"/>
      <x:c r="K90" s="189"/>
      <x:c r="L90" s="197" t="str">
        <x:f>IF(K90="Up",G90,IF(K90="Down",1-G90,""))</x:f>
      </x:c>
      <x:c r="M90" s="198" t="str">
        <x:f>IF(K90="Up",I90,IF(K90="Down",J90,""))</x:f>
      </x:c>
      <x:c r="N90" s="192"/>
      <x:c r="O90" s="198" t="n">
        <x:f>IF(N90="Taker",M90*'08_Bet_Calculator'!$B$18*(1-M90),0)</x:f>
        <x:v>0</x:v>
      </x:c>
      <x:c r="P90" s="192"/>
      <x:c r="Q90" s="198" t="str">
        <x:f>IF(M90="","",MIN(0.999,M90+O90+P90))</x:f>
      </x:c>
      <x:c r="R90" s="197" t="str">
        <x:f>IF(L90="","",L90-Q90)</x:f>
      </x:c>
      <x:c r="S90" s="197" t="str">
        <x:f>IF(L90="","",L90-'08_Bet_Calculator'!$B$24*H90-Q90-'08_Bet_Calculator'!$B$20)</x:f>
      </x:c>
      <x:c r="T90" s="197" t="n">
        <x:f>IF(OR(L90="",Q90&gt;=1),0,MAX(0,(MAX(0,L90-'08_Bet_Calculator'!$B$24*H90)-Q90)/(1-Q90)))</x:f>
        <x:v>0</x:v>
      </x:c>
      <x:c r="U90" s="197" t="n">
        <x:f>T90*'08_Bet_Calculator'!$B$21</x:f>
        <x:v>0</x:v>
      </x:c>
      <x:c r="V90" s="221"/>
      <x:c r="W90" s="200" t="n">
        <x:f>IF(OR(V90="",S90&lt;=0),0,MIN(V90*U90,V90*'08_Bet_Calculator'!$B$22,'08_Bet_Calculator'!$B$23))</x:f>
        <x:v>0</x:v>
      </x:c>
      <x:c r="X90" s="222" t="n">
        <x:f>IFERROR(W90/Q90,0)</x:f>
        <x:v>0</x:v>
      </x:c>
      <x:c r="Y90" s="189"/>
      <x:c r="Z90" s="196" t="str">
        <x:f>IF(OR(Y90="",K90=""),"",IF(Y90=K90,1,0))</x:f>
      </x:c>
      <x:c r="AA90" s="200" t="str">
        <x:f>IF(Z90="","",X90*(Z90-Q90))</x:f>
      </x:c>
      <x:c r="AB90" s="197" t="str">
        <x:f>IFERROR(AA90/W90,"")</x:f>
      </x:c>
      <x:c r="AC90" s="197" t="str">
        <x:f>IF(Z90="","",(L90-Z90)^2)</x:f>
      </x:c>
      <x:c r="AD90" s="198" t="str">
        <x:f>IF(Z90="","",-(Z90*LN(MAX(0.0001,L90))+(1-Z90)*LN(MAX(0.0001,1-L90))))</x:f>
      </x:c>
      <x:c r="AE90" s="189"/>
      <x:c r="AF90" s="200" t="n">
        <x:f>AF89+IF(AA90="",0,AA90)</x:f>
        <x:v>0</x:v>
      </x:c>
      <x:c r="AG90" s="200" t="n">
        <x:f>MAX(AG89,AF90)</x:f>
        <x:v>0</x:v>
      </x:c>
      <x:c r="AH90" s="200" t="n">
        <x:f>AF90-AG90</x:f>
        <x:v>0</x:v>
      </x:c>
    </x:row>
    <x:row r="91">
      <x:c r="A91" s="189"/>
      <x:c r="B91" s="189"/>
      <x:c r="C91" s="221"/>
      <x:c r="D91" s="189"/>
      <x:c r="E91" s="221"/>
      <x:c r="F91" s="218" t="str">
        <x:f>IFERROR(LN(E91/C91)*10000,"")</x:f>
      </x:c>
      <x:c r="G91" s="191"/>
      <x:c r="H91" s="191"/>
      <x:c r="I91" s="191"/>
      <x:c r="J91" s="191"/>
      <x:c r="K91" s="189"/>
      <x:c r="L91" s="197" t="str">
        <x:f>IF(K91="Up",G91,IF(K91="Down",1-G91,""))</x:f>
      </x:c>
      <x:c r="M91" s="198" t="str">
        <x:f>IF(K91="Up",I91,IF(K91="Down",J91,""))</x:f>
      </x:c>
      <x:c r="N91" s="192"/>
      <x:c r="O91" s="198" t="n">
        <x:f>IF(N91="Taker",M91*'08_Bet_Calculator'!$B$18*(1-M91),0)</x:f>
        <x:v>0</x:v>
      </x:c>
      <x:c r="P91" s="192"/>
      <x:c r="Q91" s="198" t="str">
        <x:f>IF(M91="","",MIN(0.999,M91+O91+P91))</x:f>
      </x:c>
      <x:c r="R91" s="197" t="str">
        <x:f>IF(L91="","",L91-Q91)</x:f>
      </x:c>
      <x:c r="S91" s="197" t="str">
        <x:f>IF(L91="","",L91-'08_Bet_Calculator'!$B$24*H91-Q91-'08_Bet_Calculator'!$B$20)</x:f>
      </x:c>
      <x:c r="T91" s="197" t="n">
        <x:f>IF(OR(L91="",Q91&gt;=1),0,MAX(0,(MAX(0,L91-'08_Bet_Calculator'!$B$24*H91)-Q91)/(1-Q91)))</x:f>
        <x:v>0</x:v>
      </x:c>
      <x:c r="U91" s="197" t="n">
        <x:f>T91*'08_Bet_Calculator'!$B$21</x:f>
        <x:v>0</x:v>
      </x:c>
      <x:c r="V91" s="221"/>
      <x:c r="W91" s="200" t="n">
        <x:f>IF(OR(V91="",S91&lt;=0),0,MIN(V91*U91,V91*'08_Bet_Calculator'!$B$22,'08_Bet_Calculator'!$B$23))</x:f>
        <x:v>0</x:v>
      </x:c>
      <x:c r="X91" s="222" t="n">
        <x:f>IFERROR(W91/Q91,0)</x:f>
        <x:v>0</x:v>
      </x:c>
      <x:c r="Y91" s="189"/>
      <x:c r="Z91" s="196" t="str">
        <x:f>IF(OR(Y91="",K91=""),"",IF(Y91=K91,1,0))</x:f>
      </x:c>
      <x:c r="AA91" s="200" t="str">
        <x:f>IF(Z91="","",X91*(Z91-Q91))</x:f>
      </x:c>
      <x:c r="AB91" s="197" t="str">
        <x:f>IFERROR(AA91/W91,"")</x:f>
      </x:c>
      <x:c r="AC91" s="197" t="str">
        <x:f>IF(Z91="","",(L91-Z91)^2)</x:f>
      </x:c>
      <x:c r="AD91" s="198" t="str">
        <x:f>IF(Z91="","",-(Z91*LN(MAX(0.0001,L91))+(1-Z91)*LN(MAX(0.0001,1-L91))))</x:f>
      </x:c>
      <x:c r="AE91" s="189"/>
      <x:c r="AF91" s="200" t="n">
        <x:f>AF90+IF(AA91="",0,AA91)</x:f>
        <x:v>0</x:v>
      </x:c>
      <x:c r="AG91" s="200" t="n">
        <x:f>MAX(AG90,AF91)</x:f>
        <x:v>0</x:v>
      </x:c>
      <x:c r="AH91" s="200" t="n">
        <x:f>AF91-AG91</x:f>
        <x:v>0</x:v>
      </x:c>
    </x:row>
    <x:row r="92">
      <x:c r="A92" s="189"/>
      <x:c r="B92" s="189"/>
      <x:c r="C92" s="221"/>
      <x:c r="D92" s="189"/>
      <x:c r="E92" s="221"/>
      <x:c r="F92" s="218" t="str">
        <x:f>IFERROR(LN(E92/C92)*10000,"")</x:f>
      </x:c>
      <x:c r="G92" s="191"/>
      <x:c r="H92" s="191"/>
      <x:c r="I92" s="191"/>
      <x:c r="J92" s="191"/>
      <x:c r="K92" s="189"/>
      <x:c r="L92" s="197" t="str">
        <x:f>IF(K92="Up",G92,IF(K92="Down",1-G92,""))</x:f>
      </x:c>
      <x:c r="M92" s="198" t="str">
        <x:f>IF(K92="Up",I92,IF(K92="Down",J92,""))</x:f>
      </x:c>
      <x:c r="N92" s="192"/>
      <x:c r="O92" s="198" t="n">
        <x:f>IF(N92="Taker",M92*'08_Bet_Calculator'!$B$18*(1-M92),0)</x:f>
        <x:v>0</x:v>
      </x:c>
      <x:c r="P92" s="192"/>
      <x:c r="Q92" s="198" t="str">
        <x:f>IF(M92="","",MIN(0.999,M92+O92+P92))</x:f>
      </x:c>
      <x:c r="R92" s="197" t="str">
        <x:f>IF(L92="","",L92-Q92)</x:f>
      </x:c>
      <x:c r="S92" s="197" t="str">
        <x:f>IF(L92="","",L92-'08_Bet_Calculator'!$B$24*H92-Q92-'08_Bet_Calculator'!$B$20)</x:f>
      </x:c>
      <x:c r="T92" s="197" t="n">
        <x:f>IF(OR(L92="",Q92&gt;=1),0,MAX(0,(MAX(0,L92-'08_Bet_Calculator'!$B$24*H92)-Q92)/(1-Q92)))</x:f>
        <x:v>0</x:v>
      </x:c>
      <x:c r="U92" s="197" t="n">
        <x:f>T92*'08_Bet_Calculator'!$B$21</x:f>
        <x:v>0</x:v>
      </x:c>
      <x:c r="V92" s="221"/>
      <x:c r="W92" s="200" t="n">
        <x:f>IF(OR(V92="",S92&lt;=0),0,MIN(V92*U92,V92*'08_Bet_Calculator'!$B$22,'08_Bet_Calculator'!$B$23))</x:f>
        <x:v>0</x:v>
      </x:c>
      <x:c r="X92" s="222" t="n">
        <x:f>IFERROR(W92/Q92,0)</x:f>
        <x:v>0</x:v>
      </x:c>
      <x:c r="Y92" s="189"/>
      <x:c r="Z92" s="196" t="str">
        <x:f>IF(OR(Y92="",K92=""),"",IF(Y92=K92,1,0))</x:f>
      </x:c>
      <x:c r="AA92" s="200" t="str">
        <x:f>IF(Z92="","",X92*(Z92-Q92))</x:f>
      </x:c>
      <x:c r="AB92" s="197" t="str">
        <x:f>IFERROR(AA92/W92,"")</x:f>
      </x:c>
      <x:c r="AC92" s="197" t="str">
        <x:f>IF(Z92="","",(L92-Z92)^2)</x:f>
      </x:c>
      <x:c r="AD92" s="198" t="str">
        <x:f>IF(Z92="","",-(Z92*LN(MAX(0.0001,L92))+(1-Z92)*LN(MAX(0.0001,1-L92))))</x:f>
      </x:c>
      <x:c r="AE92" s="189"/>
      <x:c r="AF92" s="200" t="n">
        <x:f>AF91+IF(AA92="",0,AA92)</x:f>
        <x:v>0</x:v>
      </x:c>
      <x:c r="AG92" s="200" t="n">
        <x:f>MAX(AG91,AF92)</x:f>
        <x:v>0</x:v>
      </x:c>
      <x:c r="AH92" s="200" t="n">
        <x:f>AF92-AG92</x:f>
        <x:v>0</x:v>
      </x:c>
    </x:row>
    <x:row r="93">
      <x:c r="A93" s="189"/>
      <x:c r="B93" s="189"/>
      <x:c r="C93" s="221"/>
      <x:c r="D93" s="189"/>
      <x:c r="E93" s="221"/>
      <x:c r="F93" s="218" t="str">
        <x:f>IFERROR(LN(E93/C93)*10000,"")</x:f>
      </x:c>
      <x:c r="G93" s="191"/>
      <x:c r="H93" s="191"/>
      <x:c r="I93" s="191"/>
      <x:c r="J93" s="191"/>
      <x:c r="K93" s="189"/>
      <x:c r="L93" s="197" t="str">
        <x:f>IF(K93="Up",G93,IF(K93="Down",1-G93,""))</x:f>
      </x:c>
      <x:c r="M93" s="198" t="str">
        <x:f>IF(K93="Up",I93,IF(K93="Down",J93,""))</x:f>
      </x:c>
      <x:c r="N93" s="192"/>
      <x:c r="O93" s="198" t="n">
        <x:f>IF(N93="Taker",M93*'08_Bet_Calculator'!$B$18*(1-M93),0)</x:f>
        <x:v>0</x:v>
      </x:c>
      <x:c r="P93" s="192"/>
      <x:c r="Q93" s="198" t="str">
        <x:f>IF(M93="","",MIN(0.999,M93+O93+P93))</x:f>
      </x:c>
      <x:c r="R93" s="197" t="str">
        <x:f>IF(L93="","",L93-Q93)</x:f>
      </x:c>
      <x:c r="S93" s="197" t="str">
        <x:f>IF(L93="","",L93-'08_Bet_Calculator'!$B$24*H93-Q93-'08_Bet_Calculator'!$B$20)</x:f>
      </x:c>
      <x:c r="T93" s="197" t="n">
        <x:f>IF(OR(L93="",Q93&gt;=1),0,MAX(0,(MAX(0,L93-'08_Bet_Calculator'!$B$24*H93)-Q93)/(1-Q93)))</x:f>
        <x:v>0</x:v>
      </x:c>
      <x:c r="U93" s="197" t="n">
        <x:f>T93*'08_Bet_Calculator'!$B$21</x:f>
        <x:v>0</x:v>
      </x:c>
      <x:c r="V93" s="221"/>
      <x:c r="W93" s="200" t="n">
        <x:f>IF(OR(V93="",S93&lt;=0),0,MIN(V93*U93,V93*'08_Bet_Calculator'!$B$22,'08_Bet_Calculator'!$B$23))</x:f>
        <x:v>0</x:v>
      </x:c>
      <x:c r="X93" s="222" t="n">
        <x:f>IFERROR(W93/Q93,0)</x:f>
        <x:v>0</x:v>
      </x:c>
      <x:c r="Y93" s="189"/>
      <x:c r="Z93" s="196" t="str">
        <x:f>IF(OR(Y93="",K93=""),"",IF(Y93=K93,1,0))</x:f>
      </x:c>
      <x:c r="AA93" s="200" t="str">
        <x:f>IF(Z93="","",X93*(Z93-Q93))</x:f>
      </x:c>
      <x:c r="AB93" s="197" t="str">
        <x:f>IFERROR(AA93/W93,"")</x:f>
      </x:c>
      <x:c r="AC93" s="197" t="str">
        <x:f>IF(Z93="","",(L93-Z93)^2)</x:f>
      </x:c>
      <x:c r="AD93" s="198" t="str">
        <x:f>IF(Z93="","",-(Z93*LN(MAX(0.0001,L93))+(1-Z93)*LN(MAX(0.0001,1-L93))))</x:f>
      </x:c>
      <x:c r="AE93" s="189"/>
      <x:c r="AF93" s="200" t="n">
        <x:f>AF92+IF(AA93="",0,AA93)</x:f>
        <x:v>0</x:v>
      </x:c>
      <x:c r="AG93" s="200" t="n">
        <x:f>MAX(AG92,AF93)</x:f>
        <x:v>0</x:v>
      </x:c>
      <x:c r="AH93" s="200" t="n">
        <x:f>AF93-AG93</x:f>
        <x:v>0</x:v>
      </x:c>
    </x:row>
    <x:row r="94">
      <x:c r="A94" s="189"/>
      <x:c r="B94" s="189"/>
      <x:c r="C94" s="221"/>
      <x:c r="D94" s="189"/>
      <x:c r="E94" s="221"/>
      <x:c r="F94" s="218" t="str">
        <x:f>IFERROR(LN(E94/C94)*10000,"")</x:f>
      </x:c>
      <x:c r="G94" s="191"/>
      <x:c r="H94" s="191"/>
      <x:c r="I94" s="191"/>
      <x:c r="J94" s="191"/>
      <x:c r="K94" s="189"/>
      <x:c r="L94" s="197" t="str">
        <x:f>IF(K94="Up",G94,IF(K94="Down",1-G94,""))</x:f>
      </x:c>
      <x:c r="M94" s="198" t="str">
        <x:f>IF(K94="Up",I94,IF(K94="Down",J94,""))</x:f>
      </x:c>
      <x:c r="N94" s="192"/>
      <x:c r="O94" s="198" t="n">
        <x:f>IF(N94="Taker",M94*'08_Bet_Calculator'!$B$18*(1-M94),0)</x:f>
        <x:v>0</x:v>
      </x:c>
      <x:c r="P94" s="192"/>
      <x:c r="Q94" s="198" t="str">
        <x:f>IF(M94="","",MIN(0.999,M94+O94+P94))</x:f>
      </x:c>
      <x:c r="R94" s="197" t="str">
        <x:f>IF(L94="","",L94-Q94)</x:f>
      </x:c>
      <x:c r="S94" s="197" t="str">
        <x:f>IF(L94="","",L94-'08_Bet_Calculator'!$B$24*H94-Q94-'08_Bet_Calculator'!$B$20)</x:f>
      </x:c>
      <x:c r="T94" s="197" t="n">
        <x:f>IF(OR(L94="",Q94&gt;=1),0,MAX(0,(MAX(0,L94-'08_Bet_Calculator'!$B$24*H94)-Q94)/(1-Q94)))</x:f>
        <x:v>0</x:v>
      </x:c>
      <x:c r="U94" s="197" t="n">
        <x:f>T94*'08_Bet_Calculator'!$B$21</x:f>
        <x:v>0</x:v>
      </x:c>
      <x:c r="V94" s="221"/>
      <x:c r="W94" s="200" t="n">
        <x:f>IF(OR(V94="",S94&lt;=0),0,MIN(V94*U94,V94*'08_Bet_Calculator'!$B$22,'08_Bet_Calculator'!$B$23))</x:f>
        <x:v>0</x:v>
      </x:c>
      <x:c r="X94" s="222" t="n">
        <x:f>IFERROR(W94/Q94,0)</x:f>
        <x:v>0</x:v>
      </x:c>
      <x:c r="Y94" s="189"/>
      <x:c r="Z94" s="196" t="str">
        <x:f>IF(OR(Y94="",K94=""),"",IF(Y94=K94,1,0))</x:f>
      </x:c>
      <x:c r="AA94" s="200" t="str">
        <x:f>IF(Z94="","",X94*(Z94-Q94))</x:f>
      </x:c>
      <x:c r="AB94" s="197" t="str">
        <x:f>IFERROR(AA94/W94,"")</x:f>
      </x:c>
      <x:c r="AC94" s="197" t="str">
        <x:f>IF(Z94="","",(L94-Z94)^2)</x:f>
      </x:c>
      <x:c r="AD94" s="198" t="str">
        <x:f>IF(Z94="","",-(Z94*LN(MAX(0.0001,L94))+(1-Z94)*LN(MAX(0.0001,1-L94))))</x:f>
      </x:c>
      <x:c r="AE94" s="189"/>
      <x:c r="AF94" s="200" t="n">
        <x:f>AF93+IF(AA94="",0,AA94)</x:f>
        <x:v>0</x:v>
      </x:c>
      <x:c r="AG94" s="200" t="n">
        <x:f>MAX(AG93,AF94)</x:f>
        <x:v>0</x:v>
      </x:c>
      <x:c r="AH94" s="200" t="n">
        <x:f>AF94-AG94</x:f>
        <x:v>0</x:v>
      </x:c>
    </x:row>
    <x:row r="95">
      <x:c r="A95" s="189"/>
      <x:c r="B95" s="189"/>
      <x:c r="C95" s="221"/>
      <x:c r="D95" s="189"/>
      <x:c r="E95" s="221"/>
      <x:c r="F95" s="218" t="str">
        <x:f>IFERROR(LN(E95/C95)*10000,"")</x:f>
      </x:c>
      <x:c r="G95" s="191"/>
      <x:c r="H95" s="191"/>
      <x:c r="I95" s="191"/>
      <x:c r="J95" s="191"/>
      <x:c r="K95" s="189"/>
      <x:c r="L95" s="197" t="str">
        <x:f>IF(K95="Up",G95,IF(K95="Down",1-G95,""))</x:f>
      </x:c>
      <x:c r="M95" s="198" t="str">
        <x:f>IF(K95="Up",I95,IF(K95="Down",J95,""))</x:f>
      </x:c>
      <x:c r="N95" s="192"/>
      <x:c r="O95" s="198" t="n">
        <x:f>IF(N95="Taker",M95*'08_Bet_Calculator'!$B$18*(1-M95),0)</x:f>
        <x:v>0</x:v>
      </x:c>
      <x:c r="P95" s="192"/>
      <x:c r="Q95" s="198" t="str">
        <x:f>IF(M95="","",MIN(0.999,M95+O95+P95))</x:f>
      </x:c>
      <x:c r="R95" s="197" t="str">
        <x:f>IF(L95="","",L95-Q95)</x:f>
      </x:c>
      <x:c r="S95" s="197" t="str">
        <x:f>IF(L95="","",L95-'08_Bet_Calculator'!$B$24*H95-Q95-'08_Bet_Calculator'!$B$20)</x:f>
      </x:c>
      <x:c r="T95" s="197" t="n">
        <x:f>IF(OR(L95="",Q95&gt;=1),0,MAX(0,(MAX(0,L95-'08_Bet_Calculator'!$B$24*H95)-Q95)/(1-Q95)))</x:f>
        <x:v>0</x:v>
      </x:c>
      <x:c r="U95" s="197" t="n">
        <x:f>T95*'08_Bet_Calculator'!$B$21</x:f>
        <x:v>0</x:v>
      </x:c>
      <x:c r="V95" s="221"/>
      <x:c r="W95" s="200" t="n">
        <x:f>IF(OR(V95="",S95&lt;=0),0,MIN(V95*U95,V95*'08_Bet_Calculator'!$B$22,'08_Bet_Calculator'!$B$23))</x:f>
        <x:v>0</x:v>
      </x:c>
      <x:c r="X95" s="222" t="n">
        <x:f>IFERROR(W95/Q95,0)</x:f>
        <x:v>0</x:v>
      </x:c>
      <x:c r="Y95" s="189"/>
      <x:c r="Z95" s="196" t="str">
        <x:f>IF(OR(Y95="",K95=""),"",IF(Y95=K95,1,0))</x:f>
      </x:c>
      <x:c r="AA95" s="200" t="str">
        <x:f>IF(Z95="","",X95*(Z95-Q95))</x:f>
      </x:c>
      <x:c r="AB95" s="197" t="str">
        <x:f>IFERROR(AA95/W95,"")</x:f>
      </x:c>
      <x:c r="AC95" s="197" t="str">
        <x:f>IF(Z95="","",(L95-Z95)^2)</x:f>
      </x:c>
      <x:c r="AD95" s="198" t="str">
        <x:f>IF(Z95="","",-(Z95*LN(MAX(0.0001,L95))+(1-Z95)*LN(MAX(0.0001,1-L95))))</x:f>
      </x:c>
      <x:c r="AE95" s="189"/>
      <x:c r="AF95" s="200" t="n">
        <x:f>AF94+IF(AA95="",0,AA95)</x:f>
        <x:v>0</x:v>
      </x:c>
      <x:c r="AG95" s="200" t="n">
        <x:f>MAX(AG94,AF95)</x:f>
        <x:v>0</x:v>
      </x:c>
      <x:c r="AH95" s="200" t="n">
        <x:f>AF95-AG95</x:f>
        <x:v>0</x:v>
      </x:c>
    </x:row>
    <x:row r="96">
      <x:c r="A96" s="189"/>
      <x:c r="B96" s="189"/>
      <x:c r="C96" s="221"/>
      <x:c r="D96" s="189"/>
      <x:c r="E96" s="221"/>
      <x:c r="F96" s="218" t="str">
        <x:f>IFERROR(LN(E96/C96)*10000,"")</x:f>
      </x:c>
      <x:c r="G96" s="191"/>
      <x:c r="H96" s="191"/>
      <x:c r="I96" s="191"/>
      <x:c r="J96" s="191"/>
      <x:c r="K96" s="189"/>
      <x:c r="L96" s="197" t="str">
        <x:f>IF(K96="Up",G96,IF(K96="Down",1-G96,""))</x:f>
      </x:c>
      <x:c r="M96" s="198" t="str">
        <x:f>IF(K96="Up",I96,IF(K96="Down",J96,""))</x:f>
      </x:c>
      <x:c r="N96" s="192"/>
      <x:c r="O96" s="198" t="n">
        <x:f>IF(N96="Taker",M96*'08_Bet_Calculator'!$B$18*(1-M96),0)</x:f>
        <x:v>0</x:v>
      </x:c>
      <x:c r="P96" s="192"/>
      <x:c r="Q96" s="198" t="str">
        <x:f>IF(M96="","",MIN(0.999,M96+O96+P96))</x:f>
      </x:c>
      <x:c r="R96" s="197" t="str">
        <x:f>IF(L96="","",L96-Q96)</x:f>
      </x:c>
      <x:c r="S96" s="197" t="str">
        <x:f>IF(L96="","",L96-'08_Bet_Calculator'!$B$24*H96-Q96-'08_Bet_Calculator'!$B$20)</x:f>
      </x:c>
      <x:c r="T96" s="197" t="n">
        <x:f>IF(OR(L96="",Q96&gt;=1),0,MAX(0,(MAX(0,L96-'08_Bet_Calculator'!$B$24*H96)-Q96)/(1-Q96)))</x:f>
        <x:v>0</x:v>
      </x:c>
      <x:c r="U96" s="197" t="n">
        <x:f>T96*'08_Bet_Calculator'!$B$21</x:f>
        <x:v>0</x:v>
      </x:c>
      <x:c r="V96" s="221"/>
      <x:c r="W96" s="200" t="n">
        <x:f>IF(OR(V96="",S96&lt;=0),0,MIN(V96*U96,V96*'08_Bet_Calculator'!$B$22,'08_Bet_Calculator'!$B$23))</x:f>
        <x:v>0</x:v>
      </x:c>
      <x:c r="X96" s="222" t="n">
        <x:f>IFERROR(W96/Q96,0)</x:f>
        <x:v>0</x:v>
      </x:c>
      <x:c r="Y96" s="189"/>
      <x:c r="Z96" s="196" t="str">
        <x:f>IF(OR(Y96="",K96=""),"",IF(Y96=K96,1,0))</x:f>
      </x:c>
      <x:c r="AA96" s="200" t="str">
        <x:f>IF(Z96="","",X96*(Z96-Q96))</x:f>
      </x:c>
      <x:c r="AB96" s="197" t="str">
        <x:f>IFERROR(AA96/W96,"")</x:f>
      </x:c>
      <x:c r="AC96" s="197" t="str">
        <x:f>IF(Z96="","",(L96-Z96)^2)</x:f>
      </x:c>
      <x:c r="AD96" s="198" t="str">
        <x:f>IF(Z96="","",-(Z96*LN(MAX(0.0001,L96))+(1-Z96)*LN(MAX(0.0001,1-L96))))</x:f>
      </x:c>
      <x:c r="AE96" s="189"/>
      <x:c r="AF96" s="200" t="n">
        <x:f>AF95+IF(AA96="",0,AA96)</x:f>
        <x:v>0</x:v>
      </x:c>
      <x:c r="AG96" s="200" t="n">
        <x:f>MAX(AG95,AF96)</x:f>
        <x:v>0</x:v>
      </x:c>
      <x:c r="AH96" s="200" t="n">
        <x:f>AF96-AG96</x:f>
        <x:v>0</x:v>
      </x:c>
    </x:row>
    <x:row r="97">
      <x:c r="A97" s="189"/>
      <x:c r="B97" s="189"/>
      <x:c r="C97" s="221"/>
      <x:c r="D97" s="189"/>
      <x:c r="E97" s="221"/>
      <x:c r="F97" s="218" t="str">
        <x:f>IFERROR(LN(E97/C97)*10000,"")</x:f>
      </x:c>
      <x:c r="G97" s="191"/>
      <x:c r="H97" s="191"/>
      <x:c r="I97" s="191"/>
      <x:c r="J97" s="191"/>
      <x:c r="K97" s="189"/>
      <x:c r="L97" s="197" t="str">
        <x:f>IF(K97="Up",G97,IF(K97="Down",1-G97,""))</x:f>
      </x:c>
      <x:c r="M97" s="198" t="str">
        <x:f>IF(K97="Up",I97,IF(K97="Down",J97,""))</x:f>
      </x:c>
      <x:c r="N97" s="192"/>
      <x:c r="O97" s="198" t="n">
        <x:f>IF(N97="Taker",M97*'08_Bet_Calculator'!$B$18*(1-M97),0)</x:f>
        <x:v>0</x:v>
      </x:c>
      <x:c r="P97" s="192"/>
      <x:c r="Q97" s="198" t="str">
        <x:f>IF(M97="","",MIN(0.999,M97+O97+P97))</x:f>
      </x:c>
      <x:c r="R97" s="197" t="str">
        <x:f>IF(L97="","",L97-Q97)</x:f>
      </x:c>
      <x:c r="S97" s="197" t="str">
        <x:f>IF(L97="","",L97-'08_Bet_Calculator'!$B$24*H97-Q97-'08_Bet_Calculator'!$B$20)</x:f>
      </x:c>
      <x:c r="T97" s="197" t="n">
        <x:f>IF(OR(L97="",Q97&gt;=1),0,MAX(0,(MAX(0,L97-'08_Bet_Calculator'!$B$24*H97)-Q97)/(1-Q97)))</x:f>
        <x:v>0</x:v>
      </x:c>
      <x:c r="U97" s="197" t="n">
        <x:f>T97*'08_Bet_Calculator'!$B$21</x:f>
        <x:v>0</x:v>
      </x:c>
      <x:c r="V97" s="221"/>
      <x:c r="W97" s="200" t="n">
        <x:f>IF(OR(V97="",S97&lt;=0),0,MIN(V97*U97,V97*'08_Bet_Calculator'!$B$22,'08_Bet_Calculator'!$B$23))</x:f>
        <x:v>0</x:v>
      </x:c>
      <x:c r="X97" s="222" t="n">
        <x:f>IFERROR(W97/Q97,0)</x:f>
        <x:v>0</x:v>
      </x:c>
      <x:c r="Y97" s="189"/>
      <x:c r="Z97" s="196" t="str">
        <x:f>IF(OR(Y97="",K97=""),"",IF(Y97=K97,1,0))</x:f>
      </x:c>
      <x:c r="AA97" s="200" t="str">
        <x:f>IF(Z97="","",X97*(Z97-Q97))</x:f>
      </x:c>
      <x:c r="AB97" s="197" t="str">
        <x:f>IFERROR(AA97/W97,"")</x:f>
      </x:c>
      <x:c r="AC97" s="197" t="str">
        <x:f>IF(Z97="","",(L97-Z97)^2)</x:f>
      </x:c>
      <x:c r="AD97" s="198" t="str">
        <x:f>IF(Z97="","",-(Z97*LN(MAX(0.0001,L97))+(1-Z97)*LN(MAX(0.0001,1-L97))))</x:f>
      </x:c>
      <x:c r="AE97" s="189"/>
      <x:c r="AF97" s="200" t="n">
        <x:f>AF96+IF(AA97="",0,AA97)</x:f>
        <x:v>0</x:v>
      </x:c>
      <x:c r="AG97" s="200" t="n">
        <x:f>MAX(AG96,AF97)</x:f>
        <x:v>0</x:v>
      </x:c>
      <x:c r="AH97" s="200" t="n">
        <x:f>AF97-AG97</x:f>
        <x:v>0</x:v>
      </x:c>
    </x:row>
    <x:row r="98">
      <x:c r="A98" s="189"/>
      <x:c r="B98" s="189"/>
      <x:c r="C98" s="221"/>
      <x:c r="D98" s="189"/>
      <x:c r="E98" s="221"/>
      <x:c r="F98" s="218" t="str">
        <x:f>IFERROR(LN(E98/C98)*10000,"")</x:f>
      </x:c>
      <x:c r="G98" s="191"/>
      <x:c r="H98" s="191"/>
      <x:c r="I98" s="191"/>
      <x:c r="J98" s="191"/>
      <x:c r="K98" s="189"/>
      <x:c r="L98" s="197" t="str">
        <x:f>IF(K98="Up",G98,IF(K98="Down",1-G98,""))</x:f>
      </x:c>
      <x:c r="M98" s="198" t="str">
        <x:f>IF(K98="Up",I98,IF(K98="Down",J98,""))</x:f>
      </x:c>
      <x:c r="N98" s="192"/>
      <x:c r="O98" s="198" t="n">
        <x:f>IF(N98="Taker",M98*'08_Bet_Calculator'!$B$18*(1-M98),0)</x:f>
        <x:v>0</x:v>
      </x:c>
      <x:c r="P98" s="192"/>
      <x:c r="Q98" s="198" t="str">
        <x:f>IF(M98="","",MIN(0.999,M98+O98+P98))</x:f>
      </x:c>
      <x:c r="R98" s="197" t="str">
        <x:f>IF(L98="","",L98-Q98)</x:f>
      </x:c>
      <x:c r="S98" s="197" t="str">
        <x:f>IF(L98="","",L98-'08_Bet_Calculator'!$B$24*H98-Q98-'08_Bet_Calculator'!$B$20)</x:f>
      </x:c>
      <x:c r="T98" s="197" t="n">
        <x:f>IF(OR(L98="",Q98&gt;=1),0,MAX(0,(MAX(0,L98-'08_Bet_Calculator'!$B$24*H98)-Q98)/(1-Q98)))</x:f>
        <x:v>0</x:v>
      </x:c>
      <x:c r="U98" s="197" t="n">
        <x:f>T98*'08_Bet_Calculator'!$B$21</x:f>
        <x:v>0</x:v>
      </x:c>
      <x:c r="V98" s="221"/>
      <x:c r="W98" s="200" t="n">
        <x:f>IF(OR(V98="",S98&lt;=0),0,MIN(V98*U98,V98*'08_Bet_Calculator'!$B$22,'08_Bet_Calculator'!$B$23))</x:f>
        <x:v>0</x:v>
      </x:c>
      <x:c r="X98" s="222" t="n">
        <x:f>IFERROR(W98/Q98,0)</x:f>
        <x:v>0</x:v>
      </x:c>
      <x:c r="Y98" s="189"/>
      <x:c r="Z98" s="196" t="str">
        <x:f>IF(OR(Y98="",K98=""),"",IF(Y98=K98,1,0))</x:f>
      </x:c>
      <x:c r="AA98" s="200" t="str">
        <x:f>IF(Z98="","",X98*(Z98-Q98))</x:f>
      </x:c>
      <x:c r="AB98" s="197" t="str">
        <x:f>IFERROR(AA98/W98,"")</x:f>
      </x:c>
      <x:c r="AC98" s="197" t="str">
        <x:f>IF(Z98="","",(L98-Z98)^2)</x:f>
      </x:c>
      <x:c r="AD98" s="198" t="str">
        <x:f>IF(Z98="","",-(Z98*LN(MAX(0.0001,L98))+(1-Z98)*LN(MAX(0.0001,1-L98))))</x:f>
      </x:c>
      <x:c r="AE98" s="189"/>
      <x:c r="AF98" s="200" t="n">
        <x:f>AF97+IF(AA98="",0,AA98)</x:f>
        <x:v>0</x:v>
      </x:c>
      <x:c r="AG98" s="200" t="n">
        <x:f>MAX(AG97,AF98)</x:f>
        <x:v>0</x:v>
      </x:c>
      <x:c r="AH98" s="200" t="n">
        <x:f>AF98-AG98</x:f>
        <x:v>0</x:v>
      </x:c>
    </x:row>
    <x:row r="99">
      <x:c r="A99" s="189"/>
      <x:c r="B99" s="189"/>
      <x:c r="C99" s="221"/>
      <x:c r="D99" s="189"/>
      <x:c r="E99" s="221"/>
      <x:c r="F99" s="218" t="str">
        <x:f>IFERROR(LN(E99/C99)*10000,"")</x:f>
      </x:c>
      <x:c r="G99" s="191"/>
      <x:c r="H99" s="191"/>
      <x:c r="I99" s="191"/>
      <x:c r="J99" s="191"/>
      <x:c r="K99" s="189"/>
      <x:c r="L99" s="197" t="str">
        <x:f>IF(K99="Up",G99,IF(K99="Down",1-G99,""))</x:f>
      </x:c>
      <x:c r="M99" s="198" t="str">
        <x:f>IF(K99="Up",I99,IF(K99="Down",J99,""))</x:f>
      </x:c>
      <x:c r="N99" s="192"/>
      <x:c r="O99" s="198" t="n">
        <x:f>IF(N99="Taker",M99*'08_Bet_Calculator'!$B$18*(1-M99),0)</x:f>
        <x:v>0</x:v>
      </x:c>
      <x:c r="P99" s="192"/>
      <x:c r="Q99" s="198" t="str">
        <x:f>IF(M99="","",MIN(0.999,M99+O99+P99))</x:f>
      </x:c>
      <x:c r="R99" s="197" t="str">
        <x:f>IF(L99="","",L99-Q99)</x:f>
      </x:c>
      <x:c r="S99" s="197" t="str">
        <x:f>IF(L99="","",L99-'08_Bet_Calculator'!$B$24*H99-Q99-'08_Bet_Calculator'!$B$20)</x:f>
      </x:c>
      <x:c r="T99" s="197" t="n">
        <x:f>IF(OR(L99="",Q99&gt;=1),0,MAX(0,(MAX(0,L99-'08_Bet_Calculator'!$B$24*H99)-Q99)/(1-Q99)))</x:f>
        <x:v>0</x:v>
      </x:c>
      <x:c r="U99" s="197" t="n">
        <x:f>T99*'08_Bet_Calculator'!$B$21</x:f>
        <x:v>0</x:v>
      </x:c>
      <x:c r="V99" s="221"/>
      <x:c r="W99" s="200" t="n">
        <x:f>IF(OR(V99="",S99&lt;=0),0,MIN(V99*U99,V99*'08_Bet_Calculator'!$B$22,'08_Bet_Calculator'!$B$23))</x:f>
        <x:v>0</x:v>
      </x:c>
      <x:c r="X99" s="222" t="n">
        <x:f>IFERROR(W99/Q99,0)</x:f>
        <x:v>0</x:v>
      </x:c>
      <x:c r="Y99" s="189"/>
      <x:c r="Z99" s="196" t="str">
        <x:f>IF(OR(Y99="",K99=""),"",IF(Y99=K99,1,0))</x:f>
      </x:c>
      <x:c r="AA99" s="200" t="str">
        <x:f>IF(Z99="","",X99*(Z99-Q99))</x:f>
      </x:c>
      <x:c r="AB99" s="197" t="str">
        <x:f>IFERROR(AA99/W99,"")</x:f>
      </x:c>
      <x:c r="AC99" s="197" t="str">
        <x:f>IF(Z99="","",(L99-Z99)^2)</x:f>
      </x:c>
      <x:c r="AD99" s="198" t="str">
        <x:f>IF(Z99="","",-(Z99*LN(MAX(0.0001,L99))+(1-Z99)*LN(MAX(0.0001,1-L99))))</x:f>
      </x:c>
      <x:c r="AE99" s="189"/>
      <x:c r="AF99" s="200" t="n">
        <x:f>AF98+IF(AA99="",0,AA99)</x:f>
        <x:v>0</x:v>
      </x:c>
      <x:c r="AG99" s="200" t="n">
        <x:f>MAX(AG98,AF99)</x:f>
        <x:v>0</x:v>
      </x:c>
      <x:c r="AH99" s="200" t="n">
        <x:f>AF99-AG99</x:f>
        <x:v>0</x:v>
      </x:c>
    </x:row>
    <x:row r="100">
      <x:c r="A100" s="189"/>
      <x:c r="B100" s="189"/>
      <x:c r="C100" s="221"/>
      <x:c r="D100" s="189"/>
      <x:c r="E100" s="221"/>
      <x:c r="F100" s="218" t="str">
        <x:f>IFERROR(LN(E100/C100)*10000,"")</x:f>
      </x:c>
      <x:c r="G100" s="191"/>
      <x:c r="H100" s="191"/>
      <x:c r="I100" s="191"/>
      <x:c r="J100" s="191"/>
      <x:c r="K100" s="189"/>
      <x:c r="L100" s="197" t="str">
        <x:f>IF(K100="Up",G100,IF(K100="Down",1-G100,""))</x:f>
      </x:c>
      <x:c r="M100" s="198" t="str">
        <x:f>IF(K100="Up",I100,IF(K100="Down",J100,""))</x:f>
      </x:c>
      <x:c r="N100" s="192"/>
      <x:c r="O100" s="198" t="n">
        <x:f>IF(N100="Taker",M100*'08_Bet_Calculator'!$B$18*(1-M100),0)</x:f>
        <x:v>0</x:v>
      </x:c>
      <x:c r="P100" s="192"/>
      <x:c r="Q100" s="198" t="str">
        <x:f>IF(M100="","",MIN(0.999,M100+O100+P100))</x:f>
      </x:c>
      <x:c r="R100" s="197" t="str">
        <x:f>IF(L100="","",L100-Q100)</x:f>
      </x:c>
      <x:c r="S100" s="197" t="str">
        <x:f>IF(L100="","",L100-'08_Bet_Calculator'!$B$24*H100-Q100-'08_Bet_Calculator'!$B$20)</x:f>
      </x:c>
      <x:c r="T100" s="197" t="n">
        <x:f>IF(OR(L100="",Q100&gt;=1),0,MAX(0,(MAX(0,L100-'08_Bet_Calculator'!$B$24*H100)-Q100)/(1-Q100)))</x:f>
        <x:v>0</x:v>
      </x:c>
      <x:c r="U100" s="197" t="n">
        <x:f>T100*'08_Bet_Calculator'!$B$21</x:f>
        <x:v>0</x:v>
      </x:c>
      <x:c r="V100" s="221"/>
      <x:c r="W100" s="200" t="n">
        <x:f>IF(OR(V100="",S100&lt;=0),0,MIN(V100*U100,V100*'08_Bet_Calculator'!$B$22,'08_Bet_Calculator'!$B$23))</x:f>
        <x:v>0</x:v>
      </x:c>
      <x:c r="X100" s="222" t="n">
        <x:f>IFERROR(W100/Q100,0)</x:f>
        <x:v>0</x:v>
      </x:c>
      <x:c r="Y100" s="189"/>
      <x:c r="Z100" s="196" t="str">
        <x:f>IF(OR(Y100="",K100=""),"",IF(Y100=K100,1,0))</x:f>
      </x:c>
      <x:c r="AA100" s="200" t="str">
        <x:f>IF(Z100="","",X100*(Z100-Q100))</x:f>
      </x:c>
      <x:c r="AB100" s="197" t="str">
        <x:f>IFERROR(AA100/W100,"")</x:f>
      </x:c>
      <x:c r="AC100" s="197" t="str">
        <x:f>IF(Z100="","",(L100-Z100)^2)</x:f>
      </x:c>
      <x:c r="AD100" s="198" t="str">
        <x:f>IF(Z100="","",-(Z100*LN(MAX(0.0001,L100))+(1-Z100)*LN(MAX(0.0001,1-L100))))</x:f>
      </x:c>
      <x:c r="AE100" s="189"/>
      <x:c r="AF100" s="200" t="n">
        <x:f>AF99+IF(AA100="",0,AA100)</x:f>
        <x:v>0</x:v>
      </x:c>
      <x:c r="AG100" s="200" t="n">
        <x:f>MAX(AG99,AF100)</x:f>
        <x:v>0</x:v>
      </x:c>
      <x:c r="AH100" s="200" t="n">
        <x:f>AF100-AG100</x:f>
        <x:v>0</x:v>
      </x:c>
    </x:row>
    <x:row r="101">
      <x:c r="A101" s="189"/>
      <x:c r="B101" s="189"/>
      <x:c r="C101" s="221"/>
      <x:c r="D101" s="189"/>
      <x:c r="E101" s="221"/>
      <x:c r="F101" s="218" t="str">
        <x:f>IFERROR(LN(E101/C101)*10000,"")</x:f>
      </x:c>
      <x:c r="G101" s="191"/>
      <x:c r="H101" s="191"/>
      <x:c r="I101" s="191"/>
      <x:c r="J101" s="191"/>
      <x:c r="K101" s="189"/>
      <x:c r="L101" s="197" t="str">
        <x:f>IF(K101="Up",G101,IF(K101="Down",1-G101,""))</x:f>
      </x:c>
      <x:c r="M101" s="198" t="str">
        <x:f>IF(K101="Up",I101,IF(K101="Down",J101,""))</x:f>
      </x:c>
      <x:c r="N101" s="192"/>
      <x:c r="O101" s="198" t="n">
        <x:f>IF(N101="Taker",M101*'08_Bet_Calculator'!$B$18*(1-M101),0)</x:f>
        <x:v>0</x:v>
      </x:c>
      <x:c r="P101" s="192"/>
      <x:c r="Q101" s="198" t="str">
        <x:f>IF(M101="","",MIN(0.999,M101+O101+P101))</x:f>
      </x:c>
      <x:c r="R101" s="197" t="str">
        <x:f>IF(L101="","",L101-Q101)</x:f>
      </x:c>
      <x:c r="S101" s="197" t="str">
        <x:f>IF(L101="","",L101-'08_Bet_Calculator'!$B$24*H101-Q101-'08_Bet_Calculator'!$B$20)</x:f>
      </x:c>
      <x:c r="T101" s="197" t="n">
        <x:f>IF(OR(L101="",Q101&gt;=1),0,MAX(0,(MAX(0,L101-'08_Bet_Calculator'!$B$24*H101)-Q101)/(1-Q101)))</x:f>
        <x:v>0</x:v>
      </x:c>
      <x:c r="U101" s="197" t="n">
        <x:f>T101*'08_Bet_Calculator'!$B$21</x:f>
        <x:v>0</x:v>
      </x:c>
      <x:c r="V101" s="221"/>
      <x:c r="W101" s="200" t="n">
        <x:f>IF(OR(V101="",S101&lt;=0),0,MIN(V101*U101,V101*'08_Bet_Calculator'!$B$22,'08_Bet_Calculator'!$B$23))</x:f>
        <x:v>0</x:v>
      </x:c>
      <x:c r="X101" s="222" t="n">
        <x:f>IFERROR(W101/Q101,0)</x:f>
        <x:v>0</x:v>
      </x:c>
      <x:c r="Y101" s="189"/>
      <x:c r="Z101" s="196" t="str">
        <x:f>IF(OR(Y101="",K101=""),"",IF(Y101=K101,1,0))</x:f>
      </x:c>
      <x:c r="AA101" s="200" t="str">
        <x:f>IF(Z101="","",X101*(Z101-Q101))</x:f>
      </x:c>
      <x:c r="AB101" s="197" t="str">
        <x:f>IFERROR(AA101/W101,"")</x:f>
      </x:c>
      <x:c r="AC101" s="197" t="str">
        <x:f>IF(Z101="","",(L101-Z101)^2)</x:f>
      </x:c>
      <x:c r="AD101" s="198" t="str">
        <x:f>IF(Z101="","",-(Z101*LN(MAX(0.0001,L101))+(1-Z101)*LN(MAX(0.0001,1-L101))))</x:f>
      </x:c>
      <x:c r="AE101" s="189"/>
      <x:c r="AF101" s="200" t="n">
        <x:f>AF100+IF(AA101="",0,AA101)</x:f>
        <x:v>0</x:v>
      </x:c>
      <x:c r="AG101" s="200" t="n">
        <x:f>MAX(AG100,AF101)</x:f>
        <x:v>0</x:v>
      </x:c>
      <x:c r="AH101" s="200" t="n">
        <x:f>AF101-AG101</x:f>
        <x:v>0</x:v>
      </x:c>
    </x:row>
    <x:row r="102">
      <x:c r="A102" s="189"/>
      <x:c r="B102" s="189"/>
      <x:c r="C102" s="221"/>
      <x:c r="D102" s="189"/>
      <x:c r="E102" s="221"/>
      <x:c r="F102" s="218" t="str">
        <x:f>IFERROR(LN(E102/C102)*10000,"")</x:f>
      </x:c>
      <x:c r="G102" s="191"/>
      <x:c r="H102" s="191"/>
      <x:c r="I102" s="191"/>
      <x:c r="J102" s="191"/>
      <x:c r="K102" s="189"/>
      <x:c r="L102" s="197" t="str">
        <x:f>IF(K102="Up",G102,IF(K102="Down",1-G102,""))</x:f>
      </x:c>
      <x:c r="M102" s="198" t="str">
        <x:f>IF(K102="Up",I102,IF(K102="Down",J102,""))</x:f>
      </x:c>
      <x:c r="N102" s="192"/>
      <x:c r="O102" s="198" t="n">
        <x:f>IF(N102="Taker",M102*'08_Bet_Calculator'!$B$18*(1-M102),0)</x:f>
        <x:v>0</x:v>
      </x:c>
      <x:c r="P102" s="192"/>
      <x:c r="Q102" s="198" t="str">
        <x:f>IF(M102="","",MIN(0.999,M102+O102+P102))</x:f>
      </x:c>
      <x:c r="R102" s="197" t="str">
        <x:f>IF(L102="","",L102-Q102)</x:f>
      </x:c>
      <x:c r="S102" s="197" t="str">
        <x:f>IF(L102="","",L102-'08_Bet_Calculator'!$B$24*H102-Q102-'08_Bet_Calculator'!$B$20)</x:f>
      </x:c>
      <x:c r="T102" s="197" t="n">
        <x:f>IF(OR(L102="",Q102&gt;=1),0,MAX(0,(MAX(0,L102-'08_Bet_Calculator'!$B$24*H102)-Q102)/(1-Q102)))</x:f>
        <x:v>0</x:v>
      </x:c>
      <x:c r="U102" s="197" t="n">
        <x:f>T102*'08_Bet_Calculator'!$B$21</x:f>
        <x:v>0</x:v>
      </x:c>
      <x:c r="V102" s="221"/>
      <x:c r="W102" s="200" t="n">
        <x:f>IF(OR(V102="",S102&lt;=0),0,MIN(V102*U102,V102*'08_Bet_Calculator'!$B$22,'08_Bet_Calculator'!$B$23))</x:f>
        <x:v>0</x:v>
      </x:c>
      <x:c r="X102" s="222" t="n">
        <x:f>IFERROR(W102/Q102,0)</x:f>
        <x:v>0</x:v>
      </x:c>
      <x:c r="Y102" s="189"/>
      <x:c r="Z102" s="196" t="str">
        <x:f>IF(OR(Y102="",K102=""),"",IF(Y102=K102,1,0))</x:f>
      </x:c>
      <x:c r="AA102" s="200" t="str">
        <x:f>IF(Z102="","",X102*(Z102-Q102))</x:f>
      </x:c>
      <x:c r="AB102" s="197" t="str">
        <x:f>IFERROR(AA102/W102,"")</x:f>
      </x:c>
      <x:c r="AC102" s="197" t="str">
        <x:f>IF(Z102="","",(L102-Z102)^2)</x:f>
      </x:c>
      <x:c r="AD102" s="198" t="str">
        <x:f>IF(Z102="","",-(Z102*LN(MAX(0.0001,L102))+(1-Z102)*LN(MAX(0.0001,1-L102))))</x:f>
      </x:c>
      <x:c r="AE102" s="189"/>
      <x:c r="AF102" s="200" t="n">
        <x:f>AF101+IF(AA102="",0,AA102)</x:f>
        <x:v>0</x:v>
      </x:c>
      <x:c r="AG102" s="200" t="n">
        <x:f>MAX(AG101,AF102)</x:f>
        <x:v>0</x:v>
      </x:c>
      <x:c r="AH102" s="200" t="n">
        <x:f>AF102-AG102</x:f>
        <x:v>0</x:v>
      </x:c>
    </x:row>
    <x:row r="103">
      <x:c r="A103" s="189"/>
      <x:c r="B103" s="189"/>
      <x:c r="C103" s="221"/>
      <x:c r="D103" s="189"/>
      <x:c r="E103" s="221"/>
      <x:c r="F103" s="218" t="str">
        <x:f>IFERROR(LN(E103/C103)*10000,"")</x:f>
      </x:c>
      <x:c r="G103" s="191"/>
      <x:c r="H103" s="191"/>
      <x:c r="I103" s="191"/>
      <x:c r="J103" s="191"/>
      <x:c r="K103" s="189"/>
      <x:c r="L103" s="197" t="str">
        <x:f>IF(K103="Up",G103,IF(K103="Down",1-G103,""))</x:f>
      </x:c>
      <x:c r="M103" s="198" t="str">
        <x:f>IF(K103="Up",I103,IF(K103="Down",J103,""))</x:f>
      </x:c>
      <x:c r="N103" s="192"/>
      <x:c r="O103" s="198" t="n">
        <x:f>IF(N103="Taker",M103*'08_Bet_Calculator'!$B$18*(1-M103),0)</x:f>
        <x:v>0</x:v>
      </x:c>
      <x:c r="P103" s="192"/>
      <x:c r="Q103" s="198" t="str">
        <x:f>IF(M103="","",MIN(0.999,M103+O103+P103))</x:f>
      </x:c>
      <x:c r="R103" s="197" t="str">
        <x:f>IF(L103="","",L103-Q103)</x:f>
      </x:c>
      <x:c r="S103" s="197" t="str">
        <x:f>IF(L103="","",L103-'08_Bet_Calculator'!$B$24*H103-Q103-'08_Bet_Calculator'!$B$20)</x:f>
      </x:c>
      <x:c r="T103" s="197" t="n">
        <x:f>IF(OR(L103="",Q103&gt;=1),0,MAX(0,(MAX(0,L103-'08_Bet_Calculator'!$B$24*H103)-Q103)/(1-Q103)))</x:f>
        <x:v>0</x:v>
      </x:c>
      <x:c r="U103" s="197" t="n">
        <x:f>T103*'08_Bet_Calculator'!$B$21</x:f>
        <x:v>0</x:v>
      </x:c>
      <x:c r="V103" s="221"/>
      <x:c r="W103" s="200" t="n">
        <x:f>IF(OR(V103="",S103&lt;=0),0,MIN(V103*U103,V103*'08_Bet_Calculator'!$B$22,'08_Bet_Calculator'!$B$23))</x:f>
        <x:v>0</x:v>
      </x:c>
      <x:c r="X103" s="222" t="n">
        <x:f>IFERROR(W103/Q103,0)</x:f>
        <x:v>0</x:v>
      </x:c>
      <x:c r="Y103" s="189"/>
      <x:c r="Z103" s="196" t="str">
        <x:f>IF(OR(Y103="",K103=""),"",IF(Y103=K103,1,0))</x:f>
      </x:c>
      <x:c r="AA103" s="200" t="str">
        <x:f>IF(Z103="","",X103*(Z103-Q103))</x:f>
      </x:c>
      <x:c r="AB103" s="197" t="str">
        <x:f>IFERROR(AA103/W103,"")</x:f>
      </x:c>
      <x:c r="AC103" s="197" t="str">
        <x:f>IF(Z103="","",(L103-Z103)^2)</x:f>
      </x:c>
      <x:c r="AD103" s="198" t="str">
        <x:f>IF(Z103="","",-(Z103*LN(MAX(0.0001,L103))+(1-Z103)*LN(MAX(0.0001,1-L103))))</x:f>
      </x:c>
      <x:c r="AE103" s="189"/>
      <x:c r="AF103" s="200" t="n">
        <x:f>AF102+IF(AA103="",0,AA103)</x:f>
        <x:v>0</x:v>
      </x:c>
      <x:c r="AG103" s="200" t="n">
        <x:f>MAX(AG102,AF103)</x:f>
        <x:v>0</x:v>
      </x:c>
      <x:c r="AH103" s="200" t="n">
        <x:f>AF103-AG103</x:f>
        <x:v>0</x:v>
      </x:c>
    </x:row>
    <x:row r="104">
      <x:c r="A104" s="189"/>
      <x:c r="B104" s="189"/>
      <x:c r="C104" s="221"/>
      <x:c r="D104" s="189"/>
      <x:c r="E104" s="221"/>
      <x:c r="F104" s="218" t="str">
        <x:f>IFERROR(LN(E104/C104)*10000,"")</x:f>
      </x:c>
      <x:c r="G104" s="191"/>
      <x:c r="H104" s="191"/>
      <x:c r="I104" s="191"/>
      <x:c r="J104" s="191"/>
      <x:c r="K104" s="189"/>
      <x:c r="L104" s="197" t="str">
        <x:f>IF(K104="Up",G104,IF(K104="Down",1-G104,""))</x:f>
      </x:c>
      <x:c r="M104" s="198" t="str">
        <x:f>IF(K104="Up",I104,IF(K104="Down",J104,""))</x:f>
      </x:c>
      <x:c r="N104" s="192"/>
      <x:c r="O104" s="198" t="n">
        <x:f>IF(N104="Taker",M104*'08_Bet_Calculator'!$B$18*(1-M104),0)</x:f>
        <x:v>0</x:v>
      </x:c>
      <x:c r="P104" s="192"/>
      <x:c r="Q104" s="198" t="str">
        <x:f>IF(M104="","",MIN(0.999,M104+O104+P104))</x:f>
      </x:c>
      <x:c r="R104" s="197" t="str">
        <x:f>IF(L104="","",L104-Q104)</x:f>
      </x:c>
      <x:c r="S104" s="197" t="str">
        <x:f>IF(L104="","",L104-'08_Bet_Calculator'!$B$24*H104-Q104-'08_Bet_Calculator'!$B$20)</x:f>
      </x:c>
      <x:c r="T104" s="197" t="n">
        <x:f>IF(OR(L104="",Q104&gt;=1),0,MAX(0,(MAX(0,L104-'08_Bet_Calculator'!$B$24*H104)-Q104)/(1-Q104)))</x:f>
        <x:v>0</x:v>
      </x:c>
      <x:c r="U104" s="197" t="n">
        <x:f>T104*'08_Bet_Calculator'!$B$21</x:f>
        <x:v>0</x:v>
      </x:c>
      <x:c r="V104" s="221"/>
      <x:c r="W104" s="200" t="n">
        <x:f>IF(OR(V104="",S104&lt;=0),0,MIN(V104*U104,V104*'08_Bet_Calculator'!$B$22,'08_Bet_Calculator'!$B$23))</x:f>
        <x:v>0</x:v>
      </x:c>
      <x:c r="X104" s="222" t="n">
        <x:f>IFERROR(W104/Q104,0)</x:f>
        <x:v>0</x:v>
      </x:c>
      <x:c r="Y104" s="189"/>
      <x:c r="Z104" s="196" t="str">
        <x:f>IF(OR(Y104="",K104=""),"",IF(Y104=K104,1,0))</x:f>
      </x:c>
      <x:c r="AA104" s="200" t="str">
        <x:f>IF(Z104="","",X104*(Z104-Q104))</x:f>
      </x:c>
      <x:c r="AB104" s="197" t="str">
        <x:f>IFERROR(AA104/W104,"")</x:f>
      </x:c>
      <x:c r="AC104" s="197" t="str">
        <x:f>IF(Z104="","",(L104-Z104)^2)</x:f>
      </x:c>
      <x:c r="AD104" s="198" t="str">
        <x:f>IF(Z104="","",-(Z104*LN(MAX(0.0001,L104))+(1-Z104)*LN(MAX(0.0001,1-L104))))</x:f>
      </x:c>
      <x:c r="AE104" s="189"/>
      <x:c r="AF104" s="200" t="n">
        <x:f>AF103+IF(AA104="",0,AA104)</x:f>
        <x:v>0</x:v>
      </x:c>
      <x:c r="AG104" s="200" t="n">
        <x:f>MAX(AG103,AF104)</x:f>
        <x:v>0</x:v>
      </x:c>
      <x:c r="AH104" s="200" t="n">
        <x:f>AF104-AG104</x:f>
        <x:v>0</x:v>
      </x:c>
    </x:row>
    <x:row r="105">
      <x:c r="A105" s="189"/>
      <x:c r="B105" s="189"/>
      <x:c r="C105" s="221"/>
      <x:c r="D105" s="189"/>
      <x:c r="E105" s="221"/>
      <x:c r="F105" s="218" t="str">
        <x:f>IFERROR(LN(E105/C105)*10000,"")</x:f>
      </x:c>
      <x:c r="G105" s="191"/>
      <x:c r="H105" s="191"/>
      <x:c r="I105" s="191"/>
      <x:c r="J105" s="191"/>
      <x:c r="K105" s="189"/>
      <x:c r="L105" s="197" t="str">
        <x:f>IF(K105="Up",G105,IF(K105="Down",1-G105,""))</x:f>
      </x:c>
      <x:c r="M105" s="198" t="str">
        <x:f>IF(K105="Up",I105,IF(K105="Down",J105,""))</x:f>
      </x:c>
      <x:c r="N105" s="192"/>
      <x:c r="O105" s="198" t="n">
        <x:f>IF(N105="Taker",M105*'08_Bet_Calculator'!$B$18*(1-M105),0)</x:f>
        <x:v>0</x:v>
      </x:c>
      <x:c r="P105" s="192"/>
      <x:c r="Q105" s="198" t="str">
        <x:f>IF(M105="","",MIN(0.999,M105+O105+P105))</x:f>
      </x:c>
      <x:c r="R105" s="197" t="str">
        <x:f>IF(L105="","",L105-Q105)</x:f>
      </x:c>
      <x:c r="S105" s="197" t="str">
        <x:f>IF(L105="","",L105-'08_Bet_Calculator'!$B$24*H105-Q105-'08_Bet_Calculator'!$B$20)</x:f>
      </x:c>
      <x:c r="T105" s="197" t="n">
        <x:f>IF(OR(L105="",Q105&gt;=1),0,MAX(0,(MAX(0,L105-'08_Bet_Calculator'!$B$24*H105)-Q105)/(1-Q105)))</x:f>
        <x:v>0</x:v>
      </x:c>
      <x:c r="U105" s="197" t="n">
        <x:f>T105*'08_Bet_Calculator'!$B$21</x:f>
        <x:v>0</x:v>
      </x:c>
      <x:c r="V105" s="221"/>
      <x:c r="W105" s="200" t="n">
        <x:f>IF(OR(V105="",S105&lt;=0),0,MIN(V105*U105,V105*'08_Bet_Calculator'!$B$22,'08_Bet_Calculator'!$B$23))</x:f>
        <x:v>0</x:v>
      </x:c>
      <x:c r="X105" s="222" t="n">
        <x:f>IFERROR(W105/Q105,0)</x:f>
        <x:v>0</x:v>
      </x:c>
      <x:c r="Y105" s="189"/>
      <x:c r="Z105" s="196" t="str">
        <x:f>IF(OR(Y105="",K105=""),"",IF(Y105=K105,1,0))</x:f>
      </x:c>
      <x:c r="AA105" s="200" t="str">
        <x:f>IF(Z105="","",X105*(Z105-Q105))</x:f>
      </x:c>
      <x:c r="AB105" s="197" t="str">
        <x:f>IFERROR(AA105/W105,"")</x:f>
      </x:c>
      <x:c r="AC105" s="197" t="str">
        <x:f>IF(Z105="","",(L105-Z105)^2)</x:f>
      </x:c>
      <x:c r="AD105" s="198" t="str">
        <x:f>IF(Z105="","",-(Z105*LN(MAX(0.0001,L105))+(1-Z105)*LN(MAX(0.0001,1-L105))))</x:f>
      </x:c>
      <x:c r="AE105" s="189"/>
      <x:c r="AF105" s="200" t="n">
        <x:f>AF104+IF(AA105="",0,AA105)</x:f>
        <x:v>0</x:v>
      </x:c>
      <x:c r="AG105" s="200" t="n">
        <x:f>MAX(AG104,AF105)</x:f>
        <x:v>0</x:v>
      </x:c>
      <x:c r="AH105" s="200" t="n">
        <x:f>AF105-AG105</x:f>
        <x:v>0</x:v>
      </x:c>
    </x:row>
    <x:row r="106">
      <x:c r="A106" s="189"/>
      <x:c r="B106" s="189"/>
      <x:c r="C106" s="221"/>
      <x:c r="D106" s="189"/>
      <x:c r="E106" s="221"/>
      <x:c r="F106" s="218" t="str">
        <x:f>IFERROR(LN(E106/C106)*10000,"")</x:f>
      </x:c>
      <x:c r="G106" s="191"/>
      <x:c r="H106" s="191"/>
      <x:c r="I106" s="191"/>
      <x:c r="J106" s="191"/>
      <x:c r="K106" s="189"/>
      <x:c r="L106" s="197" t="str">
        <x:f>IF(K106="Up",G106,IF(K106="Down",1-G106,""))</x:f>
      </x:c>
      <x:c r="M106" s="198" t="str">
        <x:f>IF(K106="Up",I106,IF(K106="Down",J106,""))</x:f>
      </x:c>
      <x:c r="N106" s="192"/>
      <x:c r="O106" s="198" t="n">
        <x:f>IF(N106="Taker",M106*'08_Bet_Calculator'!$B$18*(1-M106),0)</x:f>
        <x:v>0</x:v>
      </x:c>
      <x:c r="P106" s="192"/>
      <x:c r="Q106" s="198" t="str">
        <x:f>IF(M106="","",MIN(0.999,M106+O106+P106))</x:f>
      </x:c>
      <x:c r="R106" s="197" t="str">
        <x:f>IF(L106="","",L106-Q106)</x:f>
      </x:c>
      <x:c r="S106" s="197" t="str">
        <x:f>IF(L106="","",L106-'08_Bet_Calculator'!$B$24*H106-Q106-'08_Bet_Calculator'!$B$20)</x:f>
      </x:c>
      <x:c r="T106" s="197" t="n">
        <x:f>IF(OR(L106="",Q106&gt;=1),0,MAX(0,(MAX(0,L106-'08_Bet_Calculator'!$B$24*H106)-Q106)/(1-Q106)))</x:f>
        <x:v>0</x:v>
      </x:c>
      <x:c r="U106" s="197" t="n">
        <x:f>T106*'08_Bet_Calculator'!$B$21</x:f>
        <x:v>0</x:v>
      </x:c>
      <x:c r="V106" s="221"/>
      <x:c r="W106" s="200" t="n">
        <x:f>IF(OR(V106="",S106&lt;=0),0,MIN(V106*U106,V106*'08_Bet_Calculator'!$B$22,'08_Bet_Calculator'!$B$23))</x:f>
        <x:v>0</x:v>
      </x:c>
      <x:c r="X106" s="222" t="n">
        <x:f>IFERROR(W106/Q106,0)</x:f>
        <x:v>0</x:v>
      </x:c>
      <x:c r="Y106" s="189"/>
      <x:c r="Z106" s="196" t="str">
        <x:f>IF(OR(Y106="",K106=""),"",IF(Y106=K106,1,0))</x:f>
      </x:c>
      <x:c r="AA106" s="200" t="str">
        <x:f>IF(Z106="","",X106*(Z106-Q106))</x:f>
      </x:c>
      <x:c r="AB106" s="197" t="str">
        <x:f>IFERROR(AA106/W106,"")</x:f>
      </x:c>
      <x:c r="AC106" s="197" t="str">
        <x:f>IF(Z106="","",(L106-Z106)^2)</x:f>
      </x:c>
      <x:c r="AD106" s="198" t="str">
        <x:f>IF(Z106="","",-(Z106*LN(MAX(0.0001,L106))+(1-Z106)*LN(MAX(0.0001,1-L106))))</x:f>
      </x:c>
      <x:c r="AE106" s="189"/>
      <x:c r="AF106" s="200" t="n">
        <x:f>AF105+IF(AA106="",0,AA106)</x:f>
        <x:v>0</x:v>
      </x:c>
      <x:c r="AG106" s="200" t="n">
        <x:f>MAX(AG105,AF106)</x:f>
        <x:v>0</x:v>
      </x:c>
      <x:c r="AH106" s="200" t="n">
        <x:f>AF106-AG106</x:f>
        <x:v>0</x:v>
      </x:c>
    </x:row>
    <x:row r="107">
      <x:c r="A107" s="189"/>
      <x:c r="B107" s="189"/>
      <x:c r="C107" s="221"/>
      <x:c r="D107" s="189"/>
      <x:c r="E107" s="221"/>
      <x:c r="F107" s="218" t="str">
        <x:f>IFERROR(LN(E107/C107)*10000,"")</x:f>
      </x:c>
      <x:c r="G107" s="191"/>
      <x:c r="H107" s="191"/>
      <x:c r="I107" s="191"/>
      <x:c r="J107" s="191"/>
      <x:c r="K107" s="189"/>
      <x:c r="L107" s="197" t="str">
        <x:f>IF(K107="Up",G107,IF(K107="Down",1-G107,""))</x:f>
      </x:c>
      <x:c r="M107" s="198" t="str">
        <x:f>IF(K107="Up",I107,IF(K107="Down",J107,""))</x:f>
      </x:c>
      <x:c r="N107" s="192"/>
      <x:c r="O107" s="198" t="n">
        <x:f>IF(N107="Taker",M107*'08_Bet_Calculator'!$B$18*(1-M107),0)</x:f>
        <x:v>0</x:v>
      </x:c>
      <x:c r="P107" s="192"/>
      <x:c r="Q107" s="198" t="str">
        <x:f>IF(M107="","",MIN(0.999,M107+O107+P107))</x:f>
      </x:c>
      <x:c r="R107" s="197" t="str">
        <x:f>IF(L107="","",L107-Q107)</x:f>
      </x:c>
      <x:c r="S107" s="197" t="str">
        <x:f>IF(L107="","",L107-'08_Bet_Calculator'!$B$24*H107-Q107-'08_Bet_Calculator'!$B$20)</x:f>
      </x:c>
      <x:c r="T107" s="197" t="n">
        <x:f>IF(OR(L107="",Q107&gt;=1),0,MAX(0,(MAX(0,L107-'08_Bet_Calculator'!$B$24*H107)-Q107)/(1-Q107)))</x:f>
        <x:v>0</x:v>
      </x:c>
      <x:c r="U107" s="197" t="n">
        <x:f>T107*'08_Bet_Calculator'!$B$21</x:f>
        <x:v>0</x:v>
      </x:c>
      <x:c r="V107" s="221"/>
      <x:c r="W107" s="200" t="n">
        <x:f>IF(OR(V107="",S107&lt;=0),0,MIN(V107*U107,V107*'08_Bet_Calculator'!$B$22,'08_Bet_Calculator'!$B$23))</x:f>
        <x:v>0</x:v>
      </x:c>
      <x:c r="X107" s="222" t="n">
        <x:f>IFERROR(W107/Q107,0)</x:f>
        <x:v>0</x:v>
      </x:c>
      <x:c r="Y107" s="189"/>
      <x:c r="Z107" s="196" t="str">
        <x:f>IF(OR(Y107="",K107=""),"",IF(Y107=K107,1,0))</x:f>
      </x:c>
      <x:c r="AA107" s="200" t="str">
        <x:f>IF(Z107="","",X107*(Z107-Q107))</x:f>
      </x:c>
      <x:c r="AB107" s="197" t="str">
        <x:f>IFERROR(AA107/W107,"")</x:f>
      </x:c>
      <x:c r="AC107" s="197" t="str">
        <x:f>IF(Z107="","",(L107-Z107)^2)</x:f>
      </x:c>
      <x:c r="AD107" s="198" t="str">
        <x:f>IF(Z107="","",-(Z107*LN(MAX(0.0001,L107))+(1-Z107)*LN(MAX(0.0001,1-L107))))</x:f>
      </x:c>
      <x:c r="AE107" s="189"/>
      <x:c r="AF107" s="200" t="n">
        <x:f>AF106+IF(AA107="",0,AA107)</x:f>
        <x:v>0</x:v>
      </x:c>
      <x:c r="AG107" s="200" t="n">
        <x:f>MAX(AG106,AF107)</x:f>
        <x:v>0</x:v>
      </x:c>
      <x:c r="AH107" s="200" t="n">
        <x:f>AF107-AG107</x:f>
        <x:v>0</x:v>
      </x:c>
    </x:row>
    <x:row r="108">
      <x:c r="A108" s="189"/>
      <x:c r="B108" s="189"/>
      <x:c r="C108" s="221"/>
      <x:c r="D108" s="189"/>
      <x:c r="E108" s="221"/>
      <x:c r="F108" s="218" t="str">
        <x:f>IFERROR(LN(E108/C108)*10000,"")</x:f>
      </x:c>
      <x:c r="G108" s="191"/>
      <x:c r="H108" s="191"/>
      <x:c r="I108" s="191"/>
      <x:c r="J108" s="191"/>
      <x:c r="K108" s="189"/>
      <x:c r="L108" s="197" t="str">
        <x:f>IF(K108="Up",G108,IF(K108="Down",1-G108,""))</x:f>
      </x:c>
      <x:c r="M108" s="198" t="str">
        <x:f>IF(K108="Up",I108,IF(K108="Down",J108,""))</x:f>
      </x:c>
      <x:c r="N108" s="192"/>
      <x:c r="O108" s="198" t="n">
        <x:f>IF(N108="Taker",M108*'08_Bet_Calculator'!$B$18*(1-M108),0)</x:f>
        <x:v>0</x:v>
      </x:c>
      <x:c r="P108" s="192"/>
      <x:c r="Q108" s="198" t="str">
        <x:f>IF(M108="","",MIN(0.999,M108+O108+P108))</x:f>
      </x:c>
      <x:c r="R108" s="197" t="str">
        <x:f>IF(L108="","",L108-Q108)</x:f>
      </x:c>
      <x:c r="S108" s="197" t="str">
        <x:f>IF(L108="","",L108-'08_Bet_Calculator'!$B$24*H108-Q108-'08_Bet_Calculator'!$B$20)</x:f>
      </x:c>
      <x:c r="T108" s="197" t="n">
        <x:f>IF(OR(L108="",Q108&gt;=1),0,MAX(0,(MAX(0,L108-'08_Bet_Calculator'!$B$24*H108)-Q108)/(1-Q108)))</x:f>
        <x:v>0</x:v>
      </x:c>
      <x:c r="U108" s="197" t="n">
        <x:f>T108*'08_Bet_Calculator'!$B$21</x:f>
        <x:v>0</x:v>
      </x:c>
      <x:c r="V108" s="221"/>
      <x:c r="W108" s="200" t="n">
        <x:f>IF(OR(V108="",S108&lt;=0),0,MIN(V108*U108,V108*'08_Bet_Calculator'!$B$22,'08_Bet_Calculator'!$B$23))</x:f>
        <x:v>0</x:v>
      </x:c>
      <x:c r="X108" s="222" t="n">
        <x:f>IFERROR(W108/Q108,0)</x:f>
        <x:v>0</x:v>
      </x:c>
      <x:c r="Y108" s="189"/>
      <x:c r="Z108" s="196" t="str">
        <x:f>IF(OR(Y108="",K108=""),"",IF(Y108=K108,1,0))</x:f>
      </x:c>
      <x:c r="AA108" s="200" t="str">
        <x:f>IF(Z108="","",X108*(Z108-Q108))</x:f>
      </x:c>
      <x:c r="AB108" s="197" t="str">
        <x:f>IFERROR(AA108/W108,"")</x:f>
      </x:c>
      <x:c r="AC108" s="197" t="str">
        <x:f>IF(Z108="","",(L108-Z108)^2)</x:f>
      </x:c>
      <x:c r="AD108" s="198" t="str">
        <x:f>IF(Z108="","",-(Z108*LN(MAX(0.0001,L108))+(1-Z108)*LN(MAX(0.0001,1-L108))))</x:f>
      </x:c>
      <x:c r="AE108" s="189"/>
      <x:c r="AF108" s="200" t="n">
        <x:f>AF107+IF(AA108="",0,AA108)</x:f>
        <x:v>0</x:v>
      </x:c>
      <x:c r="AG108" s="200" t="n">
        <x:f>MAX(AG107,AF108)</x:f>
        <x:v>0</x:v>
      </x:c>
      <x:c r="AH108" s="200" t="n">
        <x:f>AF108-AG108</x:f>
        <x:v>0</x:v>
      </x:c>
    </x:row>
    <x:row r="109">
      <x:c r="A109" s="189"/>
      <x:c r="B109" s="189"/>
      <x:c r="C109" s="221"/>
      <x:c r="D109" s="189"/>
      <x:c r="E109" s="221"/>
      <x:c r="F109" s="218" t="str">
        <x:f>IFERROR(LN(E109/C109)*10000,"")</x:f>
      </x:c>
      <x:c r="G109" s="191"/>
      <x:c r="H109" s="191"/>
      <x:c r="I109" s="191"/>
      <x:c r="J109" s="191"/>
      <x:c r="K109" s="189"/>
      <x:c r="L109" s="197" t="str">
        <x:f>IF(K109="Up",G109,IF(K109="Down",1-G109,""))</x:f>
      </x:c>
      <x:c r="M109" s="198" t="str">
        <x:f>IF(K109="Up",I109,IF(K109="Down",J109,""))</x:f>
      </x:c>
      <x:c r="N109" s="192"/>
      <x:c r="O109" s="198" t="n">
        <x:f>IF(N109="Taker",M109*'08_Bet_Calculator'!$B$18*(1-M109),0)</x:f>
        <x:v>0</x:v>
      </x:c>
      <x:c r="P109" s="192"/>
      <x:c r="Q109" s="198" t="str">
        <x:f>IF(M109="","",MIN(0.999,M109+O109+P109))</x:f>
      </x:c>
      <x:c r="R109" s="197" t="str">
        <x:f>IF(L109="","",L109-Q109)</x:f>
      </x:c>
      <x:c r="S109" s="197" t="str">
        <x:f>IF(L109="","",L109-'08_Bet_Calculator'!$B$24*H109-Q109-'08_Bet_Calculator'!$B$20)</x:f>
      </x:c>
      <x:c r="T109" s="197" t="n">
        <x:f>IF(OR(L109="",Q109&gt;=1),0,MAX(0,(MAX(0,L109-'08_Bet_Calculator'!$B$24*H109)-Q109)/(1-Q109)))</x:f>
        <x:v>0</x:v>
      </x:c>
      <x:c r="U109" s="197" t="n">
        <x:f>T109*'08_Bet_Calculator'!$B$21</x:f>
        <x:v>0</x:v>
      </x:c>
      <x:c r="V109" s="221"/>
      <x:c r="W109" s="200" t="n">
        <x:f>IF(OR(V109="",S109&lt;=0),0,MIN(V109*U109,V109*'08_Bet_Calculator'!$B$22,'08_Bet_Calculator'!$B$23))</x:f>
        <x:v>0</x:v>
      </x:c>
      <x:c r="X109" s="222" t="n">
        <x:f>IFERROR(W109/Q109,0)</x:f>
        <x:v>0</x:v>
      </x:c>
      <x:c r="Y109" s="189"/>
      <x:c r="Z109" s="196" t="str">
        <x:f>IF(OR(Y109="",K109=""),"",IF(Y109=K109,1,0))</x:f>
      </x:c>
      <x:c r="AA109" s="200" t="str">
        <x:f>IF(Z109="","",X109*(Z109-Q109))</x:f>
      </x:c>
      <x:c r="AB109" s="197" t="str">
        <x:f>IFERROR(AA109/W109,"")</x:f>
      </x:c>
      <x:c r="AC109" s="197" t="str">
        <x:f>IF(Z109="","",(L109-Z109)^2)</x:f>
      </x:c>
      <x:c r="AD109" s="198" t="str">
        <x:f>IF(Z109="","",-(Z109*LN(MAX(0.0001,L109))+(1-Z109)*LN(MAX(0.0001,1-L109))))</x:f>
      </x:c>
      <x:c r="AE109" s="189"/>
      <x:c r="AF109" s="200" t="n">
        <x:f>AF108+IF(AA109="",0,AA109)</x:f>
        <x:v>0</x:v>
      </x:c>
      <x:c r="AG109" s="200" t="n">
        <x:f>MAX(AG108,AF109)</x:f>
        <x:v>0</x:v>
      </x:c>
      <x:c r="AH109" s="200" t="n">
        <x:f>AF109-AG109</x:f>
        <x:v>0</x:v>
      </x:c>
    </x:row>
    <x:row r="110">
      <x:c r="A110" s="189"/>
      <x:c r="B110" s="189"/>
      <x:c r="C110" s="221"/>
      <x:c r="D110" s="189"/>
      <x:c r="E110" s="221"/>
      <x:c r="F110" s="218" t="str">
        <x:f>IFERROR(LN(E110/C110)*10000,"")</x:f>
      </x:c>
      <x:c r="G110" s="191"/>
      <x:c r="H110" s="191"/>
      <x:c r="I110" s="191"/>
      <x:c r="J110" s="191"/>
      <x:c r="K110" s="189"/>
      <x:c r="L110" s="197" t="str">
        <x:f>IF(K110="Up",G110,IF(K110="Down",1-G110,""))</x:f>
      </x:c>
      <x:c r="M110" s="198" t="str">
        <x:f>IF(K110="Up",I110,IF(K110="Down",J110,""))</x:f>
      </x:c>
      <x:c r="N110" s="192"/>
      <x:c r="O110" s="198" t="n">
        <x:f>IF(N110="Taker",M110*'08_Bet_Calculator'!$B$18*(1-M110),0)</x:f>
        <x:v>0</x:v>
      </x:c>
      <x:c r="P110" s="192"/>
      <x:c r="Q110" s="198" t="str">
        <x:f>IF(M110="","",MIN(0.999,M110+O110+P110))</x:f>
      </x:c>
      <x:c r="R110" s="197" t="str">
        <x:f>IF(L110="","",L110-Q110)</x:f>
      </x:c>
      <x:c r="S110" s="197" t="str">
        <x:f>IF(L110="","",L110-'08_Bet_Calculator'!$B$24*H110-Q110-'08_Bet_Calculator'!$B$20)</x:f>
      </x:c>
      <x:c r="T110" s="197" t="n">
        <x:f>IF(OR(L110="",Q110&gt;=1),0,MAX(0,(MAX(0,L110-'08_Bet_Calculator'!$B$24*H110)-Q110)/(1-Q110)))</x:f>
        <x:v>0</x:v>
      </x:c>
      <x:c r="U110" s="197" t="n">
        <x:f>T110*'08_Bet_Calculator'!$B$21</x:f>
        <x:v>0</x:v>
      </x:c>
      <x:c r="V110" s="221"/>
      <x:c r="W110" s="200" t="n">
        <x:f>IF(OR(V110="",S110&lt;=0),0,MIN(V110*U110,V110*'08_Bet_Calculator'!$B$22,'08_Bet_Calculator'!$B$23))</x:f>
        <x:v>0</x:v>
      </x:c>
      <x:c r="X110" s="222" t="n">
        <x:f>IFERROR(W110/Q110,0)</x:f>
        <x:v>0</x:v>
      </x:c>
      <x:c r="Y110" s="189"/>
      <x:c r="Z110" s="196" t="str">
        <x:f>IF(OR(Y110="",K110=""),"",IF(Y110=K110,1,0))</x:f>
      </x:c>
      <x:c r="AA110" s="200" t="str">
        <x:f>IF(Z110="","",X110*(Z110-Q110))</x:f>
      </x:c>
      <x:c r="AB110" s="197" t="str">
        <x:f>IFERROR(AA110/W110,"")</x:f>
      </x:c>
      <x:c r="AC110" s="197" t="str">
        <x:f>IF(Z110="","",(L110-Z110)^2)</x:f>
      </x:c>
      <x:c r="AD110" s="198" t="str">
        <x:f>IF(Z110="","",-(Z110*LN(MAX(0.0001,L110))+(1-Z110)*LN(MAX(0.0001,1-L110))))</x:f>
      </x:c>
      <x:c r="AE110" s="189"/>
      <x:c r="AF110" s="200" t="n">
        <x:f>AF109+IF(AA110="",0,AA110)</x:f>
        <x:v>0</x:v>
      </x:c>
      <x:c r="AG110" s="200" t="n">
        <x:f>MAX(AG109,AF110)</x:f>
        <x:v>0</x:v>
      </x:c>
      <x:c r="AH110" s="200" t="n">
        <x:f>AF110-AG110</x:f>
        <x:v>0</x:v>
      </x:c>
    </x:row>
    <x:row r="111">
      <x:c r="A111" s="189"/>
      <x:c r="B111" s="189"/>
      <x:c r="C111" s="221"/>
      <x:c r="D111" s="189"/>
      <x:c r="E111" s="221"/>
      <x:c r="F111" s="218" t="str">
        <x:f>IFERROR(LN(E111/C111)*10000,"")</x:f>
      </x:c>
      <x:c r="G111" s="191"/>
      <x:c r="H111" s="191"/>
      <x:c r="I111" s="191"/>
      <x:c r="J111" s="191"/>
      <x:c r="K111" s="189"/>
      <x:c r="L111" s="197" t="str">
        <x:f>IF(K111="Up",G111,IF(K111="Down",1-G111,""))</x:f>
      </x:c>
      <x:c r="M111" s="198" t="str">
        <x:f>IF(K111="Up",I111,IF(K111="Down",J111,""))</x:f>
      </x:c>
      <x:c r="N111" s="192"/>
      <x:c r="O111" s="198" t="n">
        <x:f>IF(N111="Taker",M111*'08_Bet_Calculator'!$B$18*(1-M111),0)</x:f>
        <x:v>0</x:v>
      </x:c>
      <x:c r="P111" s="192"/>
      <x:c r="Q111" s="198" t="str">
        <x:f>IF(M111="","",MIN(0.999,M111+O111+P111))</x:f>
      </x:c>
      <x:c r="R111" s="197" t="str">
        <x:f>IF(L111="","",L111-Q111)</x:f>
      </x:c>
      <x:c r="S111" s="197" t="str">
        <x:f>IF(L111="","",L111-'08_Bet_Calculator'!$B$24*H111-Q111-'08_Bet_Calculator'!$B$20)</x:f>
      </x:c>
      <x:c r="T111" s="197" t="n">
        <x:f>IF(OR(L111="",Q111&gt;=1),0,MAX(0,(MAX(0,L111-'08_Bet_Calculator'!$B$24*H111)-Q111)/(1-Q111)))</x:f>
        <x:v>0</x:v>
      </x:c>
      <x:c r="U111" s="197" t="n">
        <x:f>T111*'08_Bet_Calculator'!$B$21</x:f>
        <x:v>0</x:v>
      </x:c>
      <x:c r="V111" s="221"/>
      <x:c r="W111" s="200" t="n">
        <x:f>IF(OR(V111="",S111&lt;=0),0,MIN(V111*U111,V111*'08_Bet_Calculator'!$B$22,'08_Bet_Calculator'!$B$23))</x:f>
        <x:v>0</x:v>
      </x:c>
      <x:c r="X111" s="222" t="n">
        <x:f>IFERROR(W111/Q111,0)</x:f>
        <x:v>0</x:v>
      </x:c>
      <x:c r="Y111" s="189"/>
      <x:c r="Z111" s="196" t="str">
        <x:f>IF(OR(Y111="",K111=""),"",IF(Y111=K111,1,0))</x:f>
      </x:c>
      <x:c r="AA111" s="200" t="str">
        <x:f>IF(Z111="","",X111*(Z111-Q111))</x:f>
      </x:c>
      <x:c r="AB111" s="197" t="str">
        <x:f>IFERROR(AA111/W111,"")</x:f>
      </x:c>
      <x:c r="AC111" s="197" t="str">
        <x:f>IF(Z111="","",(L111-Z111)^2)</x:f>
      </x:c>
      <x:c r="AD111" s="198" t="str">
        <x:f>IF(Z111="","",-(Z111*LN(MAX(0.0001,L111))+(1-Z111)*LN(MAX(0.0001,1-L111))))</x:f>
      </x:c>
      <x:c r="AE111" s="189"/>
      <x:c r="AF111" s="200" t="n">
        <x:f>AF110+IF(AA111="",0,AA111)</x:f>
        <x:v>0</x:v>
      </x:c>
      <x:c r="AG111" s="200" t="n">
        <x:f>MAX(AG110,AF111)</x:f>
        <x:v>0</x:v>
      </x:c>
      <x:c r="AH111" s="200" t="n">
        <x:f>AF111-AG111</x:f>
        <x:v>0</x:v>
      </x:c>
    </x:row>
    <x:row r="112">
      <x:c r="A112" s="189"/>
      <x:c r="B112" s="189"/>
      <x:c r="C112" s="221"/>
      <x:c r="D112" s="189"/>
      <x:c r="E112" s="221"/>
      <x:c r="F112" s="218" t="str">
        <x:f>IFERROR(LN(E112/C112)*10000,"")</x:f>
      </x:c>
      <x:c r="G112" s="191"/>
      <x:c r="H112" s="191"/>
      <x:c r="I112" s="191"/>
      <x:c r="J112" s="191"/>
      <x:c r="K112" s="189"/>
      <x:c r="L112" s="197" t="str">
        <x:f>IF(K112="Up",G112,IF(K112="Down",1-G112,""))</x:f>
      </x:c>
      <x:c r="M112" s="198" t="str">
        <x:f>IF(K112="Up",I112,IF(K112="Down",J112,""))</x:f>
      </x:c>
      <x:c r="N112" s="192"/>
      <x:c r="O112" s="198" t="n">
        <x:f>IF(N112="Taker",M112*'08_Bet_Calculator'!$B$18*(1-M112),0)</x:f>
        <x:v>0</x:v>
      </x:c>
      <x:c r="P112" s="192"/>
      <x:c r="Q112" s="198" t="str">
        <x:f>IF(M112="","",MIN(0.999,M112+O112+P112))</x:f>
      </x:c>
      <x:c r="R112" s="197" t="str">
        <x:f>IF(L112="","",L112-Q112)</x:f>
      </x:c>
      <x:c r="S112" s="197" t="str">
        <x:f>IF(L112="","",L112-'08_Bet_Calculator'!$B$24*H112-Q112-'08_Bet_Calculator'!$B$20)</x:f>
      </x:c>
      <x:c r="T112" s="197" t="n">
        <x:f>IF(OR(L112="",Q112&gt;=1),0,MAX(0,(MAX(0,L112-'08_Bet_Calculator'!$B$24*H112)-Q112)/(1-Q112)))</x:f>
        <x:v>0</x:v>
      </x:c>
      <x:c r="U112" s="197" t="n">
        <x:f>T112*'08_Bet_Calculator'!$B$21</x:f>
        <x:v>0</x:v>
      </x:c>
      <x:c r="V112" s="221"/>
      <x:c r="W112" s="200" t="n">
        <x:f>IF(OR(V112="",S112&lt;=0),0,MIN(V112*U112,V112*'08_Bet_Calculator'!$B$22,'08_Bet_Calculator'!$B$23))</x:f>
        <x:v>0</x:v>
      </x:c>
      <x:c r="X112" s="222" t="n">
        <x:f>IFERROR(W112/Q112,0)</x:f>
        <x:v>0</x:v>
      </x:c>
      <x:c r="Y112" s="189"/>
      <x:c r="Z112" s="196" t="str">
        <x:f>IF(OR(Y112="",K112=""),"",IF(Y112=K112,1,0))</x:f>
      </x:c>
      <x:c r="AA112" s="200" t="str">
        <x:f>IF(Z112="","",X112*(Z112-Q112))</x:f>
      </x:c>
      <x:c r="AB112" s="197" t="str">
        <x:f>IFERROR(AA112/W112,"")</x:f>
      </x:c>
      <x:c r="AC112" s="197" t="str">
        <x:f>IF(Z112="","",(L112-Z112)^2)</x:f>
      </x:c>
      <x:c r="AD112" s="198" t="str">
        <x:f>IF(Z112="","",-(Z112*LN(MAX(0.0001,L112))+(1-Z112)*LN(MAX(0.0001,1-L112))))</x:f>
      </x:c>
      <x:c r="AE112" s="189"/>
      <x:c r="AF112" s="200" t="n">
        <x:f>AF111+IF(AA112="",0,AA112)</x:f>
        <x:v>0</x:v>
      </x:c>
      <x:c r="AG112" s="200" t="n">
        <x:f>MAX(AG111,AF112)</x:f>
        <x:v>0</x:v>
      </x:c>
      <x:c r="AH112" s="200" t="n">
        <x:f>AF112-AG112</x:f>
        <x:v>0</x:v>
      </x:c>
    </x:row>
    <x:row r="113">
      <x:c r="A113" s="189"/>
      <x:c r="B113" s="189"/>
      <x:c r="C113" s="221"/>
      <x:c r="D113" s="189"/>
      <x:c r="E113" s="221"/>
      <x:c r="F113" s="218" t="str">
        <x:f>IFERROR(LN(E113/C113)*10000,"")</x:f>
      </x:c>
      <x:c r="G113" s="191"/>
      <x:c r="H113" s="191"/>
      <x:c r="I113" s="191"/>
      <x:c r="J113" s="191"/>
      <x:c r="K113" s="189"/>
      <x:c r="L113" s="197" t="str">
        <x:f>IF(K113="Up",G113,IF(K113="Down",1-G113,""))</x:f>
      </x:c>
      <x:c r="M113" s="198" t="str">
        <x:f>IF(K113="Up",I113,IF(K113="Down",J113,""))</x:f>
      </x:c>
      <x:c r="N113" s="192"/>
      <x:c r="O113" s="198" t="n">
        <x:f>IF(N113="Taker",M113*'08_Bet_Calculator'!$B$18*(1-M113),0)</x:f>
        <x:v>0</x:v>
      </x:c>
      <x:c r="P113" s="192"/>
      <x:c r="Q113" s="198" t="str">
        <x:f>IF(M113="","",MIN(0.999,M113+O113+P113))</x:f>
      </x:c>
      <x:c r="R113" s="197" t="str">
        <x:f>IF(L113="","",L113-Q113)</x:f>
      </x:c>
      <x:c r="S113" s="197" t="str">
        <x:f>IF(L113="","",L113-'08_Bet_Calculator'!$B$24*H113-Q113-'08_Bet_Calculator'!$B$20)</x:f>
      </x:c>
      <x:c r="T113" s="197" t="n">
        <x:f>IF(OR(L113="",Q113&gt;=1),0,MAX(0,(MAX(0,L113-'08_Bet_Calculator'!$B$24*H113)-Q113)/(1-Q113)))</x:f>
        <x:v>0</x:v>
      </x:c>
      <x:c r="U113" s="197" t="n">
        <x:f>T113*'08_Bet_Calculator'!$B$21</x:f>
        <x:v>0</x:v>
      </x:c>
      <x:c r="V113" s="221"/>
      <x:c r="W113" s="200" t="n">
        <x:f>IF(OR(V113="",S113&lt;=0),0,MIN(V113*U113,V113*'08_Bet_Calculator'!$B$22,'08_Bet_Calculator'!$B$23))</x:f>
        <x:v>0</x:v>
      </x:c>
      <x:c r="X113" s="222" t="n">
        <x:f>IFERROR(W113/Q113,0)</x:f>
        <x:v>0</x:v>
      </x:c>
      <x:c r="Y113" s="189"/>
      <x:c r="Z113" s="196" t="str">
        <x:f>IF(OR(Y113="",K113=""),"",IF(Y113=K113,1,0))</x:f>
      </x:c>
      <x:c r="AA113" s="200" t="str">
        <x:f>IF(Z113="","",X113*(Z113-Q113))</x:f>
      </x:c>
      <x:c r="AB113" s="197" t="str">
        <x:f>IFERROR(AA113/W113,"")</x:f>
      </x:c>
      <x:c r="AC113" s="197" t="str">
        <x:f>IF(Z113="","",(L113-Z113)^2)</x:f>
      </x:c>
      <x:c r="AD113" s="198" t="str">
        <x:f>IF(Z113="","",-(Z113*LN(MAX(0.0001,L113))+(1-Z113)*LN(MAX(0.0001,1-L113))))</x:f>
      </x:c>
      <x:c r="AE113" s="189"/>
      <x:c r="AF113" s="200" t="n">
        <x:f>AF112+IF(AA113="",0,AA113)</x:f>
        <x:v>0</x:v>
      </x:c>
      <x:c r="AG113" s="200" t="n">
        <x:f>MAX(AG112,AF113)</x:f>
        <x:v>0</x:v>
      </x:c>
      <x:c r="AH113" s="200" t="n">
        <x:f>AF113-AG113</x:f>
        <x:v>0</x:v>
      </x:c>
    </x:row>
    <x:row r="114">
      <x:c r="A114" s="189"/>
      <x:c r="B114" s="189"/>
      <x:c r="C114" s="221"/>
      <x:c r="D114" s="189"/>
      <x:c r="E114" s="221"/>
      <x:c r="F114" s="218" t="str">
        <x:f>IFERROR(LN(E114/C114)*10000,"")</x:f>
      </x:c>
      <x:c r="G114" s="191"/>
      <x:c r="H114" s="191"/>
      <x:c r="I114" s="191"/>
      <x:c r="J114" s="191"/>
      <x:c r="K114" s="189"/>
      <x:c r="L114" s="197" t="str">
        <x:f>IF(K114="Up",G114,IF(K114="Down",1-G114,""))</x:f>
      </x:c>
      <x:c r="M114" s="198" t="str">
        <x:f>IF(K114="Up",I114,IF(K114="Down",J114,""))</x:f>
      </x:c>
      <x:c r="N114" s="192"/>
      <x:c r="O114" s="198" t="n">
        <x:f>IF(N114="Taker",M114*'08_Bet_Calculator'!$B$18*(1-M114),0)</x:f>
        <x:v>0</x:v>
      </x:c>
      <x:c r="P114" s="192"/>
      <x:c r="Q114" s="198" t="str">
        <x:f>IF(M114="","",MIN(0.999,M114+O114+P114))</x:f>
      </x:c>
      <x:c r="R114" s="197" t="str">
        <x:f>IF(L114="","",L114-Q114)</x:f>
      </x:c>
      <x:c r="S114" s="197" t="str">
        <x:f>IF(L114="","",L114-'08_Bet_Calculator'!$B$24*H114-Q114-'08_Bet_Calculator'!$B$20)</x:f>
      </x:c>
      <x:c r="T114" s="197" t="n">
        <x:f>IF(OR(L114="",Q114&gt;=1),0,MAX(0,(MAX(0,L114-'08_Bet_Calculator'!$B$24*H114)-Q114)/(1-Q114)))</x:f>
        <x:v>0</x:v>
      </x:c>
      <x:c r="U114" s="197" t="n">
        <x:f>T114*'08_Bet_Calculator'!$B$21</x:f>
        <x:v>0</x:v>
      </x:c>
      <x:c r="V114" s="221"/>
      <x:c r="W114" s="200" t="n">
        <x:f>IF(OR(V114="",S114&lt;=0),0,MIN(V114*U114,V114*'08_Bet_Calculator'!$B$22,'08_Bet_Calculator'!$B$23))</x:f>
        <x:v>0</x:v>
      </x:c>
      <x:c r="X114" s="222" t="n">
        <x:f>IFERROR(W114/Q114,0)</x:f>
        <x:v>0</x:v>
      </x:c>
      <x:c r="Y114" s="189"/>
      <x:c r="Z114" s="196" t="str">
        <x:f>IF(OR(Y114="",K114=""),"",IF(Y114=K114,1,0))</x:f>
      </x:c>
      <x:c r="AA114" s="200" t="str">
        <x:f>IF(Z114="","",X114*(Z114-Q114))</x:f>
      </x:c>
      <x:c r="AB114" s="197" t="str">
        <x:f>IFERROR(AA114/W114,"")</x:f>
      </x:c>
      <x:c r="AC114" s="197" t="str">
        <x:f>IF(Z114="","",(L114-Z114)^2)</x:f>
      </x:c>
      <x:c r="AD114" s="198" t="str">
        <x:f>IF(Z114="","",-(Z114*LN(MAX(0.0001,L114))+(1-Z114)*LN(MAX(0.0001,1-L114))))</x:f>
      </x:c>
      <x:c r="AE114" s="189"/>
      <x:c r="AF114" s="200" t="n">
        <x:f>AF113+IF(AA114="",0,AA114)</x:f>
        <x:v>0</x:v>
      </x:c>
      <x:c r="AG114" s="200" t="n">
        <x:f>MAX(AG113,AF114)</x:f>
        <x:v>0</x:v>
      </x:c>
      <x:c r="AH114" s="200" t="n">
        <x:f>AF114-AG114</x:f>
        <x:v>0</x:v>
      </x:c>
    </x:row>
    <x:row r="115">
      <x:c r="A115" s="189"/>
      <x:c r="B115" s="189"/>
      <x:c r="C115" s="221"/>
      <x:c r="D115" s="189"/>
      <x:c r="E115" s="221"/>
      <x:c r="F115" s="218" t="str">
        <x:f>IFERROR(LN(E115/C115)*10000,"")</x:f>
      </x:c>
      <x:c r="G115" s="191"/>
      <x:c r="H115" s="191"/>
      <x:c r="I115" s="191"/>
      <x:c r="J115" s="191"/>
      <x:c r="K115" s="189"/>
      <x:c r="L115" s="197" t="str">
        <x:f>IF(K115="Up",G115,IF(K115="Down",1-G115,""))</x:f>
      </x:c>
      <x:c r="M115" s="198" t="str">
        <x:f>IF(K115="Up",I115,IF(K115="Down",J115,""))</x:f>
      </x:c>
      <x:c r="N115" s="192"/>
      <x:c r="O115" s="198" t="n">
        <x:f>IF(N115="Taker",M115*'08_Bet_Calculator'!$B$18*(1-M115),0)</x:f>
        <x:v>0</x:v>
      </x:c>
      <x:c r="P115" s="192"/>
      <x:c r="Q115" s="198" t="str">
        <x:f>IF(M115="","",MIN(0.999,M115+O115+P115))</x:f>
      </x:c>
      <x:c r="R115" s="197" t="str">
        <x:f>IF(L115="","",L115-Q115)</x:f>
      </x:c>
      <x:c r="S115" s="197" t="str">
        <x:f>IF(L115="","",L115-'08_Bet_Calculator'!$B$24*H115-Q115-'08_Bet_Calculator'!$B$20)</x:f>
      </x:c>
      <x:c r="T115" s="197" t="n">
        <x:f>IF(OR(L115="",Q115&gt;=1),0,MAX(0,(MAX(0,L115-'08_Bet_Calculator'!$B$24*H115)-Q115)/(1-Q115)))</x:f>
        <x:v>0</x:v>
      </x:c>
      <x:c r="U115" s="197" t="n">
        <x:f>T115*'08_Bet_Calculator'!$B$21</x:f>
        <x:v>0</x:v>
      </x:c>
      <x:c r="V115" s="221"/>
      <x:c r="W115" s="200" t="n">
        <x:f>IF(OR(V115="",S115&lt;=0),0,MIN(V115*U115,V115*'08_Bet_Calculator'!$B$22,'08_Bet_Calculator'!$B$23))</x:f>
        <x:v>0</x:v>
      </x:c>
      <x:c r="X115" s="222" t="n">
        <x:f>IFERROR(W115/Q115,0)</x:f>
        <x:v>0</x:v>
      </x:c>
      <x:c r="Y115" s="189"/>
      <x:c r="Z115" s="196" t="str">
        <x:f>IF(OR(Y115="",K115=""),"",IF(Y115=K115,1,0))</x:f>
      </x:c>
      <x:c r="AA115" s="200" t="str">
        <x:f>IF(Z115="","",X115*(Z115-Q115))</x:f>
      </x:c>
      <x:c r="AB115" s="197" t="str">
        <x:f>IFERROR(AA115/W115,"")</x:f>
      </x:c>
      <x:c r="AC115" s="197" t="str">
        <x:f>IF(Z115="","",(L115-Z115)^2)</x:f>
      </x:c>
      <x:c r="AD115" s="198" t="str">
        <x:f>IF(Z115="","",-(Z115*LN(MAX(0.0001,L115))+(1-Z115)*LN(MAX(0.0001,1-L115))))</x:f>
      </x:c>
      <x:c r="AE115" s="189"/>
      <x:c r="AF115" s="200" t="n">
        <x:f>AF114+IF(AA115="",0,AA115)</x:f>
        <x:v>0</x:v>
      </x:c>
      <x:c r="AG115" s="200" t="n">
        <x:f>MAX(AG114,AF115)</x:f>
        <x:v>0</x:v>
      </x:c>
      <x:c r="AH115" s="200" t="n">
        <x:f>AF115-AG115</x:f>
        <x:v>0</x:v>
      </x:c>
    </x:row>
    <x:row r="116">
      <x:c r="A116" s="189"/>
      <x:c r="B116" s="189"/>
      <x:c r="C116" s="221"/>
      <x:c r="D116" s="189"/>
      <x:c r="E116" s="221"/>
      <x:c r="F116" s="218" t="str">
        <x:f>IFERROR(LN(E116/C116)*10000,"")</x:f>
      </x:c>
      <x:c r="G116" s="191"/>
      <x:c r="H116" s="191"/>
      <x:c r="I116" s="191"/>
      <x:c r="J116" s="191"/>
      <x:c r="K116" s="189"/>
      <x:c r="L116" s="197" t="str">
        <x:f>IF(K116="Up",G116,IF(K116="Down",1-G116,""))</x:f>
      </x:c>
      <x:c r="M116" s="198" t="str">
        <x:f>IF(K116="Up",I116,IF(K116="Down",J116,""))</x:f>
      </x:c>
      <x:c r="N116" s="192"/>
      <x:c r="O116" s="198" t="n">
        <x:f>IF(N116="Taker",M116*'08_Bet_Calculator'!$B$18*(1-M116),0)</x:f>
        <x:v>0</x:v>
      </x:c>
      <x:c r="P116" s="192"/>
      <x:c r="Q116" s="198" t="str">
        <x:f>IF(M116="","",MIN(0.999,M116+O116+P116))</x:f>
      </x:c>
      <x:c r="R116" s="197" t="str">
        <x:f>IF(L116="","",L116-Q116)</x:f>
      </x:c>
      <x:c r="S116" s="197" t="str">
        <x:f>IF(L116="","",L116-'08_Bet_Calculator'!$B$24*H116-Q116-'08_Bet_Calculator'!$B$20)</x:f>
      </x:c>
      <x:c r="T116" s="197" t="n">
        <x:f>IF(OR(L116="",Q116&gt;=1),0,MAX(0,(MAX(0,L116-'08_Bet_Calculator'!$B$24*H116)-Q116)/(1-Q116)))</x:f>
        <x:v>0</x:v>
      </x:c>
      <x:c r="U116" s="197" t="n">
        <x:f>T116*'08_Bet_Calculator'!$B$21</x:f>
        <x:v>0</x:v>
      </x:c>
      <x:c r="V116" s="221"/>
      <x:c r="W116" s="200" t="n">
        <x:f>IF(OR(V116="",S116&lt;=0),0,MIN(V116*U116,V116*'08_Bet_Calculator'!$B$22,'08_Bet_Calculator'!$B$23))</x:f>
        <x:v>0</x:v>
      </x:c>
      <x:c r="X116" s="222" t="n">
        <x:f>IFERROR(W116/Q116,0)</x:f>
        <x:v>0</x:v>
      </x:c>
      <x:c r="Y116" s="189"/>
      <x:c r="Z116" s="196" t="str">
        <x:f>IF(OR(Y116="",K116=""),"",IF(Y116=K116,1,0))</x:f>
      </x:c>
      <x:c r="AA116" s="200" t="str">
        <x:f>IF(Z116="","",X116*(Z116-Q116))</x:f>
      </x:c>
      <x:c r="AB116" s="197" t="str">
        <x:f>IFERROR(AA116/W116,"")</x:f>
      </x:c>
      <x:c r="AC116" s="197" t="str">
        <x:f>IF(Z116="","",(L116-Z116)^2)</x:f>
      </x:c>
      <x:c r="AD116" s="198" t="str">
        <x:f>IF(Z116="","",-(Z116*LN(MAX(0.0001,L116))+(1-Z116)*LN(MAX(0.0001,1-L116))))</x:f>
      </x:c>
      <x:c r="AE116" s="189"/>
      <x:c r="AF116" s="200" t="n">
        <x:f>AF115+IF(AA116="",0,AA116)</x:f>
        <x:v>0</x:v>
      </x:c>
      <x:c r="AG116" s="200" t="n">
        <x:f>MAX(AG115,AF116)</x:f>
        <x:v>0</x:v>
      </x:c>
      <x:c r="AH116" s="200" t="n">
        <x:f>AF116-AG116</x:f>
        <x:v>0</x:v>
      </x:c>
    </x:row>
    <x:row r="117">
      <x:c r="A117" s="189"/>
      <x:c r="B117" s="189"/>
      <x:c r="C117" s="221"/>
      <x:c r="D117" s="189"/>
      <x:c r="E117" s="221"/>
      <x:c r="F117" s="218" t="str">
        <x:f>IFERROR(LN(E117/C117)*10000,"")</x:f>
      </x:c>
      <x:c r="G117" s="191"/>
      <x:c r="H117" s="191"/>
      <x:c r="I117" s="191"/>
      <x:c r="J117" s="191"/>
      <x:c r="K117" s="189"/>
      <x:c r="L117" s="197" t="str">
        <x:f>IF(K117="Up",G117,IF(K117="Down",1-G117,""))</x:f>
      </x:c>
      <x:c r="M117" s="198" t="str">
        <x:f>IF(K117="Up",I117,IF(K117="Down",J117,""))</x:f>
      </x:c>
      <x:c r="N117" s="192"/>
      <x:c r="O117" s="198" t="n">
        <x:f>IF(N117="Taker",M117*'08_Bet_Calculator'!$B$18*(1-M117),0)</x:f>
        <x:v>0</x:v>
      </x:c>
      <x:c r="P117" s="192"/>
      <x:c r="Q117" s="198" t="str">
        <x:f>IF(M117="","",MIN(0.999,M117+O117+P117))</x:f>
      </x:c>
      <x:c r="R117" s="197" t="str">
        <x:f>IF(L117="","",L117-Q117)</x:f>
      </x:c>
      <x:c r="S117" s="197" t="str">
        <x:f>IF(L117="","",L117-'08_Bet_Calculator'!$B$24*H117-Q117-'08_Bet_Calculator'!$B$20)</x:f>
      </x:c>
      <x:c r="T117" s="197" t="n">
        <x:f>IF(OR(L117="",Q117&gt;=1),0,MAX(0,(MAX(0,L117-'08_Bet_Calculator'!$B$24*H117)-Q117)/(1-Q117)))</x:f>
        <x:v>0</x:v>
      </x:c>
      <x:c r="U117" s="197" t="n">
        <x:f>T117*'08_Bet_Calculator'!$B$21</x:f>
        <x:v>0</x:v>
      </x:c>
      <x:c r="V117" s="221"/>
      <x:c r="W117" s="200" t="n">
        <x:f>IF(OR(V117="",S117&lt;=0),0,MIN(V117*U117,V117*'08_Bet_Calculator'!$B$22,'08_Bet_Calculator'!$B$23))</x:f>
        <x:v>0</x:v>
      </x:c>
      <x:c r="X117" s="222" t="n">
        <x:f>IFERROR(W117/Q117,0)</x:f>
        <x:v>0</x:v>
      </x:c>
      <x:c r="Y117" s="189"/>
      <x:c r="Z117" s="196" t="str">
        <x:f>IF(OR(Y117="",K117=""),"",IF(Y117=K117,1,0))</x:f>
      </x:c>
      <x:c r="AA117" s="200" t="str">
        <x:f>IF(Z117="","",X117*(Z117-Q117))</x:f>
      </x:c>
      <x:c r="AB117" s="197" t="str">
        <x:f>IFERROR(AA117/W117,"")</x:f>
      </x:c>
      <x:c r="AC117" s="197" t="str">
        <x:f>IF(Z117="","",(L117-Z117)^2)</x:f>
      </x:c>
      <x:c r="AD117" s="198" t="str">
        <x:f>IF(Z117="","",-(Z117*LN(MAX(0.0001,L117))+(1-Z117)*LN(MAX(0.0001,1-L117))))</x:f>
      </x:c>
      <x:c r="AE117" s="189"/>
      <x:c r="AF117" s="200" t="n">
        <x:f>AF116+IF(AA117="",0,AA117)</x:f>
        <x:v>0</x:v>
      </x:c>
      <x:c r="AG117" s="200" t="n">
        <x:f>MAX(AG116,AF117)</x:f>
        <x:v>0</x:v>
      </x:c>
      <x:c r="AH117" s="200" t="n">
        <x:f>AF117-AG117</x:f>
        <x:v>0</x:v>
      </x:c>
    </x:row>
    <x:row r="118">
      <x:c r="A118" s="189"/>
      <x:c r="B118" s="189"/>
      <x:c r="C118" s="221"/>
      <x:c r="D118" s="189"/>
      <x:c r="E118" s="221"/>
      <x:c r="F118" s="218" t="str">
        <x:f>IFERROR(LN(E118/C118)*10000,"")</x:f>
      </x:c>
      <x:c r="G118" s="191"/>
      <x:c r="H118" s="191"/>
      <x:c r="I118" s="191"/>
      <x:c r="J118" s="191"/>
      <x:c r="K118" s="189"/>
      <x:c r="L118" s="197" t="str">
        <x:f>IF(K118="Up",G118,IF(K118="Down",1-G118,""))</x:f>
      </x:c>
      <x:c r="M118" s="198" t="str">
        <x:f>IF(K118="Up",I118,IF(K118="Down",J118,""))</x:f>
      </x:c>
      <x:c r="N118" s="192"/>
      <x:c r="O118" s="198" t="n">
        <x:f>IF(N118="Taker",M118*'08_Bet_Calculator'!$B$18*(1-M118),0)</x:f>
        <x:v>0</x:v>
      </x:c>
      <x:c r="P118" s="192"/>
      <x:c r="Q118" s="198" t="str">
        <x:f>IF(M118="","",MIN(0.999,M118+O118+P118))</x:f>
      </x:c>
      <x:c r="R118" s="197" t="str">
        <x:f>IF(L118="","",L118-Q118)</x:f>
      </x:c>
      <x:c r="S118" s="197" t="str">
        <x:f>IF(L118="","",L118-'08_Bet_Calculator'!$B$24*H118-Q118-'08_Bet_Calculator'!$B$20)</x:f>
      </x:c>
      <x:c r="T118" s="197" t="n">
        <x:f>IF(OR(L118="",Q118&gt;=1),0,MAX(0,(MAX(0,L118-'08_Bet_Calculator'!$B$24*H118)-Q118)/(1-Q118)))</x:f>
        <x:v>0</x:v>
      </x:c>
      <x:c r="U118" s="197" t="n">
        <x:f>T118*'08_Bet_Calculator'!$B$21</x:f>
        <x:v>0</x:v>
      </x:c>
      <x:c r="V118" s="221"/>
      <x:c r="W118" s="200" t="n">
        <x:f>IF(OR(V118="",S118&lt;=0),0,MIN(V118*U118,V118*'08_Bet_Calculator'!$B$22,'08_Bet_Calculator'!$B$23))</x:f>
        <x:v>0</x:v>
      </x:c>
      <x:c r="X118" s="222" t="n">
        <x:f>IFERROR(W118/Q118,0)</x:f>
        <x:v>0</x:v>
      </x:c>
      <x:c r="Y118" s="189"/>
      <x:c r="Z118" s="196" t="str">
        <x:f>IF(OR(Y118="",K118=""),"",IF(Y118=K118,1,0))</x:f>
      </x:c>
      <x:c r="AA118" s="200" t="str">
        <x:f>IF(Z118="","",X118*(Z118-Q118))</x:f>
      </x:c>
      <x:c r="AB118" s="197" t="str">
        <x:f>IFERROR(AA118/W118,"")</x:f>
      </x:c>
      <x:c r="AC118" s="197" t="str">
        <x:f>IF(Z118="","",(L118-Z118)^2)</x:f>
      </x:c>
      <x:c r="AD118" s="198" t="str">
        <x:f>IF(Z118="","",-(Z118*LN(MAX(0.0001,L118))+(1-Z118)*LN(MAX(0.0001,1-L118))))</x:f>
      </x:c>
      <x:c r="AE118" s="189"/>
      <x:c r="AF118" s="200" t="n">
        <x:f>AF117+IF(AA118="",0,AA118)</x:f>
        <x:v>0</x:v>
      </x:c>
      <x:c r="AG118" s="200" t="n">
        <x:f>MAX(AG117,AF118)</x:f>
        <x:v>0</x:v>
      </x:c>
      <x:c r="AH118" s="200" t="n">
        <x:f>AF118-AG118</x:f>
        <x:v>0</x:v>
      </x:c>
    </x:row>
    <x:row r="119">
      <x:c r="A119" s="189"/>
      <x:c r="B119" s="189"/>
      <x:c r="C119" s="221"/>
      <x:c r="D119" s="189"/>
      <x:c r="E119" s="221"/>
      <x:c r="F119" s="218" t="str">
        <x:f>IFERROR(LN(E119/C119)*10000,"")</x:f>
      </x:c>
      <x:c r="G119" s="191"/>
      <x:c r="H119" s="191"/>
      <x:c r="I119" s="191"/>
      <x:c r="J119" s="191"/>
      <x:c r="K119" s="189"/>
      <x:c r="L119" s="197" t="str">
        <x:f>IF(K119="Up",G119,IF(K119="Down",1-G119,""))</x:f>
      </x:c>
      <x:c r="M119" s="198" t="str">
        <x:f>IF(K119="Up",I119,IF(K119="Down",J119,""))</x:f>
      </x:c>
      <x:c r="N119" s="192"/>
      <x:c r="O119" s="198" t="n">
        <x:f>IF(N119="Taker",M119*'08_Bet_Calculator'!$B$18*(1-M119),0)</x:f>
        <x:v>0</x:v>
      </x:c>
      <x:c r="P119" s="192"/>
      <x:c r="Q119" s="198" t="str">
        <x:f>IF(M119="","",MIN(0.999,M119+O119+P119))</x:f>
      </x:c>
      <x:c r="R119" s="197" t="str">
        <x:f>IF(L119="","",L119-Q119)</x:f>
      </x:c>
      <x:c r="S119" s="197" t="str">
        <x:f>IF(L119="","",L119-'08_Bet_Calculator'!$B$24*H119-Q119-'08_Bet_Calculator'!$B$20)</x:f>
      </x:c>
      <x:c r="T119" s="197" t="n">
        <x:f>IF(OR(L119="",Q119&gt;=1),0,MAX(0,(MAX(0,L119-'08_Bet_Calculator'!$B$24*H119)-Q119)/(1-Q119)))</x:f>
        <x:v>0</x:v>
      </x:c>
      <x:c r="U119" s="197" t="n">
        <x:f>T119*'08_Bet_Calculator'!$B$21</x:f>
        <x:v>0</x:v>
      </x:c>
      <x:c r="V119" s="221"/>
      <x:c r="W119" s="200" t="n">
        <x:f>IF(OR(V119="",S119&lt;=0),0,MIN(V119*U119,V119*'08_Bet_Calculator'!$B$22,'08_Bet_Calculator'!$B$23))</x:f>
        <x:v>0</x:v>
      </x:c>
      <x:c r="X119" s="222" t="n">
        <x:f>IFERROR(W119/Q119,0)</x:f>
        <x:v>0</x:v>
      </x:c>
      <x:c r="Y119" s="189"/>
      <x:c r="Z119" s="196" t="str">
        <x:f>IF(OR(Y119="",K119=""),"",IF(Y119=K119,1,0))</x:f>
      </x:c>
      <x:c r="AA119" s="200" t="str">
        <x:f>IF(Z119="","",X119*(Z119-Q119))</x:f>
      </x:c>
      <x:c r="AB119" s="197" t="str">
        <x:f>IFERROR(AA119/W119,"")</x:f>
      </x:c>
      <x:c r="AC119" s="197" t="str">
        <x:f>IF(Z119="","",(L119-Z119)^2)</x:f>
      </x:c>
      <x:c r="AD119" s="198" t="str">
        <x:f>IF(Z119="","",-(Z119*LN(MAX(0.0001,L119))+(1-Z119)*LN(MAX(0.0001,1-L119))))</x:f>
      </x:c>
      <x:c r="AE119" s="189"/>
      <x:c r="AF119" s="200" t="n">
        <x:f>AF118+IF(AA119="",0,AA119)</x:f>
        <x:v>0</x:v>
      </x:c>
      <x:c r="AG119" s="200" t="n">
        <x:f>MAX(AG118,AF119)</x:f>
        <x:v>0</x:v>
      </x:c>
      <x:c r="AH119" s="200" t="n">
        <x:f>AF119-AG119</x:f>
        <x:v>0</x:v>
      </x:c>
    </x:row>
    <x:row r="120">
      <x:c r="A120" s="189"/>
      <x:c r="B120" s="189"/>
      <x:c r="C120" s="221"/>
      <x:c r="D120" s="189"/>
      <x:c r="E120" s="221"/>
      <x:c r="F120" s="218" t="str">
        <x:f>IFERROR(LN(E120/C120)*10000,"")</x:f>
      </x:c>
      <x:c r="G120" s="191"/>
      <x:c r="H120" s="191"/>
      <x:c r="I120" s="191"/>
      <x:c r="J120" s="191"/>
      <x:c r="K120" s="189"/>
      <x:c r="L120" s="197" t="str">
        <x:f>IF(K120="Up",G120,IF(K120="Down",1-G120,""))</x:f>
      </x:c>
      <x:c r="M120" s="198" t="str">
        <x:f>IF(K120="Up",I120,IF(K120="Down",J120,""))</x:f>
      </x:c>
      <x:c r="N120" s="192"/>
      <x:c r="O120" s="198" t="n">
        <x:f>IF(N120="Taker",M120*'08_Bet_Calculator'!$B$18*(1-M120),0)</x:f>
        <x:v>0</x:v>
      </x:c>
      <x:c r="P120" s="192"/>
      <x:c r="Q120" s="198" t="str">
        <x:f>IF(M120="","",MIN(0.999,M120+O120+P120))</x:f>
      </x:c>
      <x:c r="R120" s="197" t="str">
        <x:f>IF(L120="","",L120-Q120)</x:f>
      </x:c>
      <x:c r="S120" s="197" t="str">
        <x:f>IF(L120="","",L120-'08_Bet_Calculator'!$B$24*H120-Q120-'08_Bet_Calculator'!$B$20)</x:f>
      </x:c>
      <x:c r="T120" s="197" t="n">
        <x:f>IF(OR(L120="",Q120&gt;=1),0,MAX(0,(MAX(0,L120-'08_Bet_Calculator'!$B$24*H120)-Q120)/(1-Q120)))</x:f>
        <x:v>0</x:v>
      </x:c>
      <x:c r="U120" s="197" t="n">
        <x:f>T120*'08_Bet_Calculator'!$B$21</x:f>
        <x:v>0</x:v>
      </x:c>
      <x:c r="V120" s="221"/>
      <x:c r="W120" s="200" t="n">
        <x:f>IF(OR(V120="",S120&lt;=0),0,MIN(V120*U120,V120*'08_Bet_Calculator'!$B$22,'08_Bet_Calculator'!$B$23))</x:f>
        <x:v>0</x:v>
      </x:c>
      <x:c r="X120" s="222" t="n">
        <x:f>IFERROR(W120/Q120,0)</x:f>
        <x:v>0</x:v>
      </x:c>
      <x:c r="Y120" s="189"/>
      <x:c r="Z120" s="196" t="str">
        <x:f>IF(OR(Y120="",K120=""),"",IF(Y120=K120,1,0))</x:f>
      </x:c>
      <x:c r="AA120" s="200" t="str">
        <x:f>IF(Z120="","",X120*(Z120-Q120))</x:f>
      </x:c>
      <x:c r="AB120" s="197" t="str">
        <x:f>IFERROR(AA120/W120,"")</x:f>
      </x:c>
      <x:c r="AC120" s="197" t="str">
        <x:f>IF(Z120="","",(L120-Z120)^2)</x:f>
      </x:c>
      <x:c r="AD120" s="198" t="str">
        <x:f>IF(Z120="","",-(Z120*LN(MAX(0.0001,L120))+(1-Z120)*LN(MAX(0.0001,1-L120))))</x:f>
      </x:c>
      <x:c r="AE120" s="189"/>
      <x:c r="AF120" s="200" t="n">
        <x:f>AF119+IF(AA120="",0,AA120)</x:f>
        <x:v>0</x:v>
      </x:c>
      <x:c r="AG120" s="200" t="n">
        <x:f>MAX(AG119,AF120)</x:f>
        <x:v>0</x:v>
      </x:c>
      <x:c r="AH120" s="200" t="n">
        <x:f>AF120-AG120</x:f>
        <x:v>0</x:v>
      </x:c>
    </x:row>
    <x:row r="121">
      <x:c r="A121" s="189"/>
      <x:c r="B121" s="189"/>
      <x:c r="C121" s="221"/>
      <x:c r="D121" s="189"/>
      <x:c r="E121" s="221"/>
      <x:c r="F121" s="218" t="str">
        <x:f>IFERROR(LN(E121/C121)*10000,"")</x:f>
      </x:c>
      <x:c r="G121" s="191"/>
      <x:c r="H121" s="191"/>
      <x:c r="I121" s="191"/>
      <x:c r="J121" s="191"/>
      <x:c r="K121" s="189"/>
      <x:c r="L121" s="197" t="str">
        <x:f>IF(K121="Up",G121,IF(K121="Down",1-G121,""))</x:f>
      </x:c>
      <x:c r="M121" s="198" t="str">
        <x:f>IF(K121="Up",I121,IF(K121="Down",J121,""))</x:f>
      </x:c>
      <x:c r="N121" s="192"/>
      <x:c r="O121" s="198" t="n">
        <x:f>IF(N121="Taker",M121*'08_Bet_Calculator'!$B$18*(1-M121),0)</x:f>
        <x:v>0</x:v>
      </x:c>
      <x:c r="P121" s="192"/>
      <x:c r="Q121" s="198" t="str">
        <x:f>IF(M121="","",MIN(0.999,M121+O121+P121))</x:f>
      </x:c>
      <x:c r="R121" s="197" t="str">
        <x:f>IF(L121="","",L121-Q121)</x:f>
      </x:c>
      <x:c r="S121" s="197" t="str">
        <x:f>IF(L121="","",L121-'08_Bet_Calculator'!$B$24*H121-Q121-'08_Bet_Calculator'!$B$20)</x:f>
      </x:c>
      <x:c r="T121" s="197" t="n">
        <x:f>IF(OR(L121="",Q121&gt;=1),0,MAX(0,(MAX(0,L121-'08_Bet_Calculator'!$B$24*H121)-Q121)/(1-Q121)))</x:f>
        <x:v>0</x:v>
      </x:c>
      <x:c r="U121" s="197" t="n">
        <x:f>T121*'08_Bet_Calculator'!$B$21</x:f>
        <x:v>0</x:v>
      </x:c>
      <x:c r="V121" s="221"/>
      <x:c r="W121" s="200" t="n">
        <x:f>IF(OR(V121="",S121&lt;=0),0,MIN(V121*U121,V121*'08_Bet_Calculator'!$B$22,'08_Bet_Calculator'!$B$23))</x:f>
        <x:v>0</x:v>
      </x:c>
      <x:c r="X121" s="222" t="n">
        <x:f>IFERROR(W121/Q121,0)</x:f>
        <x:v>0</x:v>
      </x:c>
      <x:c r="Y121" s="189"/>
      <x:c r="Z121" s="196" t="str">
        <x:f>IF(OR(Y121="",K121=""),"",IF(Y121=K121,1,0))</x:f>
      </x:c>
      <x:c r="AA121" s="200" t="str">
        <x:f>IF(Z121="","",X121*(Z121-Q121))</x:f>
      </x:c>
      <x:c r="AB121" s="197" t="str">
        <x:f>IFERROR(AA121/W121,"")</x:f>
      </x:c>
      <x:c r="AC121" s="197" t="str">
        <x:f>IF(Z121="","",(L121-Z121)^2)</x:f>
      </x:c>
      <x:c r="AD121" s="198" t="str">
        <x:f>IF(Z121="","",-(Z121*LN(MAX(0.0001,L121))+(1-Z121)*LN(MAX(0.0001,1-L121))))</x:f>
      </x:c>
      <x:c r="AE121" s="189"/>
      <x:c r="AF121" s="200" t="n">
        <x:f>AF120+IF(AA121="",0,AA121)</x:f>
        <x:v>0</x:v>
      </x:c>
      <x:c r="AG121" s="200" t="n">
        <x:f>MAX(AG120,AF121)</x:f>
        <x:v>0</x:v>
      </x:c>
      <x:c r="AH121" s="200" t="n">
        <x:f>AF121-AG121</x:f>
        <x:v>0</x:v>
      </x:c>
    </x:row>
    <x:row r="122">
      <x:c r="A122" s="189"/>
      <x:c r="B122" s="189"/>
      <x:c r="C122" s="221"/>
      <x:c r="D122" s="189"/>
      <x:c r="E122" s="221"/>
      <x:c r="F122" s="218" t="str">
        <x:f>IFERROR(LN(E122/C122)*10000,"")</x:f>
      </x:c>
      <x:c r="G122" s="191"/>
      <x:c r="H122" s="191"/>
      <x:c r="I122" s="191"/>
      <x:c r="J122" s="191"/>
      <x:c r="K122" s="189"/>
      <x:c r="L122" s="197" t="str">
        <x:f>IF(K122="Up",G122,IF(K122="Down",1-G122,""))</x:f>
      </x:c>
      <x:c r="M122" s="198" t="str">
        <x:f>IF(K122="Up",I122,IF(K122="Down",J122,""))</x:f>
      </x:c>
      <x:c r="N122" s="192"/>
      <x:c r="O122" s="198" t="n">
        <x:f>IF(N122="Taker",M122*'08_Bet_Calculator'!$B$18*(1-M122),0)</x:f>
        <x:v>0</x:v>
      </x:c>
      <x:c r="P122" s="192"/>
      <x:c r="Q122" s="198" t="str">
        <x:f>IF(M122="","",MIN(0.999,M122+O122+P122))</x:f>
      </x:c>
      <x:c r="R122" s="197" t="str">
        <x:f>IF(L122="","",L122-Q122)</x:f>
      </x:c>
      <x:c r="S122" s="197" t="str">
        <x:f>IF(L122="","",L122-'08_Bet_Calculator'!$B$24*H122-Q122-'08_Bet_Calculator'!$B$20)</x:f>
      </x:c>
      <x:c r="T122" s="197" t="n">
        <x:f>IF(OR(L122="",Q122&gt;=1),0,MAX(0,(MAX(0,L122-'08_Bet_Calculator'!$B$24*H122)-Q122)/(1-Q122)))</x:f>
        <x:v>0</x:v>
      </x:c>
      <x:c r="U122" s="197" t="n">
        <x:f>T122*'08_Bet_Calculator'!$B$21</x:f>
        <x:v>0</x:v>
      </x:c>
      <x:c r="V122" s="221"/>
      <x:c r="W122" s="200" t="n">
        <x:f>IF(OR(V122="",S122&lt;=0),0,MIN(V122*U122,V122*'08_Bet_Calculator'!$B$22,'08_Bet_Calculator'!$B$23))</x:f>
        <x:v>0</x:v>
      </x:c>
      <x:c r="X122" s="222" t="n">
        <x:f>IFERROR(W122/Q122,0)</x:f>
        <x:v>0</x:v>
      </x:c>
      <x:c r="Y122" s="189"/>
      <x:c r="Z122" s="196" t="str">
        <x:f>IF(OR(Y122="",K122=""),"",IF(Y122=K122,1,0))</x:f>
      </x:c>
      <x:c r="AA122" s="200" t="str">
        <x:f>IF(Z122="","",X122*(Z122-Q122))</x:f>
      </x:c>
      <x:c r="AB122" s="197" t="str">
        <x:f>IFERROR(AA122/W122,"")</x:f>
      </x:c>
      <x:c r="AC122" s="197" t="str">
        <x:f>IF(Z122="","",(L122-Z122)^2)</x:f>
      </x:c>
      <x:c r="AD122" s="198" t="str">
        <x:f>IF(Z122="","",-(Z122*LN(MAX(0.0001,L122))+(1-Z122)*LN(MAX(0.0001,1-L122))))</x:f>
      </x:c>
      <x:c r="AE122" s="189"/>
      <x:c r="AF122" s="200" t="n">
        <x:f>AF121+IF(AA122="",0,AA122)</x:f>
        <x:v>0</x:v>
      </x:c>
      <x:c r="AG122" s="200" t="n">
        <x:f>MAX(AG121,AF122)</x:f>
        <x:v>0</x:v>
      </x:c>
      <x:c r="AH122" s="200" t="n">
        <x:f>AF122-AG122</x:f>
        <x:v>0</x:v>
      </x:c>
    </x:row>
    <x:row r="123">
      <x:c r="A123" s="189"/>
      <x:c r="B123" s="189"/>
      <x:c r="C123" s="221"/>
      <x:c r="D123" s="189"/>
      <x:c r="E123" s="221"/>
      <x:c r="F123" s="218" t="str">
        <x:f>IFERROR(LN(E123/C123)*10000,"")</x:f>
      </x:c>
      <x:c r="G123" s="191"/>
      <x:c r="H123" s="191"/>
      <x:c r="I123" s="191"/>
      <x:c r="J123" s="191"/>
      <x:c r="K123" s="189"/>
      <x:c r="L123" s="197" t="str">
        <x:f>IF(K123="Up",G123,IF(K123="Down",1-G123,""))</x:f>
      </x:c>
      <x:c r="M123" s="198" t="str">
        <x:f>IF(K123="Up",I123,IF(K123="Down",J123,""))</x:f>
      </x:c>
      <x:c r="N123" s="192"/>
      <x:c r="O123" s="198" t="n">
        <x:f>IF(N123="Taker",M123*'08_Bet_Calculator'!$B$18*(1-M123),0)</x:f>
        <x:v>0</x:v>
      </x:c>
      <x:c r="P123" s="192"/>
      <x:c r="Q123" s="198" t="str">
        <x:f>IF(M123="","",MIN(0.999,M123+O123+P123))</x:f>
      </x:c>
      <x:c r="R123" s="197" t="str">
        <x:f>IF(L123="","",L123-Q123)</x:f>
      </x:c>
      <x:c r="S123" s="197" t="str">
        <x:f>IF(L123="","",L123-'08_Bet_Calculator'!$B$24*H123-Q123-'08_Bet_Calculator'!$B$20)</x:f>
      </x:c>
      <x:c r="T123" s="197" t="n">
        <x:f>IF(OR(L123="",Q123&gt;=1),0,MAX(0,(MAX(0,L123-'08_Bet_Calculator'!$B$24*H123)-Q123)/(1-Q123)))</x:f>
        <x:v>0</x:v>
      </x:c>
      <x:c r="U123" s="197" t="n">
        <x:f>T123*'08_Bet_Calculator'!$B$21</x:f>
        <x:v>0</x:v>
      </x:c>
      <x:c r="V123" s="221"/>
      <x:c r="W123" s="200" t="n">
        <x:f>IF(OR(V123="",S123&lt;=0),0,MIN(V123*U123,V123*'08_Bet_Calculator'!$B$22,'08_Bet_Calculator'!$B$23))</x:f>
        <x:v>0</x:v>
      </x:c>
      <x:c r="X123" s="222" t="n">
        <x:f>IFERROR(W123/Q123,0)</x:f>
        <x:v>0</x:v>
      </x:c>
      <x:c r="Y123" s="189"/>
      <x:c r="Z123" s="196" t="str">
        <x:f>IF(OR(Y123="",K123=""),"",IF(Y123=K123,1,0))</x:f>
      </x:c>
      <x:c r="AA123" s="200" t="str">
        <x:f>IF(Z123="","",X123*(Z123-Q123))</x:f>
      </x:c>
      <x:c r="AB123" s="197" t="str">
        <x:f>IFERROR(AA123/W123,"")</x:f>
      </x:c>
      <x:c r="AC123" s="197" t="str">
        <x:f>IF(Z123="","",(L123-Z123)^2)</x:f>
      </x:c>
      <x:c r="AD123" s="198" t="str">
        <x:f>IF(Z123="","",-(Z123*LN(MAX(0.0001,L123))+(1-Z123)*LN(MAX(0.0001,1-L123))))</x:f>
      </x:c>
      <x:c r="AE123" s="189"/>
      <x:c r="AF123" s="200" t="n">
        <x:f>AF122+IF(AA123="",0,AA123)</x:f>
        <x:v>0</x:v>
      </x:c>
      <x:c r="AG123" s="200" t="n">
        <x:f>MAX(AG122,AF123)</x:f>
        <x:v>0</x:v>
      </x:c>
      <x:c r="AH123" s="200" t="n">
        <x:f>AF123-AG123</x:f>
        <x:v>0</x:v>
      </x:c>
    </x:row>
    <x:row r="124">
      <x:c r="A124" s="189"/>
      <x:c r="B124" s="189"/>
      <x:c r="C124" s="221"/>
      <x:c r="D124" s="189"/>
      <x:c r="E124" s="221"/>
      <x:c r="F124" s="218" t="str">
        <x:f>IFERROR(LN(E124/C124)*10000,"")</x:f>
      </x:c>
      <x:c r="G124" s="191"/>
      <x:c r="H124" s="191"/>
      <x:c r="I124" s="191"/>
      <x:c r="J124" s="191"/>
      <x:c r="K124" s="189"/>
      <x:c r="L124" s="197" t="str">
        <x:f>IF(K124="Up",G124,IF(K124="Down",1-G124,""))</x:f>
      </x:c>
      <x:c r="M124" s="198" t="str">
        <x:f>IF(K124="Up",I124,IF(K124="Down",J124,""))</x:f>
      </x:c>
      <x:c r="N124" s="192"/>
      <x:c r="O124" s="198" t="n">
        <x:f>IF(N124="Taker",M124*'08_Bet_Calculator'!$B$18*(1-M124),0)</x:f>
        <x:v>0</x:v>
      </x:c>
      <x:c r="P124" s="192"/>
      <x:c r="Q124" s="198" t="str">
        <x:f>IF(M124="","",MIN(0.999,M124+O124+P124))</x:f>
      </x:c>
      <x:c r="R124" s="197" t="str">
        <x:f>IF(L124="","",L124-Q124)</x:f>
      </x:c>
      <x:c r="S124" s="197" t="str">
        <x:f>IF(L124="","",L124-'08_Bet_Calculator'!$B$24*H124-Q124-'08_Bet_Calculator'!$B$20)</x:f>
      </x:c>
      <x:c r="T124" s="197" t="n">
        <x:f>IF(OR(L124="",Q124&gt;=1),0,MAX(0,(MAX(0,L124-'08_Bet_Calculator'!$B$24*H124)-Q124)/(1-Q124)))</x:f>
        <x:v>0</x:v>
      </x:c>
      <x:c r="U124" s="197" t="n">
        <x:f>T124*'08_Bet_Calculator'!$B$21</x:f>
        <x:v>0</x:v>
      </x:c>
      <x:c r="V124" s="221"/>
      <x:c r="W124" s="200" t="n">
        <x:f>IF(OR(V124="",S124&lt;=0),0,MIN(V124*U124,V124*'08_Bet_Calculator'!$B$22,'08_Bet_Calculator'!$B$23))</x:f>
        <x:v>0</x:v>
      </x:c>
      <x:c r="X124" s="222" t="n">
        <x:f>IFERROR(W124/Q124,0)</x:f>
        <x:v>0</x:v>
      </x:c>
      <x:c r="Y124" s="189"/>
      <x:c r="Z124" s="196" t="str">
        <x:f>IF(OR(Y124="",K124=""),"",IF(Y124=K124,1,0))</x:f>
      </x:c>
      <x:c r="AA124" s="200" t="str">
        <x:f>IF(Z124="","",X124*(Z124-Q124))</x:f>
      </x:c>
      <x:c r="AB124" s="197" t="str">
        <x:f>IFERROR(AA124/W124,"")</x:f>
      </x:c>
      <x:c r="AC124" s="197" t="str">
        <x:f>IF(Z124="","",(L124-Z124)^2)</x:f>
      </x:c>
      <x:c r="AD124" s="198" t="str">
        <x:f>IF(Z124="","",-(Z124*LN(MAX(0.0001,L124))+(1-Z124)*LN(MAX(0.0001,1-L124))))</x:f>
      </x:c>
      <x:c r="AE124" s="189"/>
      <x:c r="AF124" s="200" t="n">
        <x:f>AF123+IF(AA124="",0,AA124)</x:f>
        <x:v>0</x:v>
      </x:c>
      <x:c r="AG124" s="200" t="n">
        <x:f>MAX(AG123,AF124)</x:f>
        <x:v>0</x:v>
      </x:c>
      <x:c r="AH124" s="200" t="n">
        <x:f>AF124-AG124</x:f>
        <x:v>0</x:v>
      </x:c>
    </x:row>
    <x:row r="125">
      <x:c r="A125" s="189"/>
      <x:c r="B125" s="189"/>
      <x:c r="C125" s="221"/>
      <x:c r="D125" s="189"/>
      <x:c r="E125" s="221"/>
      <x:c r="F125" s="218" t="str">
        <x:f>IFERROR(LN(E125/C125)*10000,"")</x:f>
      </x:c>
      <x:c r="G125" s="191"/>
      <x:c r="H125" s="191"/>
      <x:c r="I125" s="191"/>
      <x:c r="J125" s="191"/>
      <x:c r="K125" s="189"/>
      <x:c r="L125" s="197" t="str">
        <x:f>IF(K125="Up",G125,IF(K125="Down",1-G125,""))</x:f>
      </x:c>
      <x:c r="M125" s="198" t="str">
        <x:f>IF(K125="Up",I125,IF(K125="Down",J125,""))</x:f>
      </x:c>
      <x:c r="N125" s="192"/>
      <x:c r="O125" s="198" t="n">
        <x:f>IF(N125="Taker",M125*'08_Bet_Calculator'!$B$18*(1-M125),0)</x:f>
        <x:v>0</x:v>
      </x:c>
      <x:c r="P125" s="192"/>
      <x:c r="Q125" s="198" t="str">
        <x:f>IF(M125="","",MIN(0.999,M125+O125+P125))</x:f>
      </x:c>
      <x:c r="R125" s="197" t="str">
        <x:f>IF(L125="","",L125-Q125)</x:f>
      </x:c>
      <x:c r="S125" s="197" t="str">
        <x:f>IF(L125="","",L125-'08_Bet_Calculator'!$B$24*H125-Q125-'08_Bet_Calculator'!$B$20)</x:f>
      </x:c>
      <x:c r="T125" s="197" t="n">
        <x:f>IF(OR(L125="",Q125&gt;=1),0,MAX(0,(MAX(0,L125-'08_Bet_Calculator'!$B$24*H125)-Q125)/(1-Q125)))</x:f>
        <x:v>0</x:v>
      </x:c>
      <x:c r="U125" s="197" t="n">
        <x:f>T125*'08_Bet_Calculator'!$B$21</x:f>
        <x:v>0</x:v>
      </x:c>
      <x:c r="V125" s="221"/>
      <x:c r="W125" s="200" t="n">
        <x:f>IF(OR(V125="",S125&lt;=0),0,MIN(V125*U125,V125*'08_Bet_Calculator'!$B$22,'08_Bet_Calculator'!$B$23))</x:f>
        <x:v>0</x:v>
      </x:c>
      <x:c r="X125" s="222" t="n">
        <x:f>IFERROR(W125/Q125,0)</x:f>
        <x:v>0</x:v>
      </x:c>
      <x:c r="Y125" s="189"/>
      <x:c r="Z125" s="196" t="str">
        <x:f>IF(OR(Y125="",K125=""),"",IF(Y125=K125,1,0))</x:f>
      </x:c>
      <x:c r="AA125" s="200" t="str">
        <x:f>IF(Z125="","",X125*(Z125-Q125))</x:f>
      </x:c>
      <x:c r="AB125" s="197" t="str">
        <x:f>IFERROR(AA125/W125,"")</x:f>
      </x:c>
      <x:c r="AC125" s="197" t="str">
        <x:f>IF(Z125="","",(L125-Z125)^2)</x:f>
      </x:c>
      <x:c r="AD125" s="198" t="str">
        <x:f>IF(Z125="","",-(Z125*LN(MAX(0.0001,L125))+(1-Z125)*LN(MAX(0.0001,1-L125))))</x:f>
      </x:c>
      <x:c r="AE125" s="189"/>
      <x:c r="AF125" s="200" t="n">
        <x:f>AF124+IF(AA125="",0,AA125)</x:f>
        <x:v>0</x:v>
      </x:c>
      <x:c r="AG125" s="200" t="n">
        <x:f>MAX(AG124,AF125)</x:f>
        <x:v>0</x:v>
      </x:c>
      <x:c r="AH125" s="200" t="n">
        <x:f>AF125-AG125</x:f>
        <x:v>0</x:v>
      </x:c>
    </x:row>
    <x:row r="126">
      <x:c r="A126" s="189"/>
      <x:c r="B126" s="189"/>
      <x:c r="C126" s="221"/>
      <x:c r="D126" s="189"/>
      <x:c r="E126" s="221"/>
      <x:c r="F126" s="218" t="str">
        <x:f>IFERROR(LN(E126/C126)*10000,"")</x:f>
      </x:c>
      <x:c r="G126" s="191"/>
      <x:c r="H126" s="191"/>
      <x:c r="I126" s="191"/>
      <x:c r="J126" s="191"/>
      <x:c r="K126" s="189"/>
      <x:c r="L126" s="197" t="str">
        <x:f>IF(K126="Up",G126,IF(K126="Down",1-G126,""))</x:f>
      </x:c>
      <x:c r="M126" s="198" t="str">
        <x:f>IF(K126="Up",I126,IF(K126="Down",J126,""))</x:f>
      </x:c>
      <x:c r="N126" s="192"/>
      <x:c r="O126" s="198" t="n">
        <x:f>IF(N126="Taker",M126*'08_Bet_Calculator'!$B$18*(1-M126),0)</x:f>
        <x:v>0</x:v>
      </x:c>
      <x:c r="P126" s="192"/>
      <x:c r="Q126" s="198" t="str">
        <x:f>IF(M126="","",MIN(0.999,M126+O126+P126))</x:f>
      </x:c>
      <x:c r="R126" s="197" t="str">
        <x:f>IF(L126="","",L126-Q126)</x:f>
      </x:c>
      <x:c r="S126" s="197" t="str">
        <x:f>IF(L126="","",L126-'08_Bet_Calculator'!$B$24*H126-Q126-'08_Bet_Calculator'!$B$20)</x:f>
      </x:c>
      <x:c r="T126" s="197" t="n">
        <x:f>IF(OR(L126="",Q126&gt;=1),0,MAX(0,(MAX(0,L126-'08_Bet_Calculator'!$B$24*H126)-Q126)/(1-Q126)))</x:f>
        <x:v>0</x:v>
      </x:c>
      <x:c r="U126" s="197" t="n">
        <x:f>T126*'08_Bet_Calculator'!$B$21</x:f>
        <x:v>0</x:v>
      </x:c>
      <x:c r="V126" s="221"/>
      <x:c r="W126" s="200" t="n">
        <x:f>IF(OR(V126="",S126&lt;=0),0,MIN(V126*U126,V126*'08_Bet_Calculator'!$B$22,'08_Bet_Calculator'!$B$23))</x:f>
        <x:v>0</x:v>
      </x:c>
      <x:c r="X126" s="222" t="n">
        <x:f>IFERROR(W126/Q126,0)</x:f>
        <x:v>0</x:v>
      </x:c>
      <x:c r="Y126" s="189"/>
      <x:c r="Z126" s="196" t="str">
        <x:f>IF(OR(Y126="",K126=""),"",IF(Y126=K126,1,0))</x:f>
      </x:c>
      <x:c r="AA126" s="200" t="str">
        <x:f>IF(Z126="","",X126*(Z126-Q126))</x:f>
      </x:c>
      <x:c r="AB126" s="197" t="str">
        <x:f>IFERROR(AA126/W126,"")</x:f>
      </x:c>
      <x:c r="AC126" s="197" t="str">
        <x:f>IF(Z126="","",(L126-Z126)^2)</x:f>
      </x:c>
      <x:c r="AD126" s="198" t="str">
        <x:f>IF(Z126="","",-(Z126*LN(MAX(0.0001,L126))+(1-Z126)*LN(MAX(0.0001,1-L126))))</x:f>
      </x:c>
      <x:c r="AE126" s="189"/>
      <x:c r="AF126" s="200" t="n">
        <x:f>AF125+IF(AA126="",0,AA126)</x:f>
        <x:v>0</x:v>
      </x:c>
      <x:c r="AG126" s="200" t="n">
        <x:f>MAX(AG125,AF126)</x:f>
        <x:v>0</x:v>
      </x:c>
      <x:c r="AH126" s="200" t="n">
        <x:f>AF126-AG126</x:f>
        <x:v>0</x:v>
      </x:c>
    </x:row>
    <x:row r="127">
      <x:c r="A127" s="189"/>
      <x:c r="B127" s="189"/>
      <x:c r="C127" s="221"/>
      <x:c r="D127" s="189"/>
      <x:c r="E127" s="221"/>
      <x:c r="F127" s="218" t="str">
        <x:f>IFERROR(LN(E127/C127)*10000,"")</x:f>
      </x:c>
      <x:c r="G127" s="191"/>
      <x:c r="H127" s="191"/>
      <x:c r="I127" s="191"/>
      <x:c r="J127" s="191"/>
      <x:c r="K127" s="189"/>
      <x:c r="L127" s="197" t="str">
        <x:f>IF(K127="Up",G127,IF(K127="Down",1-G127,""))</x:f>
      </x:c>
      <x:c r="M127" s="198" t="str">
        <x:f>IF(K127="Up",I127,IF(K127="Down",J127,""))</x:f>
      </x:c>
      <x:c r="N127" s="192"/>
      <x:c r="O127" s="198" t="n">
        <x:f>IF(N127="Taker",M127*'08_Bet_Calculator'!$B$18*(1-M127),0)</x:f>
        <x:v>0</x:v>
      </x:c>
      <x:c r="P127" s="192"/>
      <x:c r="Q127" s="198" t="str">
        <x:f>IF(M127="","",MIN(0.999,M127+O127+P127))</x:f>
      </x:c>
      <x:c r="R127" s="197" t="str">
        <x:f>IF(L127="","",L127-Q127)</x:f>
      </x:c>
      <x:c r="S127" s="197" t="str">
        <x:f>IF(L127="","",L127-'08_Bet_Calculator'!$B$24*H127-Q127-'08_Bet_Calculator'!$B$20)</x:f>
      </x:c>
      <x:c r="T127" s="197" t="n">
        <x:f>IF(OR(L127="",Q127&gt;=1),0,MAX(0,(MAX(0,L127-'08_Bet_Calculator'!$B$24*H127)-Q127)/(1-Q127)))</x:f>
        <x:v>0</x:v>
      </x:c>
      <x:c r="U127" s="197" t="n">
        <x:f>T127*'08_Bet_Calculator'!$B$21</x:f>
        <x:v>0</x:v>
      </x:c>
      <x:c r="V127" s="221"/>
      <x:c r="W127" s="200" t="n">
        <x:f>IF(OR(V127="",S127&lt;=0),0,MIN(V127*U127,V127*'08_Bet_Calculator'!$B$22,'08_Bet_Calculator'!$B$23))</x:f>
        <x:v>0</x:v>
      </x:c>
      <x:c r="X127" s="222" t="n">
        <x:f>IFERROR(W127/Q127,0)</x:f>
        <x:v>0</x:v>
      </x:c>
      <x:c r="Y127" s="189"/>
      <x:c r="Z127" s="196" t="str">
        <x:f>IF(OR(Y127="",K127=""),"",IF(Y127=K127,1,0))</x:f>
      </x:c>
      <x:c r="AA127" s="200" t="str">
        <x:f>IF(Z127="","",X127*(Z127-Q127))</x:f>
      </x:c>
      <x:c r="AB127" s="197" t="str">
        <x:f>IFERROR(AA127/W127,"")</x:f>
      </x:c>
      <x:c r="AC127" s="197" t="str">
        <x:f>IF(Z127="","",(L127-Z127)^2)</x:f>
      </x:c>
      <x:c r="AD127" s="198" t="str">
        <x:f>IF(Z127="","",-(Z127*LN(MAX(0.0001,L127))+(1-Z127)*LN(MAX(0.0001,1-L127))))</x:f>
      </x:c>
      <x:c r="AE127" s="189"/>
      <x:c r="AF127" s="200" t="n">
        <x:f>AF126+IF(AA127="",0,AA127)</x:f>
        <x:v>0</x:v>
      </x:c>
      <x:c r="AG127" s="200" t="n">
        <x:f>MAX(AG126,AF127)</x:f>
        <x:v>0</x:v>
      </x:c>
      <x:c r="AH127" s="200" t="n">
        <x:f>AF127-AG127</x:f>
        <x:v>0</x:v>
      </x:c>
    </x:row>
    <x:row r="128">
      <x:c r="A128" s="189"/>
      <x:c r="B128" s="189"/>
      <x:c r="C128" s="221"/>
      <x:c r="D128" s="189"/>
      <x:c r="E128" s="221"/>
      <x:c r="F128" s="218" t="str">
        <x:f>IFERROR(LN(E128/C128)*10000,"")</x:f>
      </x:c>
      <x:c r="G128" s="191"/>
      <x:c r="H128" s="191"/>
      <x:c r="I128" s="191"/>
      <x:c r="J128" s="191"/>
      <x:c r="K128" s="189"/>
      <x:c r="L128" s="197" t="str">
        <x:f>IF(K128="Up",G128,IF(K128="Down",1-G128,""))</x:f>
      </x:c>
      <x:c r="M128" s="198" t="str">
        <x:f>IF(K128="Up",I128,IF(K128="Down",J128,""))</x:f>
      </x:c>
      <x:c r="N128" s="192"/>
      <x:c r="O128" s="198" t="n">
        <x:f>IF(N128="Taker",M128*'08_Bet_Calculator'!$B$18*(1-M128),0)</x:f>
        <x:v>0</x:v>
      </x:c>
      <x:c r="P128" s="192"/>
      <x:c r="Q128" s="198" t="str">
        <x:f>IF(M128="","",MIN(0.999,M128+O128+P128))</x:f>
      </x:c>
      <x:c r="R128" s="197" t="str">
        <x:f>IF(L128="","",L128-Q128)</x:f>
      </x:c>
      <x:c r="S128" s="197" t="str">
        <x:f>IF(L128="","",L128-'08_Bet_Calculator'!$B$24*H128-Q128-'08_Bet_Calculator'!$B$20)</x:f>
      </x:c>
      <x:c r="T128" s="197" t="n">
        <x:f>IF(OR(L128="",Q128&gt;=1),0,MAX(0,(MAX(0,L128-'08_Bet_Calculator'!$B$24*H128)-Q128)/(1-Q128)))</x:f>
        <x:v>0</x:v>
      </x:c>
      <x:c r="U128" s="197" t="n">
        <x:f>T128*'08_Bet_Calculator'!$B$21</x:f>
        <x:v>0</x:v>
      </x:c>
      <x:c r="V128" s="221"/>
      <x:c r="W128" s="200" t="n">
        <x:f>IF(OR(V128="",S128&lt;=0),0,MIN(V128*U128,V128*'08_Bet_Calculator'!$B$22,'08_Bet_Calculator'!$B$23))</x:f>
        <x:v>0</x:v>
      </x:c>
      <x:c r="X128" s="222" t="n">
        <x:f>IFERROR(W128/Q128,0)</x:f>
        <x:v>0</x:v>
      </x:c>
      <x:c r="Y128" s="189"/>
      <x:c r="Z128" s="196" t="str">
        <x:f>IF(OR(Y128="",K128=""),"",IF(Y128=K128,1,0))</x:f>
      </x:c>
      <x:c r="AA128" s="200" t="str">
        <x:f>IF(Z128="","",X128*(Z128-Q128))</x:f>
      </x:c>
      <x:c r="AB128" s="197" t="str">
        <x:f>IFERROR(AA128/W128,"")</x:f>
      </x:c>
      <x:c r="AC128" s="197" t="str">
        <x:f>IF(Z128="","",(L128-Z128)^2)</x:f>
      </x:c>
      <x:c r="AD128" s="198" t="str">
        <x:f>IF(Z128="","",-(Z128*LN(MAX(0.0001,L128))+(1-Z128)*LN(MAX(0.0001,1-L128))))</x:f>
      </x:c>
      <x:c r="AE128" s="189"/>
      <x:c r="AF128" s="200" t="n">
        <x:f>AF127+IF(AA128="",0,AA128)</x:f>
        <x:v>0</x:v>
      </x:c>
      <x:c r="AG128" s="200" t="n">
        <x:f>MAX(AG127,AF128)</x:f>
        <x:v>0</x:v>
      </x:c>
      <x:c r="AH128" s="200" t="n">
        <x:f>AF128-AG128</x:f>
        <x:v>0</x:v>
      </x:c>
    </x:row>
    <x:row r="129">
      <x:c r="A129" s="189"/>
      <x:c r="B129" s="189"/>
      <x:c r="C129" s="221"/>
      <x:c r="D129" s="189"/>
      <x:c r="E129" s="221"/>
      <x:c r="F129" s="218" t="str">
        <x:f>IFERROR(LN(E129/C129)*10000,"")</x:f>
      </x:c>
      <x:c r="G129" s="191"/>
      <x:c r="H129" s="191"/>
      <x:c r="I129" s="191"/>
      <x:c r="J129" s="191"/>
      <x:c r="K129" s="189"/>
      <x:c r="L129" s="197" t="str">
        <x:f>IF(K129="Up",G129,IF(K129="Down",1-G129,""))</x:f>
      </x:c>
      <x:c r="M129" s="198" t="str">
        <x:f>IF(K129="Up",I129,IF(K129="Down",J129,""))</x:f>
      </x:c>
      <x:c r="N129" s="192"/>
      <x:c r="O129" s="198" t="n">
        <x:f>IF(N129="Taker",M129*'08_Bet_Calculator'!$B$18*(1-M129),0)</x:f>
        <x:v>0</x:v>
      </x:c>
      <x:c r="P129" s="192"/>
      <x:c r="Q129" s="198" t="str">
        <x:f>IF(M129="","",MIN(0.999,M129+O129+P129))</x:f>
      </x:c>
      <x:c r="R129" s="197" t="str">
        <x:f>IF(L129="","",L129-Q129)</x:f>
      </x:c>
      <x:c r="S129" s="197" t="str">
        <x:f>IF(L129="","",L129-'08_Bet_Calculator'!$B$24*H129-Q129-'08_Bet_Calculator'!$B$20)</x:f>
      </x:c>
      <x:c r="T129" s="197" t="n">
        <x:f>IF(OR(L129="",Q129&gt;=1),0,MAX(0,(MAX(0,L129-'08_Bet_Calculator'!$B$24*H129)-Q129)/(1-Q129)))</x:f>
        <x:v>0</x:v>
      </x:c>
      <x:c r="U129" s="197" t="n">
        <x:f>T129*'08_Bet_Calculator'!$B$21</x:f>
        <x:v>0</x:v>
      </x:c>
      <x:c r="V129" s="221"/>
      <x:c r="W129" s="200" t="n">
        <x:f>IF(OR(V129="",S129&lt;=0),0,MIN(V129*U129,V129*'08_Bet_Calculator'!$B$22,'08_Bet_Calculator'!$B$23))</x:f>
        <x:v>0</x:v>
      </x:c>
      <x:c r="X129" s="222" t="n">
        <x:f>IFERROR(W129/Q129,0)</x:f>
        <x:v>0</x:v>
      </x:c>
      <x:c r="Y129" s="189"/>
      <x:c r="Z129" s="196" t="str">
        <x:f>IF(OR(Y129="",K129=""),"",IF(Y129=K129,1,0))</x:f>
      </x:c>
      <x:c r="AA129" s="200" t="str">
        <x:f>IF(Z129="","",X129*(Z129-Q129))</x:f>
      </x:c>
      <x:c r="AB129" s="197" t="str">
        <x:f>IFERROR(AA129/W129,"")</x:f>
      </x:c>
      <x:c r="AC129" s="197" t="str">
        <x:f>IF(Z129="","",(L129-Z129)^2)</x:f>
      </x:c>
      <x:c r="AD129" s="198" t="str">
        <x:f>IF(Z129="","",-(Z129*LN(MAX(0.0001,L129))+(1-Z129)*LN(MAX(0.0001,1-L129))))</x:f>
      </x:c>
      <x:c r="AE129" s="189"/>
      <x:c r="AF129" s="200" t="n">
        <x:f>AF128+IF(AA129="",0,AA129)</x:f>
        <x:v>0</x:v>
      </x:c>
      <x:c r="AG129" s="200" t="n">
        <x:f>MAX(AG128,AF129)</x:f>
        <x:v>0</x:v>
      </x:c>
      <x:c r="AH129" s="200" t="n">
        <x:f>AF129-AG129</x:f>
        <x:v>0</x:v>
      </x:c>
    </x:row>
    <x:row r="130">
      <x:c r="A130" s="189"/>
      <x:c r="B130" s="189"/>
      <x:c r="C130" s="221"/>
      <x:c r="D130" s="189"/>
      <x:c r="E130" s="221"/>
      <x:c r="F130" s="218" t="str">
        <x:f>IFERROR(LN(E130/C130)*10000,"")</x:f>
      </x:c>
      <x:c r="G130" s="191"/>
      <x:c r="H130" s="191"/>
      <x:c r="I130" s="191"/>
      <x:c r="J130" s="191"/>
      <x:c r="K130" s="189"/>
      <x:c r="L130" s="197" t="str">
        <x:f>IF(K130="Up",G130,IF(K130="Down",1-G130,""))</x:f>
      </x:c>
      <x:c r="M130" s="198" t="str">
        <x:f>IF(K130="Up",I130,IF(K130="Down",J130,""))</x:f>
      </x:c>
      <x:c r="N130" s="192"/>
      <x:c r="O130" s="198" t="n">
        <x:f>IF(N130="Taker",M130*'08_Bet_Calculator'!$B$18*(1-M130),0)</x:f>
        <x:v>0</x:v>
      </x:c>
      <x:c r="P130" s="192"/>
      <x:c r="Q130" s="198" t="str">
        <x:f>IF(M130="","",MIN(0.999,M130+O130+P130))</x:f>
      </x:c>
      <x:c r="R130" s="197" t="str">
        <x:f>IF(L130="","",L130-Q130)</x:f>
      </x:c>
      <x:c r="S130" s="197" t="str">
        <x:f>IF(L130="","",L130-'08_Bet_Calculator'!$B$24*H130-Q130-'08_Bet_Calculator'!$B$20)</x:f>
      </x:c>
      <x:c r="T130" s="197" t="n">
        <x:f>IF(OR(L130="",Q130&gt;=1),0,MAX(0,(MAX(0,L130-'08_Bet_Calculator'!$B$24*H130)-Q130)/(1-Q130)))</x:f>
        <x:v>0</x:v>
      </x:c>
      <x:c r="U130" s="197" t="n">
        <x:f>T130*'08_Bet_Calculator'!$B$21</x:f>
        <x:v>0</x:v>
      </x:c>
      <x:c r="V130" s="221"/>
      <x:c r="W130" s="200" t="n">
        <x:f>IF(OR(V130="",S130&lt;=0),0,MIN(V130*U130,V130*'08_Bet_Calculator'!$B$22,'08_Bet_Calculator'!$B$23))</x:f>
        <x:v>0</x:v>
      </x:c>
      <x:c r="X130" s="222" t="n">
        <x:f>IFERROR(W130/Q130,0)</x:f>
        <x:v>0</x:v>
      </x:c>
      <x:c r="Y130" s="189"/>
      <x:c r="Z130" s="196" t="str">
        <x:f>IF(OR(Y130="",K130=""),"",IF(Y130=K130,1,0))</x:f>
      </x:c>
      <x:c r="AA130" s="200" t="str">
        <x:f>IF(Z130="","",X130*(Z130-Q130))</x:f>
      </x:c>
      <x:c r="AB130" s="197" t="str">
        <x:f>IFERROR(AA130/W130,"")</x:f>
      </x:c>
      <x:c r="AC130" s="197" t="str">
        <x:f>IF(Z130="","",(L130-Z130)^2)</x:f>
      </x:c>
      <x:c r="AD130" s="198" t="str">
        <x:f>IF(Z130="","",-(Z130*LN(MAX(0.0001,L130))+(1-Z130)*LN(MAX(0.0001,1-L130))))</x:f>
      </x:c>
      <x:c r="AE130" s="189"/>
      <x:c r="AF130" s="200" t="n">
        <x:f>AF129+IF(AA130="",0,AA130)</x:f>
        <x:v>0</x:v>
      </x:c>
      <x:c r="AG130" s="200" t="n">
        <x:f>MAX(AG129,AF130)</x:f>
        <x:v>0</x:v>
      </x:c>
      <x:c r="AH130" s="200" t="n">
        <x:f>AF130-AG130</x:f>
        <x:v>0</x:v>
      </x:c>
    </x:row>
    <x:row r="131">
      <x:c r="A131" s="189"/>
      <x:c r="B131" s="189"/>
      <x:c r="C131" s="221"/>
      <x:c r="D131" s="189"/>
      <x:c r="E131" s="221"/>
      <x:c r="F131" s="218" t="str">
        <x:f>IFERROR(LN(E131/C131)*10000,"")</x:f>
      </x:c>
      <x:c r="G131" s="191"/>
      <x:c r="H131" s="191"/>
      <x:c r="I131" s="191"/>
      <x:c r="J131" s="191"/>
      <x:c r="K131" s="189"/>
      <x:c r="L131" s="197" t="str">
        <x:f>IF(K131="Up",G131,IF(K131="Down",1-G131,""))</x:f>
      </x:c>
      <x:c r="M131" s="198" t="str">
        <x:f>IF(K131="Up",I131,IF(K131="Down",J131,""))</x:f>
      </x:c>
      <x:c r="N131" s="192"/>
      <x:c r="O131" s="198" t="n">
        <x:f>IF(N131="Taker",M131*'08_Bet_Calculator'!$B$18*(1-M131),0)</x:f>
        <x:v>0</x:v>
      </x:c>
      <x:c r="P131" s="192"/>
      <x:c r="Q131" s="198" t="str">
        <x:f>IF(M131="","",MIN(0.999,M131+O131+P131))</x:f>
      </x:c>
      <x:c r="R131" s="197" t="str">
        <x:f>IF(L131="","",L131-Q131)</x:f>
      </x:c>
      <x:c r="S131" s="197" t="str">
        <x:f>IF(L131="","",L131-'08_Bet_Calculator'!$B$24*H131-Q131-'08_Bet_Calculator'!$B$20)</x:f>
      </x:c>
      <x:c r="T131" s="197" t="n">
        <x:f>IF(OR(L131="",Q131&gt;=1),0,MAX(0,(MAX(0,L131-'08_Bet_Calculator'!$B$24*H131)-Q131)/(1-Q131)))</x:f>
        <x:v>0</x:v>
      </x:c>
      <x:c r="U131" s="197" t="n">
        <x:f>T131*'08_Bet_Calculator'!$B$21</x:f>
        <x:v>0</x:v>
      </x:c>
      <x:c r="V131" s="221"/>
      <x:c r="W131" s="200" t="n">
        <x:f>IF(OR(V131="",S131&lt;=0),0,MIN(V131*U131,V131*'08_Bet_Calculator'!$B$22,'08_Bet_Calculator'!$B$23))</x:f>
        <x:v>0</x:v>
      </x:c>
      <x:c r="X131" s="222" t="n">
        <x:f>IFERROR(W131/Q131,0)</x:f>
        <x:v>0</x:v>
      </x:c>
      <x:c r="Y131" s="189"/>
      <x:c r="Z131" s="196" t="str">
        <x:f>IF(OR(Y131="",K131=""),"",IF(Y131=K131,1,0))</x:f>
      </x:c>
      <x:c r="AA131" s="200" t="str">
        <x:f>IF(Z131="","",X131*(Z131-Q131))</x:f>
      </x:c>
      <x:c r="AB131" s="197" t="str">
        <x:f>IFERROR(AA131/W131,"")</x:f>
      </x:c>
      <x:c r="AC131" s="197" t="str">
        <x:f>IF(Z131="","",(L131-Z131)^2)</x:f>
      </x:c>
      <x:c r="AD131" s="198" t="str">
        <x:f>IF(Z131="","",-(Z131*LN(MAX(0.0001,L131))+(1-Z131)*LN(MAX(0.0001,1-L131))))</x:f>
      </x:c>
      <x:c r="AE131" s="189"/>
      <x:c r="AF131" s="200" t="n">
        <x:f>AF130+IF(AA131="",0,AA131)</x:f>
        <x:v>0</x:v>
      </x:c>
      <x:c r="AG131" s="200" t="n">
        <x:f>MAX(AG130,AF131)</x:f>
        <x:v>0</x:v>
      </x:c>
      <x:c r="AH131" s="200" t="n">
        <x:f>AF131-AG131</x:f>
        <x:v>0</x:v>
      </x:c>
    </x:row>
    <x:row r="132">
      <x:c r="A132" s="189"/>
      <x:c r="B132" s="189"/>
      <x:c r="C132" s="221"/>
      <x:c r="D132" s="189"/>
      <x:c r="E132" s="221"/>
      <x:c r="F132" s="218" t="str">
        <x:f>IFERROR(LN(E132/C132)*10000,"")</x:f>
      </x:c>
      <x:c r="G132" s="191"/>
      <x:c r="H132" s="191"/>
      <x:c r="I132" s="191"/>
      <x:c r="J132" s="191"/>
      <x:c r="K132" s="189"/>
      <x:c r="L132" s="197" t="str">
        <x:f>IF(K132="Up",G132,IF(K132="Down",1-G132,""))</x:f>
      </x:c>
      <x:c r="M132" s="198" t="str">
        <x:f>IF(K132="Up",I132,IF(K132="Down",J132,""))</x:f>
      </x:c>
      <x:c r="N132" s="192"/>
      <x:c r="O132" s="198" t="n">
        <x:f>IF(N132="Taker",M132*'08_Bet_Calculator'!$B$18*(1-M132),0)</x:f>
        <x:v>0</x:v>
      </x:c>
      <x:c r="P132" s="192"/>
      <x:c r="Q132" s="198" t="str">
        <x:f>IF(M132="","",MIN(0.999,M132+O132+P132))</x:f>
      </x:c>
      <x:c r="R132" s="197" t="str">
        <x:f>IF(L132="","",L132-Q132)</x:f>
      </x:c>
      <x:c r="S132" s="197" t="str">
        <x:f>IF(L132="","",L132-'08_Bet_Calculator'!$B$24*H132-Q132-'08_Bet_Calculator'!$B$20)</x:f>
      </x:c>
      <x:c r="T132" s="197" t="n">
        <x:f>IF(OR(L132="",Q132&gt;=1),0,MAX(0,(MAX(0,L132-'08_Bet_Calculator'!$B$24*H132)-Q132)/(1-Q132)))</x:f>
        <x:v>0</x:v>
      </x:c>
      <x:c r="U132" s="197" t="n">
        <x:f>T132*'08_Bet_Calculator'!$B$21</x:f>
        <x:v>0</x:v>
      </x:c>
      <x:c r="V132" s="221"/>
      <x:c r="W132" s="200" t="n">
        <x:f>IF(OR(V132="",S132&lt;=0),0,MIN(V132*U132,V132*'08_Bet_Calculator'!$B$22,'08_Bet_Calculator'!$B$23))</x:f>
        <x:v>0</x:v>
      </x:c>
      <x:c r="X132" s="222" t="n">
        <x:f>IFERROR(W132/Q132,0)</x:f>
        <x:v>0</x:v>
      </x:c>
      <x:c r="Y132" s="189"/>
      <x:c r="Z132" s="196" t="str">
        <x:f>IF(OR(Y132="",K132=""),"",IF(Y132=K132,1,0))</x:f>
      </x:c>
      <x:c r="AA132" s="200" t="str">
        <x:f>IF(Z132="","",X132*(Z132-Q132))</x:f>
      </x:c>
      <x:c r="AB132" s="197" t="str">
        <x:f>IFERROR(AA132/W132,"")</x:f>
      </x:c>
      <x:c r="AC132" s="197" t="str">
        <x:f>IF(Z132="","",(L132-Z132)^2)</x:f>
      </x:c>
      <x:c r="AD132" s="198" t="str">
        <x:f>IF(Z132="","",-(Z132*LN(MAX(0.0001,L132))+(1-Z132)*LN(MAX(0.0001,1-L132))))</x:f>
      </x:c>
      <x:c r="AE132" s="189"/>
      <x:c r="AF132" s="200" t="n">
        <x:f>AF131+IF(AA132="",0,AA132)</x:f>
        <x:v>0</x:v>
      </x:c>
      <x:c r="AG132" s="200" t="n">
        <x:f>MAX(AG131,AF132)</x:f>
        <x:v>0</x:v>
      </x:c>
      <x:c r="AH132" s="200" t="n">
        <x:f>AF132-AG132</x:f>
        <x:v>0</x:v>
      </x:c>
    </x:row>
    <x:row r="133">
      <x:c r="A133" s="189"/>
      <x:c r="B133" s="189"/>
      <x:c r="C133" s="221"/>
      <x:c r="D133" s="189"/>
      <x:c r="E133" s="221"/>
      <x:c r="F133" s="218" t="str">
        <x:f>IFERROR(LN(E133/C133)*10000,"")</x:f>
      </x:c>
      <x:c r="G133" s="191"/>
      <x:c r="H133" s="191"/>
      <x:c r="I133" s="191"/>
      <x:c r="J133" s="191"/>
      <x:c r="K133" s="189"/>
      <x:c r="L133" s="197" t="str">
        <x:f>IF(K133="Up",G133,IF(K133="Down",1-G133,""))</x:f>
      </x:c>
      <x:c r="M133" s="198" t="str">
        <x:f>IF(K133="Up",I133,IF(K133="Down",J133,""))</x:f>
      </x:c>
      <x:c r="N133" s="192"/>
      <x:c r="O133" s="198" t="n">
        <x:f>IF(N133="Taker",M133*'08_Bet_Calculator'!$B$18*(1-M133),0)</x:f>
        <x:v>0</x:v>
      </x:c>
      <x:c r="P133" s="192"/>
      <x:c r="Q133" s="198" t="str">
        <x:f>IF(M133="","",MIN(0.999,M133+O133+P133))</x:f>
      </x:c>
      <x:c r="R133" s="197" t="str">
        <x:f>IF(L133="","",L133-Q133)</x:f>
      </x:c>
      <x:c r="S133" s="197" t="str">
        <x:f>IF(L133="","",L133-'08_Bet_Calculator'!$B$24*H133-Q133-'08_Bet_Calculator'!$B$20)</x:f>
      </x:c>
      <x:c r="T133" s="197" t="n">
        <x:f>IF(OR(L133="",Q133&gt;=1),0,MAX(0,(MAX(0,L133-'08_Bet_Calculator'!$B$24*H133)-Q133)/(1-Q133)))</x:f>
        <x:v>0</x:v>
      </x:c>
      <x:c r="U133" s="197" t="n">
        <x:f>T133*'08_Bet_Calculator'!$B$21</x:f>
        <x:v>0</x:v>
      </x:c>
      <x:c r="V133" s="221"/>
      <x:c r="W133" s="200" t="n">
        <x:f>IF(OR(V133="",S133&lt;=0),0,MIN(V133*U133,V133*'08_Bet_Calculator'!$B$22,'08_Bet_Calculator'!$B$23))</x:f>
        <x:v>0</x:v>
      </x:c>
      <x:c r="X133" s="222" t="n">
        <x:f>IFERROR(W133/Q133,0)</x:f>
        <x:v>0</x:v>
      </x:c>
      <x:c r="Y133" s="189"/>
      <x:c r="Z133" s="196" t="str">
        <x:f>IF(OR(Y133="",K133=""),"",IF(Y133=K133,1,0))</x:f>
      </x:c>
      <x:c r="AA133" s="200" t="str">
        <x:f>IF(Z133="","",X133*(Z133-Q133))</x:f>
      </x:c>
      <x:c r="AB133" s="197" t="str">
        <x:f>IFERROR(AA133/W133,"")</x:f>
      </x:c>
      <x:c r="AC133" s="197" t="str">
        <x:f>IF(Z133="","",(L133-Z133)^2)</x:f>
      </x:c>
      <x:c r="AD133" s="198" t="str">
        <x:f>IF(Z133="","",-(Z133*LN(MAX(0.0001,L133))+(1-Z133)*LN(MAX(0.0001,1-L133))))</x:f>
      </x:c>
      <x:c r="AE133" s="189"/>
      <x:c r="AF133" s="200" t="n">
        <x:f>AF132+IF(AA133="",0,AA133)</x:f>
        <x:v>0</x:v>
      </x:c>
      <x:c r="AG133" s="200" t="n">
        <x:f>MAX(AG132,AF133)</x:f>
        <x:v>0</x:v>
      </x:c>
      <x:c r="AH133" s="200" t="n">
        <x:f>AF133-AG133</x:f>
        <x:v>0</x:v>
      </x:c>
    </x:row>
    <x:row r="134">
      <x:c r="A134" s="189"/>
      <x:c r="B134" s="189"/>
      <x:c r="C134" s="221"/>
      <x:c r="D134" s="189"/>
      <x:c r="E134" s="221"/>
      <x:c r="F134" s="218" t="str">
        <x:f>IFERROR(LN(E134/C134)*10000,"")</x:f>
      </x:c>
      <x:c r="G134" s="191"/>
      <x:c r="H134" s="191"/>
      <x:c r="I134" s="191"/>
      <x:c r="J134" s="191"/>
      <x:c r="K134" s="189"/>
      <x:c r="L134" s="197" t="str">
        <x:f>IF(K134="Up",G134,IF(K134="Down",1-G134,""))</x:f>
      </x:c>
      <x:c r="M134" s="198" t="str">
        <x:f>IF(K134="Up",I134,IF(K134="Down",J134,""))</x:f>
      </x:c>
      <x:c r="N134" s="192"/>
      <x:c r="O134" s="198" t="n">
        <x:f>IF(N134="Taker",M134*'08_Bet_Calculator'!$B$18*(1-M134),0)</x:f>
        <x:v>0</x:v>
      </x:c>
      <x:c r="P134" s="192"/>
      <x:c r="Q134" s="198" t="str">
        <x:f>IF(M134="","",MIN(0.999,M134+O134+P134))</x:f>
      </x:c>
      <x:c r="R134" s="197" t="str">
        <x:f>IF(L134="","",L134-Q134)</x:f>
      </x:c>
      <x:c r="S134" s="197" t="str">
        <x:f>IF(L134="","",L134-'08_Bet_Calculator'!$B$24*H134-Q134-'08_Bet_Calculator'!$B$20)</x:f>
      </x:c>
      <x:c r="T134" s="197" t="n">
        <x:f>IF(OR(L134="",Q134&gt;=1),0,MAX(0,(MAX(0,L134-'08_Bet_Calculator'!$B$24*H134)-Q134)/(1-Q134)))</x:f>
        <x:v>0</x:v>
      </x:c>
      <x:c r="U134" s="197" t="n">
        <x:f>T134*'08_Bet_Calculator'!$B$21</x:f>
        <x:v>0</x:v>
      </x:c>
      <x:c r="V134" s="221"/>
      <x:c r="W134" s="200" t="n">
        <x:f>IF(OR(V134="",S134&lt;=0),0,MIN(V134*U134,V134*'08_Bet_Calculator'!$B$22,'08_Bet_Calculator'!$B$23))</x:f>
        <x:v>0</x:v>
      </x:c>
      <x:c r="X134" s="222" t="n">
        <x:f>IFERROR(W134/Q134,0)</x:f>
        <x:v>0</x:v>
      </x:c>
      <x:c r="Y134" s="189"/>
      <x:c r="Z134" s="196" t="str">
        <x:f>IF(OR(Y134="",K134=""),"",IF(Y134=K134,1,0))</x:f>
      </x:c>
      <x:c r="AA134" s="200" t="str">
        <x:f>IF(Z134="","",X134*(Z134-Q134))</x:f>
      </x:c>
      <x:c r="AB134" s="197" t="str">
        <x:f>IFERROR(AA134/W134,"")</x:f>
      </x:c>
      <x:c r="AC134" s="197" t="str">
        <x:f>IF(Z134="","",(L134-Z134)^2)</x:f>
      </x:c>
      <x:c r="AD134" s="198" t="str">
        <x:f>IF(Z134="","",-(Z134*LN(MAX(0.0001,L134))+(1-Z134)*LN(MAX(0.0001,1-L134))))</x:f>
      </x:c>
      <x:c r="AE134" s="189"/>
      <x:c r="AF134" s="200" t="n">
        <x:f>AF133+IF(AA134="",0,AA134)</x:f>
        <x:v>0</x:v>
      </x:c>
      <x:c r="AG134" s="200" t="n">
        <x:f>MAX(AG133,AF134)</x:f>
        <x:v>0</x:v>
      </x:c>
      <x:c r="AH134" s="200" t="n">
        <x:f>AF134-AG134</x:f>
        <x:v>0</x:v>
      </x:c>
    </x:row>
    <x:row r="135">
      <x:c r="A135" s="189"/>
      <x:c r="B135" s="189"/>
      <x:c r="C135" s="221"/>
      <x:c r="D135" s="189"/>
      <x:c r="E135" s="221"/>
      <x:c r="F135" s="218" t="str">
        <x:f>IFERROR(LN(E135/C135)*10000,"")</x:f>
      </x:c>
      <x:c r="G135" s="191"/>
      <x:c r="H135" s="191"/>
      <x:c r="I135" s="191"/>
      <x:c r="J135" s="191"/>
      <x:c r="K135" s="189"/>
      <x:c r="L135" s="197" t="str">
        <x:f>IF(K135="Up",G135,IF(K135="Down",1-G135,""))</x:f>
      </x:c>
      <x:c r="M135" s="198" t="str">
        <x:f>IF(K135="Up",I135,IF(K135="Down",J135,""))</x:f>
      </x:c>
      <x:c r="N135" s="192"/>
      <x:c r="O135" s="198" t="n">
        <x:f>IF(N135="Taker",M135*'08_Bet_Calculator'!$B$18*(1-M135),0)</x:f>
        <x:v>0</x:v>
      </x:c>
      <x:c r="P135" s="192"/>
      <x:c r="Q135" s="198" t="str">
        <x:f>IF(M135="","",MIN(0.999,M135+O135+P135))</x:f>
      </x:c>
      <x:c r="R135" s="197" t="str">
        <x:f>IF(L135="","",L135-Q135)</x:f>
      </x:c>
      <x:c r="S135" s="197" t="str">
        <x:f>IF(L135="","",L135-'08_Bet_Calculator'!$B$24*H135-Q135-'08_Bet_Calculator'!$B$20)</x:f>
      </x:c>
      <x:c r="T135" s="197" t="n">
        <x:f>IF(OR(L135="",Q135&gt;=1),0,MAX(0,(MAX(0,L135-'08_Bet_Calculator'!$B$24*H135)-Q135)/(1-Q135)))</x:f>
        <x:v>0</x:v>
      </x:c>
      <x:c r="U135" s="197" t="n">
        <x:f>T135*'08_Bet_Calculator'!$B$21</x:f>
        <x:v>0</x:v>
      </x:c>
      <x:c r="V135" s="221"/>
      <x:c r="W135" s="200" t="n">
        <x:f>IF(OR(V135="",S135&lt;=0),0,MIN(V135*U135,V135*'08_Bet_Calculator'!$B$22,'08_Bet_Calculator'!$B$23))</x:f>
        <x:v>0</x:v>
      </x:c>
      <x:c r="X135" s="222" t="n">
        <x:f>IFERROR(W135/Q135,0)</x:f>
        <x:v>0</x:v>
      </x:c>
      <x:c r="Y135" s="189"/>
      <x:c r="Z135" s="196" t="str">
        <x:f>IF(OR(Y135="",K135=""),"",IF(Y135=K135,1,0))</x:f>
      </x:c>
      <x:c r="AA135" s="200" t="str">
        <x:f>IF(Z135="","",X135*(Z135-Q135))</x:f>
      </x:c>
      <x:c r="AB135" s="197" t="str">
        <x:f>IFERROR(AA135/W135,"")</x:f>
      </x:c>
      <x:c r="AC135" s="197" t="str">
        <x:f>IF(Z135="","",(L135-Z135)^2)</x:f>
      </x:c>
      <x:c r="AD135" s="198" t="str">
        <x:f>IF(Z135="","",-(Z135*LN(MAX(0.0001,L135))+(1-Z135)*LN(MAX(0.0001,1-L135))))</x:f>
      </x:c>
      <x:c r="AE135" s="189"/>
      <x:c r="AF135" s="200" t="n">
        <x:f>AF134+IF(AA135="",0,AA135)</x:f>
        <x:v>0</x:v>
      </x:c>
      <x:c r="AG135" s="200" t="n">
        <x:f>MAX(AG134,AF135)</x:f>
        <x:v>0</x:v>
      </x:c>
      <x:c r="AH135" s="200" t="n">
        <x:f>AF135-AG135</x:f>
        <x:v>0</x:v>
      </x:c>
    </x:row>
    <x:row r="136">
      <x:c r="A136" s="189"/>
      <x:c r="B136" s="189"/>
      <x:c r="C136" s="221"/>
      <x:c r="D136" s="189"/>
      <x:c r="E136" s="221"/>
      <x:c r="F136" s="218" t="str">
        <x:f>IFERROR(LN(E136/C136)*10000,"")</x:f>
      </x:c>
      <x:c r="G136" s="191"/>
      <x:c r="H136" s="191"/>
      <x:c r="I136" s="191"/>
      <x:c r="J136" s="191"/>
      <x:c r="K136" s="189"/>
      <x:c r="L136" s="197" t="str">
        <x:f>IF(K136="Up",G136,IF(K136="Down",1-G136,""))</x:f>
      </x:c>
      <x:c r="M136" s="198" t="str">
        <x:f>IF(K136="Up",I136,IF(K136="Down",J136,""))</x:f>
      </x:c>
      <x:c r="N136" s="192"/>
      <x:c r="O136" s="198" t="n">
        <x:f>IF(N136="Taker",M136*'08_Bet_Calculator'!$B$18*(1-M136),0)</x:f>
        <x:v>0</x:v>
      </x:c>
      <x:c r="P136" s="192"/>
      <x:c r="Q136" s="198" t="str">
        <x:f>IF(M136="","",MIN(0.999,M136+O136+P136))</x:f>
      </x:c>
      <x:c r="R136" s="197" t="str">
        <x:f>IF(L136="","",L136-Q136)</x:f>
      </x:c>
      <x:c r="S136" s="197" t="str">
        <x:f>IF(L136="","",L136-'08_Bet_Calculator'!$B$24*H136-Q136-'08_Bet_Calculator'!$B$20)</x:f>
      </x:c>
      <x:c r="T136" s="197" t="n">
        <x:f>IF(OR(L136="",Q136&gt;=1),0,MAX(0,(MAX(0,L136-'08_Bet_Calculator'!$B$24*H136)-Q136)/(1-Q136)))</x:f>
        <x:v>0</x:v>
      </x:c>
      <x:c r="U136" s="197" t="n">
        <x:f>T136*'08_Bet_Calculator'!$B$21</x:f>
        <x:v>0</x:v>
      </x:c>
      <x:c r="V136" s="221"/>
      <x:c r="W136" s="200" t="n">
        <x:f>IF(OR(V136="",S136&lt;=0),0,MIN(V136*U136,V136*'08_Bet_Calculator'!$B$22,'08_Bet_Calculator'!$B$23))</x:f>
        <x:v>0</x:v>
      </x:c>
      <x:c r="X136" s="222" t="n">
        <x:f>IFERROR(W136/Q136,0)</x:f>
        <x:v>0</x:v>
      </x:c>
      <x:c r="Y136" s="189"/>
      <x:c r="Z136" s="196" t="str">
        <x:f>IF(OR(Y136="",K136=""),"",IF(Y136=K136,1,0))</x:f>
      </x:c>
      <x:c r="AA136" s="200" t="str">
        <x:f>IF(Z136="","",X136*(Z136-Q136))</x:f>
      </x:c>
      <x:c r="AB136" s="197" t="str">
        <x:f>IFERROR(AA136/W136,"")</x:f>
      </x:c>
      <x:c r="AC136" s="197" t="str">
        <x:f>IF(Z136="","",(L136-Z136)^2)</x:f>
      </x:c>
      <x:c r="AD136" s="198" t="str">
        <x:f>IF(Z136="","",-(Z136*LN(MAX(0.0001,L136))+(1-Z136)*LN(MAX(0.0001,1-L136))))</x:f>
      </x:c>
      <x:c r="AE136" s="189"/>
      <x:c r="AF136" s="200" t="n">
        <x:f>AF135+IF(AA136="",0,AA136)</x:f>
        <x:v>0</x:v>
      </x:c>
      <x:c r="AG136" s="200" t="n">
        <x:f>MAX(AG135,AF136)</x:f>
        <x:v>0</x:v>
      </x:c>
      <x:c r="AH136" s="200" t="n">
        <x:f>AF136-AG136</x:f>
        <x:v>0</x:v>
      </x:c>
    </x:row>
    <x:row r="137">
      <x:c r="A137" s="189"/>
      <x:c r="B137" s="189"/>
      <x:c r="C137" s="221"/>
      <x:c r="D137" s="189"/>
      <x:c r="E137" s="221"/>
      <x:c r="F137" s="218" t="str">
        <x:f>IFERROR(LN(E137/C137)*10000,"")</x:f>
      </x:c>
      <x:c r="G137" s="191"/>
      <x:c r="H137" s="191"/>
      <x:c r="I137" s="191"/>
      <x:c r="J137" s="191"/>
      <x:c r="K137" s="189"/>
      <x:c r="L137" s="197" t="str">
        <x:f>IF(K137="Up",G137,IF(K137="Down",1-G137,""))</x:f>
      </x:c>
      <x:c r="M137" s="198" t="str">
        <x:f>IF(K137="Up",I137,IF(K137="Down",J137,""))</x:f>
      </x:c>
      <x:c r="N137" s="192"/>
      <x:c r="O137" s="198" t="n">
        <x:f>IF(N137="Taker",M137*'08_Bet_Calculator'!$B$18*(1-M137),0)</x:f>
        <x:v>0</x:v>
      </x:c>
      <x:c r="P137" s="192"/>
      <x:c r="Q137" s="198" t="str">
        <x:f>IF(M137="","",MIN(0.999,M137+O137+P137))</x:f>
      </x:c>
      <x:c r="R137" s="197" t="str">
        <x:f>IF(L137="","",L137-Q137)</x:f>
      </x:c>
      <x:c r="S137" s="197" t="str">
        <x:f>IF(L137="","",L137-'08_Bet_Calculator'!$B$24*H137-Q137-'08_Bet_Calculator'!$B$20)</x:f>
      </x:c>
      <x:c r="T137" s="197" t="n">
        <x:f>IF(OR(L137="",Q137&gt;=1),0,MAX(0,(MAX(0,L137-'08_Bet_Calculator'!$B$24*H137)-Q137)/(1-Q137)))</x:f>
        <x:v>0</x:v>
      </x:c>
      <x:c r="U137" s="197" t="n">
        <x:f>T137*'08_Bet_Calculator'!$B$21</x:f>
        <x:v>0</x:v>
      </x:c>
      <x:c r="V137" s="221"/>
      <x:c r="W137" s="200" t="n">
        <x:f>IF(OR(V137="",S137&lt;=0),0,MIN(V137*U137,V137*'08_Bet_Calculator'!$B$22,'08_Bet_Calculator'!$B$23))</x:f>
        <x:v>0</x:v>
      </x:c>
      <x:c r="X137" s="222" t="n">
        <x:f>IFERROR(W137/Q137,0)</x:f>
        <x:v>0</x:v>
      </x:c>
      <x:c r="Y137" s="189"/>
      <x:c r="Z137" s="196" t="str">
        <x:f>IF(OR(Y137="",K137=""),"",IF(Y137=K137,1,0))</x:f>
      </x:c>
      <x:c r="AA137" s="200" t="str">
        <x:f>IF(Z137="","",X137*(Z137-Q137))</x:f>
      </x:c>
      <x:c r="AB137" s="197" t="str">
        <x:f>IFERROR(AA137/W137,"")</x:f>
      </x:c>
      <x:c r="AC137" s="197" t="str">
        <x:f>IF(Z137="","",(L137-Z137)^2)</x:f>
      </x:c>
      <x:c r="AD137" s="198" t="str">
        <x:f>IF(Z137="","",-(Z137*LN(MAX(0.0001,L137))+(1-Z137)*LN(MAX(0.0001,1-L137))))</x:f>
      </x:c>
      <x:c r="AE137" s="189"/>
      <x:c r="AF137" s="200" t="n">
        <x:f>AF136+IF(AA137="",0,AA137)</x:f>
        <x:v>0</x:v>
      </x:c>
      <x:c r="AG137" s="200" t="n">
        <x:f>MAX(AG136,AF137)</x:f>
        <x:v>0</x:v>
      </x:c>
      <x:c r="AH137" s="200" t="n">
        <x:f>AF137-AG137</x:f>
        <x:v>0</x:v>
      </x:c>
    </x:row>
    <x:row r="138">
      <x:c r="A138" s="189"/>
      <x:c r="B138" s="189"/>
      <x:c r="C138" s="221"/>
      <x:c r="D138" s="189"/>
      <x:c r="E138" s="221"/>
      <x:c r="F138" s="218" t="str">
        <x:f>IFERROR(LN(E138/C138)*10000,"")</x:f>
      </x:c>
      <x:c r="G138" s="191"/>
      <x:c r="H138" s="191"/>
      <x:c r="I138" s="191"/>
      <x:c r="J138" s="191"/>
      <x:c r="K138" s="189"/>
      <x:c r="L138" s="197" t="str">
        <x:f>IF(K138="Up",G138,IF(K138="Down",1-G138,""))</x:f>
      </x:c>
      <x:c r="M138" s="198" t="str">
        <x:f>IF(K138="Up",I138,IF(K138="Down",J138,""))</x:f>
      </x:c>
      <x:c r="N138" s="192"/>
      <x:c r="O138" s="198" t="n">
        <x:f>IF(N138="Taker",M138*'08_Bet_Calculator'!$B$18*(1-M138),0)</x:f>
        <x:v>0</x:v>
      </x:c>
      <x:c r="P138" s="192"/>
      <x:c r="Q138" s="198" t="str">
        <x:f>IF(M138="","",MIN(0.999,M138+O138+P138))</x:f>
      </x:c>
      <x:c r="R138" s="197" t="str">
        <x:f>IF(L138="","",L138-Q138)</x:f>
      </x:c>
      <x:c r="S138" s="197" t="str">
        <x:f>IF(L138="","",L138-'08_Bet_Calculator'!$B$24*H138-Q138-'08_Bet_Calculator'!$B$20)</x:f>
      </x:c>
      <x:c r="T138" s="197" t="n">
        <x:f>IF(OR(L138="",Q138&gt;=1),0,MAX(0,(MAX(0,L138-'08_Bet_Calculator'!$B$24*H138)-Q138)/(1-Q138)))</x:f>
        <x:v>0</x:v>
      </x:c>
      <x:c r="U138" s="197" t="n">
        <x:f>T138*'08_Bet_Calculator'!$B$21</x:f>
        <x:v>0</x:v>
      </x:c>
      <x:c r="V138" s="221"/>
      <x:c r="W138" s="200" t="n">
        <x:f>IF(OR(V138="",S138&lt;=0),0,MIN(V138*U138,V138*'08_Bet_Calculator'!$B$22,'08_Bet_Calculator'!$B$23))</x:f>
        <x:v>0</x:v>
      </x:c>
      <x:c r="X138" s="222" t="n">
        <x:f>IFERROR(W138/Q138,0)</x:f>
        <x:v>0</x:v>
      </x:c>
      <x:c r="Y138" s="189"/>
      <x:c r="Z138" s="196" t="str">
        <x:f>IF(OR(Y138="",K138=""),"",IF(Y138=K138,1,0))</x:f>
      </x:c>
      <x:c r="AA138" s="200" t="str">
        <x:f>IF(Z138="","",X138*(Z138-Q138))</x:f>
      </x:c>
      <x:c r="AB138" s="197" t="str">
        <x:f>IFERROR(AA138/W138,"")</x:f>
      </x:c>
      <x:c r="AC138" s="197" t="str">
        <x:f>IF(Z138="","",(L138-Z138)^2)</x:f>
      </x:c>
      <x:c r="AD138" s="198" t="str">
        <x:f>IF(Z138="","",-(Z138*LN(MAX(0.0001,L138))+(1-Z138)*LN(MAX(0.0001,1-L138))))</x:f>
      </x:c>
      <x:c r="AE138" s="189"/>
      <x:c r="AF138" s="200" t="n">
        <x:f>AF137+IF(AA138="",0,AA138)</x:f>
        <x:v>0</x:v>
      </x:c>
      <x:c r="AG138" s="200" t="n">
        <x:f>MAX(AG137,AF138)</x:f>
        <x:v>0</x:v>
      </x:c>
      <x:c r="AH138" s="200" t="n">
        <x:f>AF138-AG138</x:f>
        <x:v>0</x:v>
      </x:c>
    </x:row>
    <x:row r="139">
      <x:c r="A139" s="189"/>
      <x:c r="B139" s="189"/>
      <x:c r="C139" s="221"/>
      <x:c r="D139" s="189"/>
      <x:c r="E139" s="221"/>
      <x:c r="F139" s="218" t="str">
        <x:f>IFERROR(LN(E139/C139)*10000,"")</x:f>
      </x:c>
      <x:c r="G139" s="191"/>
      <x:c r="H139" s="191"/>
      <x:c r="I139" s="191"/>
      <x:c r="J139" s="191"/>
      <x:c r="K139" s="189"/>
      <x:c r="L139" s="197" t="str">
        <x:f>IF(K139="Up",G139,IF(K139="Down",1-G139,""))</x:f>
      </x:c>
      <x:c r="M139" s="198" t="str">
        <x:f>IF(K139="Up",I139,IF(K139="Down",J139,""))</x:f>
      </x:c>
      <x:c r="N139" s="192"/>
      <x:c r="O139" s="198" t="n">
        <x:f>IF(N139="Taker",M139*'08_Bet_Calculator'!$B$18*(1-M139),0)</x:f>
        <x:v>0</x:v>
      </x:c>
      <x:c r="P139" s="192"/>
      <x:c r="Q139" s="198" t="str">
        <x:f>IF(M139="","",MIN(0.999,M139+O139+P139))</x:f>
      </x:c>
      <x:c r="R139" s="197" t="str">
        <x:f>IF(L139="","",L139-Q139)</x:f>
      </x:c>
      <x:c r="S139" s="197" t="str">
        <x:f>IF(L139="","",L139-'08_Bet_Calculator'!$B$24*H139-Q139-'08_Bet_Calculator'!$B$20)</x:f>
      </x:c>
      <x:c r="T139" s="197" t="n">
        <x:f>IF(OR(L139="",Q139&gt;=1),0,MAX(0,(MAX(0,L139-'08_Bet_Calculator'!$B$24*H139)-Q139)/(1-Q139)))</x:f>
        <x:v>0</x:v>
      </x:c>
      <x:c r="U139" s="197" t="n">
        <x:f>T139*'08_Bet_Calculator'!$B$21</x:f>
        <x:v>0</x:v>
      </x:c>
      <x:c r="V139" s="221"/>
      <x:c r="W139" s="200" t="n">
        <x:f>IF(OR(V139="",S139&lt;=0),0,MIN(V139*U139,V139*'08_Bet_Calculator'!$B$22,'08_Bet_Calculator'!$B$23))</x:f>
        <x:v>0</x:v>
      </x:c>
      <x:c r="X139" s="222" t="n">
        <x:f>IFERROR(W139/Q139,0)</x:f>
        <x:v>0</x:v>
      </x:c>
      <x:c r="Y139" s="189"/>
      <x:c r="Z139" s="196" t="str">
        <x:f>IF(OR(Y139="",K139=""),"",IF(Y139=K139,1,0))</x:f>
      </x:c>
      <x:c r="AA139" s="200" t="str">
        <x:f>IF(Z139="","",X139*(Z139-Q139))</x:f>
      </x:c>
      <x:c r="AB139" s="197" t="str">
        <x:f>IFERROR(AA139/W139,"")</x:f>
      </x:c>
      <x:c r="AC139" s="197" t="str">
        <x:f>IF(Z139="","",(L139-Z139)^2)</x:f>
      </x:c>
      <x:c r="AD139" s="198" t="str">
        <x:f>IF(Z139="","",-(Z139*LN(MAX(0.0001,L139))+(1-Z139)*LN(MAX(0.0001,1-L139))))</x:f>
      </x:c>
      <x:c r="AE139" s="189"/>
      <x:c r="AF139" s="200" t="n">
        <x:f>AF138+IF(AA139="",0,AA139)</x:f>
        <x:v>0</x:v>
      </x:c>
      <x:c r="AG139" s="200" t="n">
        <x:f>MAX(AG138,AF139)</x:f>
        <x:v>0</x:v>
      </x:c>
      <x:c r="AH139" s="200" t="n">
        <x:f>AF139-AG139</x:f>
        <x:v>0</x:v>
      </x:c>
    </x:row>
    <x:row r="140">
      <x:c r="A140" s="189"/>
      <x:c r="B140" s="189"/>
      <x:c r="C140" s="221"/>
      <x:c r="D140" s="189"/>
      <x:c r="E140" s="221"/>
      <x:c r="F140" s="218" t="str">
        <x:f>IFERROR(LN(E140/C140)*10000,"")</x:f>
      </x:c>
      <x:c r="G140" s="191"/>
      <x:c r="H140" s="191"/>
      <x:c r="I140" s="191"/>
      <x:c r="J140" s="191"/>
      <x:c r="K140" s="189"/>
      <x:c r="L140" s="197" t="str">
        <x:f>IF(K140="Up",G140,IF(K140="Down",1-G140,""))</x:f>
      </x:c>
      <x:c r="M140" s="198" t="str">
        <x:f>IF(K140="Up",I140,IF(K140="Down",J140,""))</x:f>
      </x:c>
      <x:c r="N140" s="192"/>
      <x:c r="O140" s="198" t="n">
        <x:f>IF(N140="Taker",M140*'08_Bet_Calculator'!$B$18*(1-M140),0)</x:f>
        <x:v>0</x:v>
      </x:c>
      <x:c r="P140" s="192"/>
      <x:c r="Q140" s="198" t="str">
        <x:f>IF(M140="","",MIN(0.999,M140+O140+P140))</x:f>
      </x:c>
      <x:c r="R140" s="197" t="str">
        <x:f>IF(L140="","",L140-Q140)</x:f>
      </x:c>
      <x:c r="S140" s="197" t="str">
        <x:f>IF(L140="","",L140-'08_Bet_Calculator'!$B$24*H140-Q140-'08_Bet_Calculator'!$B$20)</x:f>
      </x:c>
      <x:c r="T140" s="197" t="n">
        <x:f>IF(OR(L140="",Q140&gt;=1),0,MAX(0,(MAX(0,L140-'08_Bet_Calculator'!$B$24*H140)-Q140)/(1-Q140)))</x:f>
        <x:v>0</x:v>
      </x:c>
      <x:c r="U140" s="197" t="n">
        <x:f>T140*'08_Bet_Calculator'!$B$21</x:f>
        <x:v>0</x:v>
      </x:c>
      <x:c r="V140" s="221"/>
      <x:c r="W140" s="200" t="n">
        <x:f>IF(OR(V140="",S140&lt;=0),0,MIN(V140*U140,V140*'08_Bet_Calculator'!$B$22,'08_Bet_Calculator'!$B$23))</x:f>
        <x:v>0</x:v>
      </x:c>
      <x:c r="X140" s="222" t="n">
        <x:f>IFERROR(W140/Q140,0)</x:f>
        <x:v>0</x:v>
      </x:c>
      <x:c r="Y140" s="189"/>
      <x:c r="Z140" s="196" t="str">
        <x:f>IF(OR(Y140="",K140=""),"",IF(Y140=K140,1,0))</x:f>
      </x:c>
      <x:c r="AA140" s="200" t="str">
        <x:f>IF(Z140="","",X140*(Z140-Q140))</x:f>
      </x:c>
      <x:c r="AB140" s="197" t="str">
        <x:f>IFERROR(AA140/W140,"")</x:f>
      </x:c>
      <x:c r="AC140" s="197" t="str">
        <x:f>IF(Z140="","",(L140-Z140)^2)</x:f>
      </x:c>
      <x:c r="AD140" s="198" t="str">
        <x:f>IF(Z140="","",-(Z140*LN(MAX(0.0001,L140))+(1-Z140)*LN(MAX(0.0001,1-L140))))</x:f>
      </x:c>
      <x:c r="AE140" s="189"/>
      <x:c r="AF140" s="200" t="n">
        <x:f>AF139+IF(AA140="",0,AA140)</x:f>
        <x:v>0</x:v>
      </x:c>
      <x:c r="AG140" s="200" t="n">
        <x:f>MAX(AG139,AF140)</x:f>
        <x:v>0</x:v>
      </x:c>
      <x:c r="AH140" s="200" t="n">
        <x:f>AF140-AG140</x:f>
        <x:v>0</x:v>
      </x:c>
    </x:row>
    <x:row r="141">
      <x:c r="A141" s="189"/>
      <x:c r="B141" s="189"/>
      <x:c r="C141" s="221"/>
      <x:c r="D141" s="189"/>
      <x:c r="E141" s="221"/>
      <x:c r="F141" s="218" t="str">
        <x:f>IFERROR(LN(E141/C141)*10000,"")</x:f>
      </x:c>
      <x:c r="G141" s="191"/>
      <x:c r="H141" s="191"/>
      <x:c r="I141" s="191"/>
      <x:c r="J141" s="191"/>
      <x:c r="K141" s="189"/>
      <x:c r="L141" s="197" t="str">
        <x:f>IF(K141="Up",G141,IF(K141="Down",1-G141,""))</x:f>
      </x:c>
      <x:c r="M141" s="198" t="str">
        <x:f>IF(K141="Up",I141,IF(K141="Down",J141,""))</x:f>
      </x:c>
      <x:c r="N141" s="192"/>
      <x:c r="O141" s="198" t="n">
        <x:f>IF(N141="Taker",M141*'08_Bet_Calculator'!$B$18*(1-M141),0)</x:f>
        <x:v>0</x:v>
      </x:c>
      <x:c r="P141" s="192"/>
      <x:c r="Q141" s="198" t="str">
        <x:f>IF(M141="","",MIN(0.999,M141+O141+P141))</x:f>
      </x:c>
      <x:c r="R141" s="197" t="str">
        <x:f>IF(L141="","",L141-Q141)</x:f>
      </x:c>
      <x:c r="S141" s="197" t="str">
        <x:f>IF(L141="","",L141-'08_Bet_Calculator'!$B$24*H141-Q141-'08_Bet_Calculator'!$B$20)</x:f>
      </x:c>
      <x:c r="T141" s="197" t="n">
        <x:f>IF(OR(L141="",Q141&gt;=1),0,MAX(0,(MAX(0,L141-'08_Bet_Calculator'!$B$24*H141)-Q141)/(1-Q141)))</x:f>
        <x:v>0</x:v>
      </x:c>
      <x:c r="U141" s="197" t="n">
        <x:f>T141*'08_Bet_Calculator'!$B$21</x:f>
        <x:v>0</x:v>
      </x:c>
      <x:c r="V141" s="221"/>
      <x:c r="W141" s="200" t="n">
        <x:f>IF(OR(V141="",S141&lt;=0),0,MIN(V141*U141,V141*'08_Bet_Calculator'!$B$22,'08_Bet_Calculator'!$B$23))</x:f>
        <x:v>0</x:v>
      </x:c>
      <x:c r="X141" s="222" t="n">
        <x:f>IFERROR(W141/Q141,0)</x:f>
        <x:v>0</x:v>
      </x:c>
      <x:c r="Y141" s="189"/>
      <x:c r="Z141" s="196" t="str">
        <x:f>IF(OR(Y141="",K141=""),"",IF(Y141=K141,1,0))</x:f>
      </x:c>
      <x:c r="AA141" s="200" t="str">
        <x:f>IF(Z141="","",X141*(Z141-Q141))</x:f>
      </x:c>
      <x:c r="AB141" s="197" t="str">
        <x:f>IFERROR(AA141/W141,"")</x:f>
      </x:c>
      <x:c r="AC141" s="197" t="str">
        <x:f>IF(Z141="","",(L141-Z141)^2)</x:f>
      </x:c>
      <x:c r="AD141" s="198" t="str">
        <x:f>IF(Z141="","",-(Z141*LN(MAX(0.0001,L141))+(1-Z141)*LN(MAX(0.0001,1-L141))))</x:f>
      </x:c>
      <x:c r="AE141" s="189"/>
      <x:c r="AF141" s="200" t="n">
        <x:f>AF140+IF(AA141="",0,AA141)</x:f>
        <x:v>0</x:v>
      </x:c>
      <x:c r="AG141" s="200" t="n">
        <x:f>MAX(AG140,AF141)</x:f>
        <x:v>0</x:v>
      </x:c>
      <x:c r="AH141" s="200" t="n">
        <x:f>AF141-AG141</x:f>
        <x:v>0</x:v>
      </x:c>
    </x:row>
    <x:row r="142">
      <x:c r="A142" s="189"/>
      <x:c r="B142" s="189"/>
      <x:c r="C142" s="221"/>
      <x:c r="D142" s="189"/>
      <x:c r="E142" s="221"/>
      <x:c r="F142" s="218" t="str">
        <x:f>IFERROR(LN(E142/C142)*10000,"")</x:f>
      </x:c>
      <x:c r="G142" s="191"/>
      <x:c r="H142" s="191"/>
      <x:c r="I142" s="191"/>
      <x:c r="J142" s="191"/>
      <x:c r="K142" s="189"/>
      <x:c r="L142" s="197" t="str">
        <x:f>IF(K142="Up",G142,IF(K142="Down",1-G142,""))</x:f>
      </x:c>
      <x:c r="M142" s="198" t="str">
        <x:f>IF(K142="Up",I142,IF(K142="Down",J142,""))</x:f>
      </x:c>
      <x:c r="N142" s="192"/>
      <x:c r="O142" s="198" t="n">
        <x:f>IF(N142="Taker",M142*'08_Bet_Calculator'!$B$18*(1-M142),0)</x:f>
        <x:v>0</x:v>
      </x:c>
      <x:c r="P142" s="192"/>
      <x:c r="Q142" s="198" t="str">
        <x:f>IF(M142="","",MIN(0.999,M142+O142+P142))</x:f>
      </x:c>
      <x:c r="R142" s="197" t="str">
        <x:f>IF(L142="","",L142-Q142)</x:f>
      </x:c>
      <x:c r="S142" s="197" t="str">
        <x:f>IF(L142="","",L142-'08_Bet_Calculator'!$B$24*H142-Q142-'08_Bet_Calculator'!$B$20)</x:f>
      </x:c>
      <x:c r="T142" s="197" t="n">
        <x:f>IF(OR(L142="",Q142&gt;=1),0,MAX(0,(MAX(0,L142-'08_Bet_Calculator'!$B$24*H142)-Q142)/(1-Q142)))</x:f>
        <x:v>0</x:v>
      </x:c>
      <x:c r="U142" s="197" t="n">
        <x:f>T142*'08_Bet_Calculator'!$B$21</x:f>
        <x:v>0</x:v>
      </x:c>
      <x:c r="V142" s="221"/>
      <x:c r="W142" s="200" t="n">
        <x:f>IF(OR(V142="",S142&lt;=0),0,MIN(V142*U142,V142*'08_Bet_Calculator'!$B$22,'08_Bet_Calculator'!$B$23))</x:f>
        <x:v>0</x:v>
      </x:c>
      <x:c r="X142" s="222" t="n">
        <x:f>IFERROR(W142/Q142,0)</x:f>
        <x:v>0</x:v>
      </x:c>
      <x:c r="Y142" s="189"/>
      <x:c r="Z142" s="196" t="str">
        <x:f>IF(OR(Y142="",K142=""),"",IF(Y142=K142,1,0))</x:f>
      </x:c>
      <x:c r="AA142" s="200" t="str">
        <x:f>IF(Z142="","",X142*(Z142-Q142))</x:f>
      </x:c>
      <x:c r="AB142" s="197" t="str">
        <x:f>IFERROR(AA142/W142,"")</x:f>
      </x:c>
      <x:c r="AC142" s="197" t="str">
        <x:f>IF(Z142="","",(L142-Z142)^2)</x:f>
      </x:c>
      <x:c r="AD142" s="198" t="str">
        <x:f>IF(Z142="","",-(Z142*LN(MAX(0.0001,L142))+(1-Z142)*LN(MAX(0.0001,1-L142))))</x:f>
      </x:c>
      <x:c r="AE142" s="189"/>
      <x:c r="AF142" s="200" t="n">
        <x:f>AF141+IF(AA142="",0,AA142)</x:f>
        <x:v>0</x:v>
      </x:c>
      <x:c r="AG142" s="200" t="n">
        <x:f>MAX(AG141,AF142)</x:f>
        <x:v>0</x:v>
      </x:c>
      <x:c r="AH142" s="200" t="n">
        <x:f>AF142-AG142</x:f>
        <x:v>0</x:v>
      </x:c>
    </x:row>
    <x:row r="143">
      <x:c r="A143" s="189"/>
      <x:c r="B143" s="189"/>
      <x:c r="C143" s="221"/>
      <x:c r="D143" s="189"/>
      <x:c r="E143" s="221"/>
      <x:c r="F143" s="218" t="str">
        <x:f>IFERROR(LN(E143/C143)*10000,"")</x:f>
      </x:c>
      <x:c r="G143" s="191"/>
      <x:c r="H143" s="191"/>
      <x:c r="I143" s="191"/>
      <x:c r="J143" s="191"/>
      <x:c r="K143" s="189"/>
      <x:c r="L143" s="197" t="str">
        <x:f>IF(K143="Up",G143,IF(K143="Down",1-G143,""))</x:f>
      </x:c>
      <x:c r="M143" s="198" t="str">
        <x:f>IF(K143="Up",I143,IF(K143="Down",J143,""))</x:f>
      </x:c>
      <x:c r="N143" s="192"/>
      <x:c r="O143" s="198" t="n">
        <x:f>IF(N143="Taker",M143*'08_Bet_Calculator'!$B$18*(1-M143),0)</x:f>
        <x:v>0</x:v>
      </x:c>
      <x:c r="P143" s="192"/>
      <x:c r="Q143" s="198" t="str">
        <x:f>IF(M143="","",MIN(0.999,M143+O143+P143))</x:f>
      </x:c>
      <x:c r="R143" s="197" t="str">
        <x:f>IF(L143="","",L143-Q143)</x:f>
      </x:c>
      <x:c r="S143" s="197" t="str">
        <x:f>IF(L143="","",L143-'08_Bet_Calculator'!$B$24*H143-Q143-'08_Bet_Calculator'!$B$20)</x:f>
      </x:c>
      <x:c r="T143" s="197" t="n">
        <x:f>IF(OR(L143="",Q143&gt;=1),0,MAX(0,(MAX(0,L143-'08_Bet_Calculator'!$B$24*H143)-Q143)/(1-Q143)))</x:f>
        <x:v>0</x:v>
      </x:c>
      <x:c r="U143" s="197" t="n">
        <x:f>T143*'08_Bet_Calculator'!$B$21</x:f>
        <x:v>0</x:v>
      </x:c>
      <x:c r="V143" s="221"/>
      <x:c r="W143" s="200" t="n">
        <x:f>IF(OR(V143="",S143&lt;=0),0,MIN(V143*U143,V143*'08_Bet_Calculator'!$B$22,'08_Bet_Calculator'!$B$23))</x:f>
        <x:v>0</x:v>
      </x:c>
      <x:c r="X143" s="222" t="n">
        <x:f>IFERROR(W143/Q143,0)</x:f>
        <x:v>0</x:v>
      </x:c>
      <x:c r="Y143" s="189"/>
      <x:c r="Z143" s="196" t="str">
        <x:f>IF(OR(Y143="",K143=""),"",IF(Y143=K143,1,0))</x:f>
      </x:c>
      <x:c r="AA143" s="200" t="str">
        <x:f>IF(Z143="","",X143*(Z143-Q143))</x:f>
      </x:c>
      <x:c r="AB143" s="197" t="str">
        <x:f>IFERROR(AA143/W143,"")</x:f>
      </x:c>
      <x:c r="AC143" s="197" t="str">
        <x:f>IF(Z143="","",(L143-Z143)^2)</x:f>
      </x:c>
      <x:c r="AD143" s="198" t="str">
        <x:f>IF(Z143="","",-(Z143*LN(MAX(0.0001,L143))+(1-Z143)*LN(MAX(0.0001,1-L143))))</x:f>
      </x:c>
      <x:c r="AE143" s="189"/>
      <x:c r="AF143" s="200" t="n">
        <x:f>AF142+IF(AA143="",0,AA143)</x:f>
        <x:v>0</x:v>
      </x:c>
      <x:c r="AG143" s="200" t="n">
        <x:f>MAX(AG142,AF143)</x:f>
        <x:v>0</x:v>
      </x:c>
      <x:c r="AH143" s="200" t="n">
        <x:f>AF143-AG143</x:f>
        <x:v>0</x:v>
      </x:c>
    </x:row>
    <x:row r="144">
      <x:c r="A144" s="189"/>
      <x:c r="B144" s="189"/>
      <x:c r="C144" s="221"/>
      <x:c r="D144" s="189"/>
      <x:c r="E144" s="221"/>
      <x:c r="F144" s="218" t="str">
        <x:f>IFERROR(LN(E144/C144)*10000,"")</x:f>
      </x:c>
      <x:c r="G144" s="191"/>
      <x:c r="H144" s="191"/>
      <x:c r="I144" s="191"/>
      <x:c r="J144" s="191"/>
      <x:c r="K144" s="189"/>
      <x:c r="L144" s="197" t="str">
        <x:f>IF(K144="Up",G144,IF(K144="Down",1-G144,""))</x:f>
      </x:c>
      <x:c r="M144" s="198" t="str">
        <x:f>IF(K144="Up",I144,IF(K144="Down",J144,""))</x:f>
      </x:c>
      <x:c r="N144" s="192"/>
      <x:c r="O144" s="198" t="n">
        <x:f>IF(N144="Taker",M144*'08_Bet_Calculator'!$B$18*(1-M144),0)</x:f>
        <x:v>0</x:v>
      </x:c>
      <x:c r="P144" s="192"/>
      <x:c r="Q144" s="198" t="str">
        <x:f>IF(M144="","",MIN(0.999,M144+O144+P144))</x:f>
      </x:c>
      <x:c r="R144" s="197" t="str">
        <x:f>IF(L144="","",L144-Q144)</x:f>
      </x:c>
      <x:c r="S144" s="197" t="str">
        <x:f>IF(L144="","",L144-'08_Bet_Calculator'!$B$24*H144-Q144-'08_Bet_Calculator'!$B$20)</x:f>
      </x:c>
      <x:c r="T144" s="197" t="n">
        <x:f>IF(OR(L144="",Q144&gt;=1),0,MAX(0,(MAX(0,L144-'08_Bet_Calculator'!$B$24*H144)-Q144)/(1-Q144)))</x:f>
        <x:v>0</x:v>
      </x:c>
      <x:c r="U144" s="197" t="n">
        <x:f>T144*'08_Bet_Calculator'!$B$21</x:f>
        <x:v>0</x:v>
      </x:c>
      <x:c r="V144" s="221"/>
      <x:c r="W144" s="200" t="n">
        <x:f>IF(OR(V144="",S144&lt;=0),0,MIN(V144*U144,V144*'08_Bet_Calculator'!$B$22,'08_Bet_Calculator'!$B$23))</x:f>
        <x:v>0</x:v>
      </x:c>
      <x:c r="X144" s="222" t="n">
        <x:f>IFERROR(W144/Q144,0)</x:f>
        <x:v>0</x:v>
      </x:c>
      <x:c r="Y144" s="189"/>
      <x:c r="Z144" s="196" t="str">
        <x:f>IF(OR(Y144="",K144=""),"",IF(Y144=K144,1,0))</x:f>
      </x:c>
      <x:c r="AA144" s="200" t="str">
        <x:f>IF(Z144="","",X144*(Z144-Q144))</x:f>
      </x:c>
      <x:c r="AB144" s="197" t="str">
        <x:f>IFERROR(AA144/W144,"")</x:f>
      </x:c>
      <x:c r="AC144" s="197" t="str">
        <x:f>IF(Z144="","",(L144-Z144)^2)</x:f>
      </x:c>
      <x:c r="AD144" s="198" t="str">
        <x:f>IF(Z144="","",-(Z144*LN(MAX(0.0001,L144))+(1-Z144)*LN(MAX(0.0001,1-L144))))</x:f>
      </x:c>
      <x:c r="AE144" s="189"/>
      <x:c r="AF144" s="200" t="n">
        <x:f>AF143+IF(AA144="",0,AA144)</x:f>
        <x:v>0</x:v>
      </x:c>
      <x:c r="AG144" s="200" t="n">
        <x:f>MAX(AG143,AF144)</x:f>
        <x:v>0</x:v>
      </x:c>
      <x:c r="AH144" s="200" t="n">
        <x:f>AF144-AG144</x:f>
        <x:v>0</x:v>
      </x:c>
    </x:row>
    <x:row r="145">
      <x:c r="A145" s="189"/>
      <x:c r="B145" s="189"/>
      <x:c r="C145" s="221"/>
      <x:c r="D145" s="189"/>
      <x:c r="E145" s="221"/>
      <x:c r="F145" s="218" t="str">
        <x:f>IFERROR(LN(E145/C145)*10000,"")</x:f>
      </x:c>
      <x:c r="G145" s="191"/>
      <x:c r="H145" s="191"/>
      <x:c r="I145" s="191"/>
      <x:c r="J145" s="191"/>
      <x:c r="K145" s="189"/>
      <x:c r="L145" s="197" t="str">
        <x:f>IF(K145="Up",G145,IF(K145="Down",1-G145,""))</x:f>
      </x:c>
      <x:c r="M145" s="198" t="str">
        <x:f>IF(K145="Up",I145,IF(K145="Down",J145,""))</x:f>
      </x:c>
      <x:c r="N145" s="192"/>
      <x:c r="O145" s="198" t="n">
        <x:f>IF(N145="Taker",M145*'08_Bet_Calculator'!$B$18*(1-M145),0)</x:f>
        <x:v>0</x:v>
      </x:c>
      <x:c r="P145" s="192"/>
      <x:c r="Q145" s="198" t="str">
        <x:f>IF(M145="","",MIN(0.999,M145+O145+P145))</x:f>
      </x:c>
      <x:c r="R145" s="197" t="str">
        <x:f>IF(L145="","",L145-Q145)</x:f>
      </x:c>
      <x:c r="S145" s="197" t="str">
        <x:f>IF(L145="","",L145-'08_Bet_Calculator'!$B$24*H145-Q145-'08_Bet_Calculator'!$B$20)</x:f>
      </x:c>
      <x:c r="T145" s="197" t="n">
        <x:f>IF(OR(L145="",Q145&gt;=1),0,MAX(0,(MAX(0,L145-'08_Bet_Calculator'!$B$24*H145)-Q145)/(1-Q145)))</x:f>
        <x:v>0</x:v>
      </x:c>
      <x:c r="U145" s="197" t="n">
        <x:f>T145*'08_Bet_Calculator'!$B$21</x:f>
        <x:v>0</x:v>
      </x:c>
      <x:c r="V145" s="221"/>
      <x:c r="W145" s="200" t="n">
        <x:f>IF(OR(V145="",S145&lt;=0),0,MIN(V145*U145,V145*'08_Bet_Calculator'!$B$22,'08_Bet_Calculator'!$B$23))</x:f>
        <x:v>0</x:v>
      </x:c>
      <x:c r="X145" s="222" t="n">
        <x:f>IFERROR(W145/Q145,0)</x:f>
        <x:v>0</x:v>
      </x:c>
      <x:c r="Y145" s="189"/>
      <x:c r="Z145" s="196" t="str">
        <x:f>IF(OR(Y145="",K145=""),"",IF(Y145=K145,1,0))</x:f>
      </x:c>
      <x:c r="AA145" s="200" t="str">
        <x:f>IF(Z145="","",X145*(Z145-Q145))</x:f>
      </x:c>
      <x:c r="AB145" s="197" t="str">
        <x:f>IFERROR(AA145/W145,"")</x:f>
      </x:c>
      <x:c r="AC145" s="197" t="str">
        <x:f>IF(Z145="","",(L145-Z145)^2)</x:f>
      </x:c>
      <x:c r="AD145" s="198" t="str">
        <x:f>IF(Z145="","",-(Z145*LN(MAX(0.0001,L145))+(1-Z145)*LN(MAX(0.0001,1-L145))))</x:f>
      </x:c>
      <x:c r="AE145" s="189"/>
      <x:c r="AF145" s="200" t="n">
        <x:f>AF144+IF(AA145="",0,AA145)</x:f>
        <x:v>0</x:v>
      </x:c>
      <x:c r="AG145" s="200" t="n">
        <x:f>MAX(AG144,AF145)</x:f>
        <x:v>0</x:v>
      </x:c>
      <x:c r="AH145" s="200" t="n">
        <x:f>AF145-AG145</x:f>
        <x:v>0</x:v>
      </x:c>
    </x:row>
    <x:row r="146">
      <x:c r="A146" s="189"/>
      <x:c r="B146" s="189"/>
      <x:c r="C146" s="221"/>
      <x:c r="D146" s="189"/>
      <x:c r="E146" s="221"/>
      <x:c r="F146" s="218" t="str">
        <x:f>IFERROR(LN(E146/C146)*10000,"")</x:f>
      </x:c>
      <x:c r="G146" s="191"/>
      <x:c r="H146" s="191"/>
      <x:c r="I146" s="191"/>
      <x:c r="J146" s="191"/>
      <x:c r="K146" s="189"/>
      <x:c r="L146" s="197" t="str">
        <x:f>IF(K146="Up",G146,IF(K146="Down",1-G146,""))</x:f>
      </x:c>
      <x:c r="M146" s="198" t="str">
        <x:f>IF(K146="Up",I146,IF(K146="Down",J146,""))</x:f>
      </x:c>
      <x:c r="N146" s="192"/>
      <x:c r="O146" s="198" t="n">
        <x:f>IF(N146="Taker",M146*'08_Bet_Calculator'!$B$18*(1-M146),0)</x:f>
        <x:v>0</x:v>
      </x:c>
      <x:c r="P146" s="192"/>
      <x:c r="Q146" s="198" t="str">
        <x:f>IF(M146="","",MIN(0.999,M146+O146+P146))</x:f>
      </x:c>
      <x:c r="R146" s="197" t="str">
        <x:f>IF(L146="","",L146-Q146)</x:f>
      </x:c>
      <x:c r="S146" s="197" t="str">
        <x:f>IF(L146="","",L146-'08_Bet_Calculator'!$B$24*H146-Q146-'08_Bet_Calculator'!$B$20)</x:f>
      </x:c>
      <x:c r="T146" s="197" t="n">
        <x:f>IF(OR(L146="",Q146&gt;=1),0,MAX(0,(MAX(0,L146-'08_Bet_Calculator'!$B$24*H146)-Q146)/(1-Q146)))</x:f>
        <x:v>0</x:v>
      </x:c>
      <x:c r="U146" s="197" t="n">
        <x:f>T146*'08_Bet_Calculator'!$B$21</x:f>
        <x:v>0</x:v>
      </x:c>
      <x:c r="V146" s="221"/>
      <x:c r="W146" s="200" t="n">
        <x:f>IF(OR(V146="",S146&lt;=0),0,MIN(V146*U146,V146*'08_Bet_Calculator'!$B$22,'08_Bet_Calculator'!$B$23))</x:f>
        <x:v>0</x:v>
      </x:c>
      <x:c r="X146" s="222" t="n">
        <x:f>IFERROR(W146/Q146,0)</x:f>
        <x:v>0</x:v>
      </x:c>
      <x:c r="Y146" s="189"/>
      <x:c r="Z146" s="196" t="str">
        <x:f>IF(OR(Y146="",K146=""),"",IF(Y146=K146,1,0))</x:f>
      </x:c>
      <x:c r="AA146" s="200" t="str">
        <x:f>IF(Z146="","",X146*(Z146-Q146))</x:f>
      </x:c>
      <x:c r="AB146" s="197" t="str">
        <x:f>IFERROR(AA146/W146,"")</x:f>
      </x:c>
      <x:c r="AC146" s="197" t="str">
        <x:f>IF(Z146="","",(L146-Z146)^2)</x:f>
      </x:c>
      <x:c r="AD146" s="198" t="str">
        <x:f>IF(Z146="","",-(Z146*LN(MAX(0.0001,L146))+(1-Z146)*LN(MAX(0.0001,1-L146))))</x:f>
      </x:c>
      <x:c r="AE146" s="189"/>
      <x:c r="AF146" s="200" t="n">
        <x:f>AF145+IF(AA146="",0,AA146)</x:f>
        <x:v>0</x:v>
      </x:c>
      <x:c r="AG146" s="200" t="n">
        <x:f>MAX(AG145,AF146)</x:f>
        <x:v>0</x:v>
      </x:c>
      <x:c r="AH146" s="200" t="n">
        <x:f>AF146-AG146</x:f>
        <x:v>0</x:v>
      </x:c>
    </x:row>
    <x:row r="147">
      <x:c r="A147" s="189"/>
      <x:c r="B147" s="189"/>
      <x:c r="C147" s="221"/>
      <x:c r="D147" s="189"/>
      <x:c r="E147" s="221"/>
      <x:c r="F147" s="218" t="str">
        <x:f>IFERROR(LN(E147/C147)*10000,"")</x:f>
      </x:c>
      <x:c r="G147" s="191"/>
      <x:c r="H147" s="191"/>
      <x:c r="I147" s="191"/>
      <x:c r="J147" s="191"/>
      <x:c r="K147" s="189"/>
      <x:c r="L147" s="197" t="str">
        <x:f>IF(K147="Up",G147,IF(K147="Down",1-G147,""))</x:f>
      </x:c>
      <x:c r="M147" s="198" t="str">
        <x:f>IF(K147="Up",I147,IF(K147="Down",J147,""))</x:f>
      </x:c>
      <x:c r="N147" s="192"/>
      <x:c r="O147" s="198" t="n">
        <x:f>IF(N147="Taker",M147*'08_Bet_Calculator'!$B$18*(1-M147),0)</x:f>
        <x:v>0</x:v>
      </x:c>
      <x:c r="P147" s="192"/>
      <x:c r="Q147" s="198" t="str">
        <x:f>IF(M147="","",MIN(0.999,M147+O147+P147))</x:f>
      </x:c>
      <x:c r="R147" s="197" t="str">
        <x:f>IF(L147="","",L147-Q147)</x:f>
      </x:c>
      <x:c r="S147" s="197" t="str">
        <x:f>IF(L147="","",L147-'08_Bet_Calculator'!$B$24*H147-Q147-'08_Bet_Calculator'!$B$20)</x:f>
      </x:c>
      <x:c r="T147" s="197" t="n">
        <x:f>IF(OR(L147="",Q147&gt;=1),0,MAX(0,(MAX(0,L147-'08_Bet_Calculator'!$B$24*H147)-Q147)/(1-Q147)))</x:f>
        <x:v>0</x:v>
      </x:c>
      <x:c r="U147" s="197" t="n">
        <x:f>T147*'08_Bet_Calculator'!$B$21</x:f>
        <x:v>0</x:v>
      </x:c>
      <x:c r="V147" s="221"/>
      <x:c r="W147" s="200" t="n">
        <x:f>IF(OR(V147="",S147&lt;=0),0,MIN(V147*U147,V147*'08_Bet_Calculator'!$B$22,'08_Bet_Calculator'!$B$23))</x:f>
        <x:v>0</x:v>
      </x:c>
      <x:c r="X147" s="222" t="n">
        <x:f>IFERROR(W147/Q147,0)</x:f>
        <x:v>0</x:v>
      </x:c>
      <x:c r="Y147" s="189"/>
      <x:c r="Z147" s="196" t="str">
        <x:f>IF(OR(Y147="",K147=""),"",IF(Y147=K147,1,0))</x:f>
      </x:c>
      <x:c r="AA147" s="200" t="str">
        <x:f>IF(Z147="","",X147*(Z147-Q147))</x:f>
      </x:c>
      <x:c r="AB147" s="197" t="str">
        <x:f>IFERROR(AA147/W147,"")</x:f>
      </x:c>
      <x:c r="AC147" s="197" t="str">
        <x:f>IF(Z147="","",(L147-Z147)^2)</x:f>
      </x:c>
      <x:c r="AD147" s="198" t="str">
        <x:f>IF(Z147="","",-(Z147*LN(MAX(0.0001,L147))+(1-Z147)*LN(MAX(0.0001,1-L147))))</x:f>
      </x:c>
      <x:c r="AE147" s="189"/>
      <x:c r="AF147" s="200" t="n">
        <x:f>AF146+IF(AA147="",0,AA147)</x:f>
        <x:v>0</x:v>
      </x:c>
      <x:c r="AG147" s="200" t="n">
        <x:f>MAX(AG146,AF147)</x:f>
        <x:v>0</x:v>
      </x:c>
      <x:c r="AH147" s="200" t="n">
        <x:f>AF147-AG147</x:f>
        <x:v>0</x:v>
      </x:c>
    </x:row>
    <x:row r="148">
      <x:c r="A148" s="189"/>
      <x:c r="B148" s="189"/>
      <x:c r="C148" s="221"/>
      <x:c r="D148" s="189"/>
      <x:c r="E148" s="221"/>
      <x:c r="F148" s="218" t="str">
        <x:f>IFERROR(LN(E148/C148)*10000,"")</x:f>
      </x:c>
      <x:c r="G148" s="191"/>
      <x:c r="H148" s="191"/>
      <x:c r="I148" s="191"/>
      <x:c r="J148" s="191"/>
      <x:c r="K148" s="189"/>
      <x:c r="L148" s="197" t="str">
        <x:f>IF(K148="Up",G148,IF(K148="Down",1-G148,""))</x:f>
      </x:c>
      <x:c r="M148" s="198" t="str">
        <x:f>IF(K148="Up",I148,IF(K148="Down",J148,""))</x:f>
      </x:c>
      <x:c r="N148" s="192"/>
      <x:c r="O148" s="198" t="n">
        <x:f>IF(N148="Taker",M148*'08_Bet_Calculator'!$B$18*(1-M148),0)</x:f>
        <x:v>0</x:v>
      </x:c>
      <x:c r="P148" s="192"/>
      <x:c r="Q148" s="198" t="str">
        <x:f>IF(M148="","",MIN(0.999,M148+O148+P148))</x:f>
      </x:c>
      <x:c r="R148" s="197" t="str">
        <x:f>IF(L148="","",L148-Q148)</x:f>
      </x:c>
      <x:c r="S148" s="197" t="str">
        <x:f>IF(L148="","",L148-'08_Bet_Calculator'!$B$24*H148-Q148-'08_Bet_Calculator'!$B$20)</x:f>
      </x:c>
      <x:c r="T148" s="197" t="n">
        <x:f>IF(OR(L148="",Q148&gt;=1),0,MAX(0,(MAX(0,L148-'08_Bet_Calculator'!$B$24*H148)-Q148)/(1-Q148)))</x:f>
        <x:v>0</x:v>
      </x:c>
      <x:c r="U148" s="197" t="n">
        <x:f>T148*'08_Bet_Calculator'!$B$21</x:f>
        <x:v>0</x:v>
      </x:c>
      <x:c r="V148" s="221"/>
      <x:c r="W148" s="200" t="n">
        <x:f>IF(OR(V148="",S148&lt;=0),0,MIN(V148*U148,V148*'08_Bet_Calculator'!$B$22,'08_Bet_Calculator'!$B$23))</x:f>
        <x:v>0</x:v>
      </x:c>
      <x:c r="X148" s="222" t="n">
        <x:f>IFERROR(W148/Q148,0)</x:f>
        <x:v>0</x:v>
      </x:c>
      <x:c r="Y148" s="189"/>
      <x:c r="Z148" s="196" t="str">
        <x:f>IF(OR(Y148="",K148=""),"",IF(Y148=K148,1,0))</x:f>
      </x:c>
      <x:c r="AA148" s="200" t="str">
        <x:f>IF(Z148="","",X148*(Z148-Q148))</x:f>
      </x:c>
      <x:c r="AB148" s="197" t="str">
        <x:f>IFERROR(AA148/W148,"")</x:f>
      </x:c>
      <x:c r="AC148" s="197" t="str">
        <x:f>IF(Z148="","",(L148-Z148)^2)</x:f>
      </x:c>
      <x:c r="AD148" s="198" t="str">
        <x:f>IF(Z148="","",-(Z148*LN(MAX(0.0001,L148))+(1-Z148)*LN(MAX(0.0001,1-L148))))</x:f>
      </x:c>
      <x:c r="AE148" s="189"/>
      <x:c r="AF148" s="200" t="n">
        <x:f>AF147+IF(AA148="",0,AA148)</x:f>
        <x:v>0</x:v>
      </x:c>
      <x:c r="AG148" s="200" t="n">
        <x:f>MAX(AG147,AF148)</x:f>
        <x:v>0</x:v>
      </x:c>
      <x:c r="AH148" s="200" t="n">
        <x:f>AF148-AG148</x:f>
        <x:v>0</x:v>
      </x:c>
    </x:row>
    <x:row r="149">
      <x:c r="A149" s="189"/>
      <x:c r="B149" s="189"/>
      <x:c r="C149" s="221"/>
      <x:c r="D149" s="189"/>
      <x:c r="E149" s="221"/>
      <x:c r="F149" s="218" t="str">
        <x:f>IFERROR(LN(E149/C149)*10000,"")</x:f>
      </x:c>
      <x:c r="G149" s="191"/>
      <x:c r="H149" s="191"/>
      <x:c r="I149" s="191"/>
      <x:c r="J149" s="191"/>
      <x:c r="K149" s="189"/>
      <x:c r="L149" s="197" t="str">
        <x:f>IF(K149="Up",G149,IF(K149="Down",1-G149,""))</x:f>
      </x:c>
      <x:c r="M149" s="198" t="str">
        <x:f>IF(K149="Up",I149,IF(K149="Down",J149,""))</x:f>
      </x:c>
      <x:c r="N149" s="192"/>
      <x:c r="O149" s="198" t="n">
        <x:f>IF(N149="Taker",M149*'08_Bet_Calculator'!$B$18*(1-M149),0)</x:f>
        <x:v>0</x:v>
      </x:c>
      <x:c r="P149" s="192"/>
      <x:c r="Q149" s="198" t="str">
        <x:f>IF(M149="","",MIN(0.999,M149+O149+P149))</x:f>
      </x:c>
      <x:c r="R149" s="197" t="str">
        <x:f>IF(L149="","",L149-Q149)</x:f>
      </x:c>
      <x:c r="S149" s="197" t="str">
        <x:f>IF(L149="","",L149-'08_Bet_Calculator'!$B$24*H149-Q149-'08_Bet_Calculator'!$B$20)</x:f>
      </x:c>
      <x:c r="T149" s="197" t="n">
        <x:f>IF(OR(L149="",Q149&gt;=1),0,MAX(0,(MAX(0,L149-'08_Bet_Calculator'!$B$24*H149)-Q149)/(1-Q149)))</x:f>
        <x:v>0</x:v>
      </x:c>
      <x:c r="U149" s="197" t="n">
        <x:f>T149*'08_Bet_Calculator'!$B$21</x:f>
        <x:v>0</x:v>
      </x:c>
      <x:c r="V149" s="221"/>
      <x:c r="W149" s="200" t="n">
        <x:f>IF(OR(V149="",S149&lt;=0),0,MIN(V149*U149,V149*'08_Bet_Calculator'!$B$22,'08_Bet_Calculator'!$B$23))</x:f>
        <x:v>0</x:v>
      </x:c>
      <x:c r="X149" s="222" t="n">
        <x:f>IFERROR(W149/Q149,0)</x:f>
        <x:v>0</x:v>
      </x:c>
      <x:c r="Y149" s="189"/>
      <x:c r="Z149" s="196" t="str">
        <x:f>IF(OR(Y149="",K149=""),"",IF(Y149=K149,1,0))</x:f>
      </x:c>
      <x:c r="AA149" s="200" t="str">
        <x:f>IF(Z149="","",X149*(Z149-Q149))</x:f>
      </x:c>
      <x:c r="AB149" s="197" t="str">
        <x:f>IFERROR(AA149/W149,"")</x:f>
      </x:c>
      <x:c r="AC149" s="197" t="str">
        <x:f>IF(Z149="","",(L149-Z149)^2)</x:f>
      </x:c>
      <x:c r="AD149" s="198" t="str">
        <x:f>IF(Z149="","",-(Z149*LN(MAX(0.0001,L149))+(1-Z149)*LN(MAX(0.0001,1-L149))))</x:f>
      </x:c>
      <x:c r="AE149" s="189"/>
      <x:c r="AF149" s="200" t="n">
        <x:f>AF148+IF(AA149="",0,AA149)</x:f>
        <x:v>0</x:v>
      </x:c>
      <x:c r="AG149" s="200" t="n">
        <x:f>MAX(AG148,AF149)</x:f>
        <x:v>0</x:v>
      </x:c>
      <x:c r="AH149" s="200" t="n">
        <x:f>AF149-AG149</x:f>
        <x:v>0</x:v>
      </x:c>
    </x:row>
    <x:row r="150">
      <x:c r="A150" s="189"/>
      <x:c r="B150" s="189"/>
      <x:c r="C150" s="221"/>
      <x:c r="D150" s="189"/>
      <x:c r="E150" s="221"/>
      <x:c r="F150" s="218" t="str">
        <x:f>IFERROR(LN(E150/C150)*10000,"")</x:f>
      </x:c>
      <x:c r="G150" s="191"/>
      <x:c r="H150" s="191"/>
      <x:c r="I150" s="191"/>
      <x:c r="J150" s="191"/>
      <x:c r="K150" s="189"/>
      <x:c r="L150" s="197" t="str">
        <x:f>IF(K150="Up",G150,IF(K150="Down",1-G150,""))</x:f>
      </x:c>
      <x:c r="M150" s="198" t="str">
        <x:f>IF(K150="Up",I150,IF(K150="Down",J150,""))</x:f>
      </x:c>
      <x:c r="N150" s="192"/>
      <x:c r="O150" s="198" t="n">
        <x:f>IF(N150="Taker",M150*'08_Bet_Calculator'!$B$18*(1-M150),0)</x:f>
        <x:v>0</x:v>
      </x:c>
      <x:c r="P150" s="192"/>
      <x:c r="Q150" s="198" t="str">
        <x:f>IF(M150="","",MIN(0.999,M150+O150+P150))</x:f>
      </x:c>
      <x:c r="R150" s="197" t="str">
        <x:f>IF(L150="","",L150-Q150)</x:f>
      </x:c>
      <x:c r="S150" s="197" t="str">
        <x:f>IF(L150="","",L150-'08_Bet_Calculator'!$B$24*H150-Q150-'08_Bet_Calculator'!$B$20)</x:f>
      </x:c>
      <x:c r="T150" s="197" t="n">
        <x:f>IF(OR(L150="",Q150&gt;=1),0,MAX(0,(MAX(0,L150-'08_Bet_Calculator'!$B$24*H150)-Q150)/(1-Q150)))</x:f>
        <x:v>0</x:v>
      </x:c>
      <x:c r="U150" s="197" t="n">
        <x:f>T150*'08_Bet_Calculator'!$B$21</x:f>
        <x:v>0</x:v>
      </x:c>
      <x:c r="V150" s="221"/>
      <x:c r="W150" s="200" t="n">
        <x:f>IF(OR(V150="",S150&lt;=0),0,MIN(V150*U150,V150*'08_Bet_Calculator'!$B$22,'08_Bet_Calculator'!$B$23))</x:f>
        <x:v>0</x:v>
      </x:c>
      <x:c r="X150" s="222" t="n">
        <x:f>IFERROR(W150/Q150,0)</x:f>
        <x:v>0</x:v>
      </x:c>
      <x:c r="Y150" s="189"/>
      <x:c r="Z150" s="196" t="str">
        <x:f>IF(OR(Y150="",K150=""),"",IF(Y150=K150,1,0))</x:f>
      </x:c>
      <x:c r="AA150" s="200" t="str">
        <x:f>IF(Z150="","",X150*(Z150-Q150))</x:f>
      </x:c>
      <x:c r="AB150" s="197" t="str">
        <x:f>IFERROR(AA150/W150,"")</x:f>
      </x:c>
      <x:c r="AC150" s="197" t="str">
        <x:f>IF(Z150="","",(L150-Z150)^2)</x:f>
      </x:c>
      <x:c r="AD150" s="198" t="str">
        <x:f>IF(Z150="","",-(Z150*LN(MAX(0.0001,L150))+(1-Z150)*LN(MAX(0.0001,1-L150))))</x:f>
      </x:c>
      <x:c r="AE150" s="189"/>
      <x:c r="AF150" s="200" t="n">
        <x:f>AF149+IF(AA150="",0,AA150)</x:f>
        <x:v>0</x:v>
      </x:c>
      <x:c r="AG150" s="200" t="n">
        <x:f>MAX(AG149,AF150)</x:f>
        <x:v>0</x:v>
      </x:c>
      <x:c r="AH150" s="200" t="n">
        <x:f>AF150-AG150</x:f>
        <x:v>0</x:v>
      </x:c>
    </x:row>
    <x:row r="151">
      <x:c r="A151" s="189"/>
      <x:c r="B151" s="189"/>
      <x:c r="C151" s="221"/>
      <x:c r="D151" s="189"/>
      <x:c r="E151" s="221"/>
      <x:c r="F151" s="218" t="str">
        <x:f>IFERROR(LN(E151/C151)*10000,"")</x:f>
      </x:c>
      <x:c r="G151" s="191"/>
      <x:c r="H151" s="191"/>
      <x:c r="I151" s="191"/>
      <x:c r="J151" s="191"/>
      <x:c r="K151" s="189"/>
      <x:c r="L151" s="197" t="str">
        <x:f>IF(K151="Up",G151,IF(K151="Down",1-G151,""))</x:f>
      </x:c>
      <x:c r="M151" s="198" t="str">
        <x:f>IF(K151="Up",I151,IF(K151="Down",J151,""))</x:f>
      </x:c>
      <x:c r="N151" s="192"/>
      <x:c r="O151" s="198" t="n">
        <x:f>IF(N151="Taker",M151*'08_Bet_Calculator'!$B$18*(1-M151),0)</x:f>
        <x:v>0</x:v>
      </x:c>
      <x:c r="P151" s="192"/>
      <x:c r="Q151" s="198" t="str">
        <x:f>IF(M151="","",MIN(0.999,M151+O151+P151))</x:f>
      </x:c>
      <x:c r="R151" s="197" t="str">
        <x:f>IF(L151="","",L151-Q151)</x:f>
      </x:c>
      <x:c r="S151" s="197" t="str">
        <x:f>IF(L151="","",L151-'08_Bet_Calculator'!$B$24*H151-Q151-'08_Bet_Calculator'!$B$20)</x:f>
      </x:c>
      <x:c r="T151" s="197" t="n">
        <x:f>IF(OR(L151="",Q151&gt;=1),0,MAX(0,(MAX(0,L151-'08_Bet_Calculator'!$B$24*H151)-Q151)/(1-Q151)))</x:f>
        <x:v>0</x:v>
      </x:c>
      <x:c r="U151" s="197" t="n">
        <x:f>T151*'08_Bet_Calculator'!$B$21</x:f>
        <x:v>0</x:v>
      </x:c>
      <x:c r="V151" s="221"/>
      <x:c r="W151" s="200" t="n">
        <x:f>IF(OR(V151="",S151&lt;=0),0,MIN(V151*U151,V151*'08_Bet_Calculator'!$B$22,'08_Bet_Calculator'!$B$23))</x:f>
        <x:v>0</x:v>
      </x:c>
      <x:c r="X151" s="222" t="n">
        <x:f>IFERROR(W151/Q151,0)</x:f>
        <x:v>0</x:v>
      </x:c>
      <x:c r="Y151" s="189"/>
      <x:c r="Z151" s="196" t="str">
        <x:f>IF(OR(Y151="",K151=""),"",IF(Y151=K151,1,0))</x:f>
      </x:c>
      <x:c r="AA151" s="200" t="str">
        <x:f>IF(Z151="","",X151*(Z151-Q151))</x:f>
      </x:c>
      <x:c r="AB151" s="197" t="str">
        <x:f>IFERROR(AA151/W151,"")</x:f>
      </x:c>
      <x:c r="AC151" s="197" t="str">
        <x:f>IF(Z151="","",(L151-Z151)^2)</x:f>
      </x:c>
      <x:c r="AD151" s="198" t="str">
        <x:f>IF(Z151="","",-(Z151*LN(MAX(0.0001,L151))+(1-Z151)*LN(MAX(0.0001,1-L151))))</x:f>
      </x:c>
      <x:c r="AE151" s="189"/>
      <x:c r="AF151" s="200" t="n">
        <x:f>AF150+IF(AA151="",0,AA151)</x:f>
        <x:v>0</x:v>
      </x:c>
      <x:c r="AG151" s="200" t="n">
        <x:f>MAX(AG150,AF151)</x:f>
        <x:v>0</x:v>
      </x:c>
      <x:c r="AH151" s="200" t="n">
        <x:f>AF151-AG151</x:f>
        <x:v>0</x:v>
      </x:c>
    </x:row>
    <x:row r="152">
      <x:c r="A152" s="189"/>
      <x:c r="B152" s="189"/>
      <x:c r="C152" s="221"/>
      <x:c r="D152" s="189"/>
      <x:c r="E152" s="221"/>
      <x:c r="F152" s="218" t="str">
        <x:f>IFERROR(LN(E152/C152)*10000,"")</x:f>
      </x:c>
      <x:c r="G152" s="191"/>
      <x:c r="H152" s="191"/>
      <x:c r="I152" s="191"/>
      <x:c r="J152" s="191"/>
      <x:c r="K152" s="189"/>
      <x:c r="L152" s="197" t="str">
        <x:f>IF(K152="Up",G152,IF(K152="Down",1-G152,""))</x:f>
      </x:c>
      <x:c r="M152" s="198" t="str">
        <x:f>IF(K152="Up",I152,IF(K152="Down",J152,""))</x:f>
      </x:c>
      <x:c r="N152" s="192"/>
      <x:c r="O152" s="198" t="n">
        <x:f>IF(N152="Taker",M152*'08_Bet_Calculator'!$B$18*(1-M152),0)</x:f>
        <x:v>0</x:v>
      </x:c>
      <x:c r="P152" s="192"/>
      <x:c r="Q152" s="198" t="str">
        <x:f>IF(M152="","",MIN(0.999,M152+O152+P152))</x:f>
      </x:c>
      <x:c r="R152" s="197" t="str">
        <x:f>IF(L152="","",L152-Q152)</x:f>
      </x:c>
      <x:c r="S152" s="197" t="str">
        <x:f>IF(L152="","",L152-'08_Bet_Calculator'!$B$24*H152-Q152-'08_Bet_Calculator'!$B$20)</x:f>
      </x:c>
      <x:c r="T152" s="197" t="n">
        <x:f>IF(OR(L152="",Q152&gt;=1),0,MAX(0,(MAX(0,L152-'08_Bet_Calculator'!$B$24*H152)-Q152)/(1-Q152)))</x:f>
        <x:v>0</x:v>
      </x:c>
      <x:c r="U152" s="197" t="n">
        <x:f>T152*'08_Bet_Calculator'!$B$21</x:f>
        <x:v>0</x:v>
      </x:c>
      <x:c r="V152" s="221"/>
      <x:c r="W152" s="200" t="n">
        <x:f>IF(OR(V152="",S152&lt;=0),0,MIN(V152*U152,V152*'08_Bet_Calculator'!$B$22,'08_Bet_Calculator'!$B$23))</x:f>
        <x:v>0</x:v>
      </x:c>
      <x:c r="X152" s="222" t="n">
        <x:f>IFERROR(W152/Q152,0)</x:f>
        <x:v>0</x:v>
      </x:c>
      <x:c r="Y152" s="189"/>
      <x:c r="Z152" s="196" t="str">
        <x:f>IF(OR(Y152="",K152=""),"",IF(Y152=K152,1,0))</x:f>
      </x:c>
      <x:c r="AA152" s="200" t="str">
        <x:f>IF(Z152="","",X152*(Z152-Q152))</x:f>
      </x:c>
      <x:c r="AB152" s="197" t="str">
        <x:f>IFERROR(AA152/W152,"")</x:f>
      </x:c>
      <x:c r="AC152" s="197" t="str">
        <x:f>IF(Z152="","",(L152-Z152)^2)</x:f>
      </x:c>
      <x:c r="AD152" s="198" t="str">
        <x:f>IF(Z152="","",-(Z152*LN(MAX(0.0001,L152))+(1-Z152)*LN(MAX(0.0001,1-L152))))</x:f>
      </x:c>
      <x:c r="AE152" s="189"/>
      <x:c r="AF152" s="200" t="n">
        <x:f>AF151+IF(AA152="",0,AA152)</x:f>
        <x:v>0</x:v>
      </x:c>
      <x:c r="AG152" s="200" t="n">
        <x:f>MAX(AG151,AF152)</x:f>
        <x:v>0</x:v>
      </x:c>
      <x:c r="AH152" s="200" t="n">
        <x:f>AF152-AG152</x:f>
        <x:v>0</x:v>
      </x:c>
    </x:row>
    <x:row r="153">
      <x:c r="A153" s="189"/>
      <x:c r="B153" s="189"/>
      <x:c r="C153" s="221"/>
      <x:c r="D153" s="189"/>
      <x:c r="E153" s="221"/>
      <x:c r="F153" s="218" t="str">
        <x:f>IFERROR(LN(E153/C153)*10000,"")</x:f>
      </x:c>
      <x:c r="G153" s="191"/>
      <x:c r="H153" s="191"/>
      <x:c r="I153" s="191"/>
      <x:c r="J153" s="191"/>
      <x:c r="K153" s="189"/>
      <x:c r="L153" s="197" t="str">
        <x:f>IF(K153="Up",G153,IF(K153="Down",1-G153,""))</x:f>
      </x:c>
      <x:c r="M153" s="198" t="str">
        <x:f>IF(K153="Up",I153,IF(K153="Down",J153,""))</x:f>
      </x:c>
      <x:c r="N153" s="192"/>
      <x:c r="O153" s="198" t="n">
        <x:f>IF(N153="Taker",M153*'08_Bet_Calculator'!$B$18*(1-M153),0)</x:f>
        <x:v>0</x:v>
      </x:c>
      <x:c r="P153" s="192"/>
      <x:c r="Q153" s="198" t="str">
        <x:f>IF(M153="","",MIN(0.999,M153+O153+P153))</x:f>
      </x:c>
      <x:c r="R153" s="197" t="str">
        <x:f>IF(L153="","",L153-Q153)</x:f>
      </x:c>
      <x:c r="S153" s="197" t="str">
        <x:f>IF(L153="","",L153-'08_Bet_Calculator'!$B$24*H153-Q153-'08_Bet_Calculator'!$B$20)</x:f>
      </x:c>
      <x:c r="T153" s="197" t="n">
        <x:f>IF(OR(L153="",Q153&gt;=1),0,MAX(0,(MAX(0,L153-'08_Bet_Calculator'!$B$24*H153)-Q153)/(1-Q153)))</x:f>
        <x:v>0</x:v>
      </x:c>
      <x:c r="U153" s="197" t="n">
        <x:f>T153*'08_Bet_Calculator'!$B$21</x:f>
        <x:v>0</x:v>
      </x:c>
      <x:c r="V153" s="221"/>
      <x:c r="W153" s="200" t="n">
        <x:f>IF(OR(V153="",S153&lt;=0),0,MIN(V153*U153,V153*'08_Bet_Calculator'!$B$22,'08_Bet_Calculator'!$B$23))</x:f>
        <x:v>0</x:v>
      </x:c>
      <x:c r="X153" s="222" t="n">
        <x:f>IFERROR(W153/Q153,0)</x:f>
        <x:v>0</x:v>
      </x:c>
      <x:c r="Y153" s="189"/>
      <x:c r="Z153" s="196" t="str">
        <x:f>IF(OR(Y153="",K153=""),"",IF(Y153=K153,1,0))</x:f>
      </x:c>
      <x:c r="AA153" s="200" t="str">
        <x:f>IF(Z153="","",X153*(Z153-Q153))</x:f>
      </x:c>
      <x:c r="AB153" s="197" t="str">
        <x:f>IFERROR(AA153/W153,"")</x:f>
      </x:c>
      <x:c r="AC153" s="197" t="str">
        <x:f>IF(Z153="","",(L153-Z153)^2)</x:f>
      </x:c>
      <x:c r="AD153" s="198" t="str">
        <x:f>IF(Z153="","",-(Z153*LN(MAX(0.0001,L153))+(1-Z153)*LN(MAX(0.0001,1-L153))))</x:f>
      </x:c>
      <x:c r="AE153" s="189"/>
      <x:c r="AF153" s="200" t="n">
        <x:f>AF152+IF(AA153="",0,AA153)</x:f>
        <x:v>0</x:v>
      </x:c>
      <x:c r="AG153" s="200" t="n">
        <x:f>MAX(AG152,AF153)</x:f>
        <x:v>0</x:v>
      </x:c>
      <x:c r="AH153" s="200" t="n">
        <x:f>AF153-AG153</x:f>
        <x:v>0</x:v>
      </x:c>
    </x:row>
    <x:row r="154">
      <x:c r="A154" s="189"/>
      <x:c r="B154" s="189"/>
      <x:c r="C154" s="221"/>
      <x:c r="D154" s="189"/>
      <x:c r="E154" s="221"/>
      <x:c r="F154" s="218" t="str">
        <x:f>IFERROR(LN(E154/C154)*10000,"")</x:f>
      </x:c>
      <x:c r="G154" s="191"/>
      <x:c r="H154" s="191"/>
      <x:c r="I154" s="191"/>
      <x:c r="J154" s="191"/>
      <x:c r="K154" s="189"/>
      <x:c r="L154" s="197" t="str">
        <x:f>IF(K154="Up",G154,IF(K154="Down",1-G154,""))</x:f>
      </x:c>
      <x:c r="M154" s="198" t="str">
        <x:f>IF(K154="Up",I154,IF(K154="Down",J154,""))</x:f>
      </x:c>
      <x:c r="N154" s="192"/>
      <x:c r="O154" s="198" t="n">
        <x:f>IF(N154="Taker",M154*'08_Bet_Calculator'!$B$18*(1-M154),0)</x:f>
        <x:v>0</x:v>
      </x:c>
      <x:c r="P154" s="192"/>
      <x:c r="Q154" s="198" t="str">
        <x:f>IF(M154="","",MIN(0.999,M154+O154+P154))</x:f>
      </x:c>
      <x:c r="R154" s="197" t="str">
        <x:f>IF(L154="","",L154-Q154)</x:f>
      </x:c>
      <x:c r="S154" s="197" t="str">
        <x:f>IF(L154="","",L154-'08_Bet_Calculator'!$B$24*H154-Q154-'08_Bet_Calculator'!$B$20)</x:f>
      </x:c>
      <x:c r="T154" s="197" t="n">
        <x:f>IF(OR(L154="",Q154&gt;=1),0,MAX(0,(MAX(0,L154-'08_Bet_Calculator'!$B$24*H154)-Q154)/(1-Q154)))</x:f>
        <x:v>0</x:v>
      </x:c>
      <x:c r="U154" s="197" t="n">
        <x:f>T154*'08_Bet_Calculator'!$B$21</x:f>
        <x:v>0</x:v>
      </x:c>
      <x:c r="V154" s="221"/>
      <x:c r="W154" s="200" t="n">
        <x:f>IF(OR(V154="",S154&lt;=0),0,MIN(V154*U154,V154*'08_Bet_Calculator'!$B$22,'08_Bet_Calculator'!$B$23))</x:f>
        <x:v>0</x:v>
      </x:c>
      <x:c r="X154" s="222" t="n">
        <x:f>IFERROR(W154/Q154,0)</x:f>
        <x:v>0</x:v>
      </x:c>
      <x:c r="Y154" s="189"/>
      <x:c r="Z154" s="196" t="str">
        <x:f>IF(OR(Y154="",K154=""),"",IF(Y154=K154,1,0))</x:f>
      </x:c>
      <x:c r="AA154" s="200" t="str">
        <x:f>IF(Z154="","",X154*(Z154-Q154))</x:f>
      </x:c>
      <x:c r="AB154" s="197" t="str">
        <x:f>IFERROR(AA154/W154,"")</x:f>
      </x:c>
      <x:c r="AC154" s="197" t="str">
        <x:f>IF(Z154="","",(L154-Z154)^2)</x:f>
      </x:c>
      <x:c r="AD154" s="198" t="str">
        <x:f>IF(Z154="","",-(Z154*LN(MAX(0.0001,L154))+(1-Z154)*LN(MAX(0.0001,1-L154))))</x:f>
      </x:c>
      <x:c r="AE154" s="189"/>
      <x:c r="AF154" s="200" t="n">
        <x:f>AF153+IF(AA154="",0,AA154)</x:f>
        <x:v>0</x:v>
      </x:c>
      <x:c r="AG154" s="200" t="n">
        <x:f>MAX(AG153,AF154)</x:f>
        <x:v>0</x:v>
      </x:c>
      <x:c r="AH154" s="200" t="n">
        <x:f>AF154-AG154</x:f>
        <x:v>0</x:v>
      </x:c>
    </x:row>
    <x:row r="155">
      <x:c r="A155" s="189"/>
      <x:c r="B155" s="189"/>
      <x:c r="C155" s="221"/>
      <x:c r="D155" s="189"/>
      <x:c r="E155" s="221"/>
      <x:c r="F155" s="218" t="str">
        <x:f>IFERROR(LN(E155/C155)*10000,"")</x:f>
      </x:c>
      <x:c r="G155" s="191"/>
      <x:c r="H155" s="191"/>
      <x:c r="I155" s="191"/>
      <x:c r="J155" s="191"/>
      <x:c r="K155" s="189"/>
      <x:c r="L155" s="197" t="str">
        <x:f>IF(K155="Up",G155,IF(K155="Down",1-G155,""))</x:f>
      </x:c>
      <x:c r="M155" s="198" t="str">
        <x:f>IF(K155="Up",I155,IF(K155="Down",J155,""))</x:f>
      </x:c>
      <x:c r="N155" s="192"/>
      <x:c r="O155" s="198" t="n">
        <x:f>IF(N155="Taker",M155*'08_Bet_Calculator'!$B$18*(1-M155),0)</x:f>
        <x:v>0</x:v>
      </x:c>
      <x:c r="P155" s="192"/>
      <x:c r="Q155" s="198" t="str">
        <x:f>IF(M155="","",MIN(0.999,M155+O155+P155))</x:f>
      </x:c>
      <x:c r="R155" s="197" t="str">
        <x:f>IF(L155="","",L155-Q155)</x:f>
      </x:c>
      <x:c r="S155" s="197" t="str">
        <x:f>IF(L155="","",L155-'08_Bet_Calculator'!$B$24*H155-Q155-'08_Bet_Calculator'!$B$20)</x:f>
      </x:c>
      <x:c r="T155" s="197" t="n">
        <x:f>IF(OR(L155="",Q155&gt;=1),0,MAX(0,(MAX(0,L155-'08_Bet_Calculator'!$B$24*H155)-Q155)/(1-Q155)))</x:f>
        <x:v>0</x:v>
      </x:c>
      <x:c r="U155" s="197" t="n">
        <x:f>T155*'08_Bet_Calculator'!$B$21</x:f>
        <x:v>0</x:v>
      </x:c>
      <x:c r="V155" s="221"/>
      <x:c r="W155" s="200" t="n">
        <x:f>IF(OR(V155="",S155&lt;=0),0,MIN(V155*U155,V155*'08_Bet_Calculator'!$B$22,'08_Bet_Calculator'!$B$23))</x:f>
        <x:v>0</x:v>
      </x:c>
      <x:c r="X155" s="222" t="n">
        <x:f>IFERROR(W155/Q155,0)</x:f>
        <x:v>0</x:v>
      </x:c>
      <x:c r="Y155" s="189"/>
      <x:c r="Z155" s="196" t="str">
        <x:f>IF(OR(Y155="",K155=""),"",IF(Y155=K155,1,0))</x:f>
      </x:c>
      <x:c r="AA155" s="200" t="str">
        <x:f>IF(Z155="","",X155*(Z155-Q155))</x:f>
      </x:c>
      <x:c r="AB155" s="197" t="str">
        <x:f>IFERROR(AA155/W155,"")</x:f>
      </x:c>
      <x:c r="AC155" s="197" t="str">
        <x:f>IF(Z155="","",(L155-Z155)^2)</x:f>
      </x:c>
      <x:c r="AD155" s="198" t="str">
        <x:f>IF(Z155="","",-(Z155*LN(MAX(0.0001,L155))+(1-Z155)*LN(MAX(0.0001,1-L155))))</x:f>
      </x:c>
      <x:c r="AE155" s="189"/>
      <x:c r="AF155" s="200" t="n">
        <x:f>AF154+IF(AA155="",0,AA155)</x:f>
        <x:v>0</x:v>
      </x:c>
      <x:c r="AG155" s="200" t="n">
        <x:f>MAX(AG154,AF155)</x:f>
        <x:v>0</x:v>
      </x:c>
      <x:c r="AH155" s="200" t="n">
        <x:f>AF155-AG155</x:f>
        <x:v>0</x:v>
      </x:c>
    </x:row>
    <x:row r="156">
      <x:c r="A156" s="189"/>
      <x:c r="B156" s="189"/>
      <x:c r="C156" s="221"/>
      <x:c r="D156" s="189"/>
      <x:c r="E156" s="221"/>
      <x:c r="F156" s="218" t="str">
        <x:f>IFERROR(LN(E156/C156)*10000,"")</x:f>
      </x:c>
      <x:c r="G156" s="191"/>
      <x:c r="H156" s="191"/>
      <x:c r="I156" s="191"/>
      <x:c r="J156" s="191"/>
      <x:c r="K156" s="189"/>
      <x:c r="L156" s="197" t="str">
        <x:f>IF(K156="Up",G156,IF(K156="Down",1-G156,""))</x:f>
      </x:c>
      <x:c r="M156" s="198" t="str">
        <x:f>IF(K156="Up",I156,IF(K156="Down",J156,""))</x:f>
      </x:c>
      <x:c r="N156" s="192"/>
      <x:c r="O156" s="198" t="n">
        <x:f>IF(N156="Taker",M156*'08_Bet_Calculator'!$B$18*(1-M156),0)</x:f>
        <x:v>0</x:v>
      </x:c>
      <x:c r="P156" s="192"/>
      <x:c r="Q156" s="198" t="str">
        <x:f>IF(M156="","",MIN(0.999,M156+O156+P156))</x:f>
      </x:c>
      <x:c r="R156" s="197" t="str">
        <x:f>IF(L156="","",L156-Q156)</x:f>
      </x:c>
      <x:c r="S156" s="197" t="str">
        <x:f>IF(L156="","",L156-'08_Bet_Calculator'!$B$24*H156-Q156-'08_Bet_Calculator'!$B$20)</x:f>
      </x:c>
      <x:c r="T156" s="197" t="n">
        <x:f>IF(OR(L156="",Q156&gt;=1),0,MAX(0,(MAX(0,L156-'08_Bet_Calculator'!$B$24*H156)-Q156)/(1-Q156)))</x:f>
        <x:v>0</x:v>
      </x:c>
      <x:c r="U156" s="197" t="n">
        <x:f>T156*'08_Bet_Calculator'!$B$21</x:f>
        <x:v>0</x:v>
      </x:c>
      <x:c r="V156" s="221"/>
      <x:c r="W156" s="200" t="n">
        <x:f>IF(OR(V156="",S156&lt;=0),0,MIN(V156*U156,V156*'08_Bet_Calculator'!$B$22,'08_Bet_Calculator'!$B$23))</x:f>
        <x:v>0</x:v>
      </x:c>
      <x:c r="X156" s="222" t="n">
        <x:f>IFERROR(W156/Q156,0)</x:f>
        <x:v>0</x:v>
      </x:c>
      <x:c r="Y156" s="189"/>
      <x:c r="Z156" s="196" t="str">
        <x:f>IF(OR(Y156="",K156=""),"",IF(Y156=K156,1,0))</x:f>
      </x:c>
      <x:c r="AA156" s="200" t="str">
        <x:f>IF(Z156="","",X156*(Z156-Q156))</x:f>
      </x:c>
      <x:c r="AB156" s="197" t="str">
        <x:f>IFERROR(AA156/W156,"")</x:f>
      </x:c>
      <x:c r="AC156" s="197" t="str">
        <x:f>IF(Z156="","",(L156-Z156)^2)</x:f>
      </x:c>
      <x:c r="AD156" s="198" t="str">
        <x:f>IF(Z156="","",-(Z156*LN(MAX(0.0001,L156))+(1-Z156)*LN(MAX(0.0001,1-L156))))</x:f>
      </x:c>
      <x:c r="AE156" s="189"/>
      <x:c r="AF156" s="200" t="n">
        <x:f>AF155+IF(AA156="",0,AA156)</x:f>
        <x:v>0</x:v>
      </x:c>
      <x:c r="AG156" s="200" t="n">
        <x:f>MAX(AG155,AF156)</x:f>
        <x:v>0</x:v>
      </x:c>
      <x:c r="AH156" s="200" t="n">
        <x:f>AF156-AG156</x:f>
        <x:v>0</x:v>
      </x:c>
    </x:row>
    <x:row r="157">
      <x:c r="A157" s="189"/>
      <x:c r="B157" s="189"/>
      <x:c r="C157" s="221"/>
      <x:c r="D157" s="189"/>
      <x:c r="E157" s="221"/>
      <x:c r="F157" s="218" t="str">
        <x:f>IFERROR(LN(E157/C157)*10000,"")</x:f>
      </x:c>
      <x:c r="G157" s="191"/>
      <x:c r="H157" s="191"/>
      <x:c r="I157" s="191"/>
      <x:c r="J157" s="191"/>
      <x:c r="K157" s="189"/>
      <x:c r="L157" s="197" t="str">
        <x:f>IF(K157="Up",G157,IF(K157="Down",1-G157,""))</x:f>
      </x:c>
      <x:c r="M157" s="198" t="str">
        <x:f>IF(K157="Up",I157,IF(K157="Down",J157,""))</x:f>
      </x:c>
      <x:c r="N157" s="192"/>
      <x:c r="O157" s="198" t="n">
        <x:f>IF(N157="Taker",M157*'08_Bet_Calculator'!$B$18*(1-M157),0)</x:f>
        <x:v>0</x:v>
      </x:c>
      <x:c r="P157" s="192"/>
      <x:c r="Q157" s="198" t="str">
        <x:f>IF(M157="","",MIN(0.999,M157+O157+P157))</x:f>
      </x:c>
      <x:c r="R157" s="197" t="str">
        <x:f>IF(L157="","",L157-Q157)</x:f>
      </x:c>
      <x:c r="S157" s="197" t="str">
        <x:f>IF(L157="","",L157-'08_Bet_Calculator'!$B$24*H157-Q157-'08_Bet_Calculator'!$B$20)</x:f>
      </x:c>
      <x:c r="T157" s="197" t="n">
        <x:f>IF(OR(L157="",Q157&gt;=1),0,MAX(0,(MAX(0,L157-'08_Bet_Calculator'!$B$24*H157)-Q157)/(1-Q157)))</x:f>
        <x:v>0</x:v>
      </x:c>
      <x:c r="U157" s="197" t="n">
        <x:f>T157*'08_Bet_Calculator'!$B$21</x:f>
        <x:v>0</x:v>
      </x:c>
      <x:c r="V157" s="221"/>
      <x:c r="W157" s="200" t="n">
        <x:f>IF(OR(V157="",S157&lt;=0),0,MIN(V157*U157,V157*'08_Bet_Calculator'!$B$22,'08_Bet_Calculator'!$B$23))</x:f>
        <x:v>0</x:v>
      </x:c>
      <x:c r="X157" s="222" t="n">
        <x:f>IFERROR(W157/Q157,0)</x:f>
        <x:v>0</x:v>
      </x:c>
      <x:c r="Y157" s="189"/>
      <x:c r="Z157" s="196" t="str">
        <x:f>IF(OR(Y157="",K157=""),"",IF(Y157=K157,1,0))</x:f>
      </x:c>
      <x:c r="AA157" s="200" t="str">
        <x:f>IF(Z157="","",X157*(Z157-Q157))</x:f>
      </x:c>
      <x:c r="AB157" s="197" t="str">
        <x:f>IFERROR(AA157/W157,"")</x:f>
      </x:c>
      <x:c r="AC157" s="197" t="str">
        <x:f>IF(Z157="","",(L157-Z157)^2)</x:f>
      </x:c>
      <x:c r="AD157" s="198" t="str">
        <x:f>IF(Z157="","",-(Z157*LN(MAX(0.0001,L157))+(1-Z157)*LN(MAX(0.0001,1-L157))))</x:f>
      </x:c>
      <x:c r="AE157" s="189"/>
      <x:c r="AF157" s="200" t="n">
        <x:f>AF156+IF(AA157="",0,AA157)</x:f>
        <x:v>0</x:v>
      </x:c>
      <x:c r="AG157" s="200" t="n">
        <x:f>MAX(AG156,AF157)</x:f>
        <x:v>0</x:v>
      </x:c>
      <x:c r="AH157" s="200" t="n">
        <x:f>AF157-AG157</x:f>
        <x:v>0</x:v>
      </x:c>
    </x:row>
    <x:row r="158">
      <x:c r="A158" s="189"/>
      <x:c r="B158" s="189"/>
      <x:c r="C158" s="221"/>
      <x:c r="D158" s="189"/>
      <x:c r="E158" s="221"/>
      <x:c r="F158" s="218" t="str">
        <x:f>IFERROR(LN(E158/C158)*10000,"")</x:f>
      </x:c>
      <x:c r="G158" s="191"/>
      <x:c r="H158" s="191"/>
      <x:c r="I158" s="191"/>
      <x:c r="J158" s="191"/>
      <x:c r="K158" s="189"/>
      <x:c r="L158" s="197" t="str">
        <x:f>IF(K158="Up",G158,IF(K158="Down",1-G158,""))</x:f>
      </x:c>
      <x:c r="M158" s="198" t="str">
        <x:f>IF(K158="Up",I158,IF(K158="Down",J158,""))</x:f>
      </x:c>
      <x:c r="N158" s="192"/>
      <x:c r="O158" s="198" t="n">
        <x:f>IF(N158="Taker",M158*'08_Bet_Calculator'!$B$18*(1-M158),0)</x:f>
        <x:v>0</x:v>
      </x:c>
      <x:c r="P158" s="192"/>
      <x:c r="Q158" s="198" t="str">
        <x:f>IF(M158="","",MIN(0.999,M158+O158+P158))</x:f>
      </x:c>
      <x:c r="R158" s="197" t="str">
        <x:f>IF(L158="","",L158-Q158)</x:f>
      </x:c>
      <x:c r="S158" s="197" t="str">
        <x:f>IF(L158="","",L158-'08_Bet_Calculator'!$B$24*H158-Q158-'08_Bet_Calculator'!$B$20)</x:f>
      </x:c>
      <x:c r="T158" s="197" t="n">
        <x:f>IF(OR(L158="",Q158&gt;=1),0,MAX(0,(MAX(0,L158-'08_Bet_Calculator'!$B$24*H158)-Q158)/(1-Q158)))</x:f>
        <x:v>0</x:v>
      </x:c>
      <x:c r="U158" s="197" t="n">
        <x:f>T158*'08_Bet_Calculator'!$B$21</x:f>
        <x:v>0</x:v>
      </x:c>
      <x:c r="V158" s="221"/>
      <x:c r="W158" s="200" t="n">
        <x:f>IF(OR(V158="",S158&lt;=0),0,MIN(V158*U158,V158*'08_Bet_Calculator'!$B$22,'08_Bet_Calculator'!$B$23))</x:f>
        <x:v>0</x:v>
      </x:c>
      <x:c r="X158" s="222" t="n">
        <x:f>IFERROR(W158/Q158,0)</x:f>
        <x:v>0</x:v>
      </x:c>
      <x:c r="Y158" s="189"/>
      <x:c r="Z158" s="196" t="str">
        <x:f>IF(OR(Y158="",K158=""),"",IF(Y158=K158,1,0))</x:f>
      </x:c>
      <x:c r="AA158" s="200" t="str">
        <x:f>IF(Z158="","",X158*(Z158-Q158))</x:f>
      </x:c>
      <x:c r="AB158" s="197" t="str">
        <x:f>IFERROR(AA158/W158,"")</x:f>
      </x:c>
      <x:c r="AC158" s="197" t="str">
        <x:f>IF(Z158="","",(L158-Z158)^2)</x:f>
      </x:c>
      <x:c r="AD158" s="198" t="str">
        <x:f>IF(Z158="","",-(Z158*LN(MAX(0.0001,L158))+(1-Z158)*LN(MAX(0.0001,1-L158))))</x:f>
      </x:c>
      <x:c r="AE158" s="189"/>
      <x:c r="AF158" s="200" t="n">
        <x:f>AF157+IF(AA158="",0,AA158)</x:f>
        <x:v>0</x:v>
      </x:c>
      <x:c r="AG158" s="200" t="n">
        <x:f>MAX(AG157,AF158)</x:f>
        <x:v>0</x:v>
      </x:c>
      <x:c r="AH158" s="200" t="n">
        <x:f>AF158-AG158</x:f>
        <x:v>0</x:v>
      </x:c>
    </x:row>
    <x:row r="159">
      <x:c r="A159" s="189"/>
      <x:c r="B159" s="189"/>
      <x:c r="C159" s="221"/>
      <x:c r="D159" s="189"/>
      <x:c r="E159" s="221"/>
      <x:c r="F159" s="218" t="str">
        <x:f>IFERROR(LN(E159/C159)*10000,"")</x:f>
      </x:c>
      <x:c r="G159" s="191"/>
      <x:c r="H159" s="191"/>
      <x:c r="I159" s="191"/>
      <x:c r="J159" s="191"/>
      <x:c r="K159" s="189"/>
      <x:c r="L159" s="197" t="str">
        <x:f>IF(K159="Up",G159,IF(K159="Down",1-G159,""))</x:f>
      </x:c>
      <x:c r="M159" s="198" t="str">
        <x:f>IF(K159="Up",I159,IF(K159="Down",J159,""))</x:f>
      </x:c>
      <x:c r="N159" s="192"/>
      <x:c r="O159" s="198" t="n">
        <x:f>IF(N159="Taker",M159*'08_Bet_Calculator'!$B$18*(1-M159),0)</x:f>
        <x:v>0</x:v>
      </x:c>
      <x:c r="P159" s="192"/>
      <x:c r="Q159" s="198" t="str">
        <x:f>IF(M159="","",MIN(0.999,M159+O159+P159))</x:f>
      </x:c>
      <x:c r="R159" s="197" t="str">
        <x:f>IF(L159="","",L159-Q159)</x:f>
      </x:c>
      <x:c r="S159" s="197" t="str">
        <x:f>IF(L159="","",L159-'08_Bet_Calculator'!$B$24*H159-Q159-'08_Bet_Calculator'!$B$20)</x:f>
      </x:c>
      <x:c r="T159" s="197" t="n">
        <x:f>IF(OR(L159="",Q159&gt;=1),0,MAX(0,(MAX(0,L159-'08_Bet_Calculator'!$B$24*H159)-Q159)/(1-Q159)))</x:f>
        <x:v>0</x:v>
      </x:c>
      <x:c r="U159" s="197" t="n">
        <x:f>T159*'08_Bet_Calculator'!$B$21</x:f>
        <x:v>0</x:v>
      </x:c>
      <x:c r="V159" s="221"/>
      <x:c r="W159" s="200" t="n">
        <x:f>IF(OR(V159="",S159&lt;=0),0,MIN(V159*U159,V159*'08_Bet_Calculator'!$B$22,'08_Bet_Calculator'!$B$23))</x:f>
        <x:v>0</x:v>
      </x:c>
      <x:c r="X159" s="222" t="n">
        <x:f>IFERROR(W159/Q159,0)</x:f>
        <x:v>0</x:v>
      </x:c>
      <x:c r="Y159" s="189"/>
      <x:c r="Z159" s="196" t="str">
        <x:f>IF(OR(Y159="",K159=""),"",IF(Y159=K159,1,0))</x:f>
      </x:c>
      <x:c r="AA159" s="200" t="str">
        <x:f>IF(Z159="","",X159*(Z159-Q159))</x:f>
      </x:c>
      <x:c r="AB159" s="197" t="str">
        <x:f>IFERROR(AA159/W159,"")</x:f>
      </x:c>
      <x:c r="AC159" s="197" t="str">
        <x:f>IF(Z159="","",(L159-Z159)^2)</x:f>
      </x:c>
      <x:c r="AD159" s="198" t="str">
        <x:f>IF(Z159="","",-(Z159*LN(MAX(0.0001,L159))+(1-Z159)*LN(MAX(0.0001,1-L159))))</x:f>
      </x:c>
      <x:c r="AE159" s="189"/>
      <x:c r="AF159" s="200" t="n">
        <x:f>AF158+IF(AA159="",0,AA159)</x:f>
        <x:v>0</x:v>
      </x:c>
      <x:c r="AG159" s="200" t="n">
        <x:f>MAX(AG158,AF159)</x:f>
        <x:v>0</x:v>
      </x:c>
      <x:c r="AH159" s="200" t="n">
        <x:f>AF159-AG159</x:f>
        <x:v>0</x:v>
      </x:c>
    </x:row>
    <x:row r="160">
      <x:c r="A160" s="189"/>
      <x:c r="B160" s="189"/>
      <x:c r="C160" s="221"/>
      <x:c r="D160" s="189"/>
      <x:c r="E160" s="221"/>
      <x:c r="F160" s="218" t="str">
        <x:f>IFERROR(LN(E160/C160)*10000,"")</x:f>
      </x:c>
      <x:c r="G160" s="191"/>
      <x:c r="H160" s="191"/>
      <x:c r="I160" s="191"/>
      <x:c r="J160" s="191"/>
      <x:c r="K160" s="189"/>
      <x:c r="L160" s="197" t="str">
        <x:f>IF(K160="Up",G160,IF(K160="Down",1-G160,""))</x:f>
      </x:c>
      <x:c r="M160" s="198" t="str">
        <x:f>IF(K160="Up",I160,IF(K160="Down",J160,""))</x:f>
      </x:c>
      <x:c r="N160" s="192"/>
      <x:c r="O160" s="198" t="n">
        <x:f>IF(N160="Taker",M160*'08_Bet_Calculator'!$B$18*(1-M160),0)</x:f>
        <x:v>0</x:v>
      </x:c>
      <x:c r="P160" s="192"/>
      <x:c r="Q160" s="198" t="str">
        <x:f>IF(M160="","",MIN(0.999,M160+O160+P160))</x:f>
      </x:c>
      <x:c r="R160" s="197" t="str">
        <x:f>IF(L160="","",L160-Q160)</x:f>
      </x:c>
      <x:c r="S160" s="197" t="str">
        <x:f>IF(L160="","",L160-'08_Bet_Calculator'!$B$24*H160-Q160-'08_Bet_Calculator'!$B$20)</x:f>
      </x:c>
      <x:c r="T160" s="197" t="n">
        <x:f>IF(OR(L160="",Q160&gt;=1),0,MAX(0,(MAX(0,L160-'08_Bet_Calculator'!$B$24*H160)-Q160)/(1-Q160)))</x:f>
        <x:v>0</x:v>
      </x:c>
      <x:c r="U160" s="197" t="n">
        <x:f>T160*'08_Bet_Calculator'!$B$21</x:f>
        <x:v>0</x:v>
      </x:c>
      <x:c r="V160" s="221"/>
      <x:c r="W160" s="200" t="n">
        <x:f>IF(OR(V160="",S160&lt;=0),0,MIN(V160*U160,V160*'08_Bet_Calculator'!$B$22,'08_Bet_Calculator'!$B$23))</x:f>
        <x:v>0</x:v>
      </x:c>
      <x:c r="X160" s="222" t="n">
        <x:f>IFERROR(W160/Q160,0)</x:f>
        <x:v>0</x:v>
      </x:c>
      <x:c r="Y160" s="189"/>
      <x:c r="Z160" s="196" t="str">
        <x:f>IF(OR(Y160="",K160=""),"",IF(Y160=K160,1,0))</x:f>
      </x:c>
      <x:c r="AA160" s="200" t="str">
        <x:f>IF(Z160="","",X160*(Z160-Q160))</x:f>
      </x:c>
      <x:c r="AB160" s="197" t="str">
        <x:f>IFERROR(AA160/W160,"")</x:f>
      </x:c>
      <x:c r="AC160" s="197" t="str">
        <x:f>IF(Z160="","",(L160-Z160)^2)</x:f>
      </x:c>
      <x:c r="AD160" s="198" t="str">
        <x:f>IF(Z160="","",-(Z160*LN(MAX(0.0001,L160))+(1-Z160)*LN(MAX(0.0001,1-L160))))</x:f>
      </x:c>
      <x:c r="AE160" s="189"/>
      <x:c r="AF160" s="200" t="n">
        <x:f>AF159+IF(AA160="",0,AA160)</x:f>
        <x:v>0</x:v>
      </x:c>
      <x:c r="AG160" s="200" t="n">
        <x:f>MAX(AG159,AF160)</x:f>
        <x:v>0</x:v>
      </x:c>
      <x:c r="AH160" s="200" t="n">
        <x:f>AF160-AG160</x:f>
        <x:v>0</x:v>
      </x:c>
    </x:row>
    <x:row r="161">
      <x:c r="A161" s="189"/>
      <x:c r="B161" s="189"/>
      <x:c r="C161" s="221"/>
      <x:c r="D161" s="189"/>
      <x:c r="E161" s="221"/>
      <x:c r="F161" s="218" t="str">
        <x:f>IFERROR(LN(E161/C161)*10000,"")</x:f>
      </x:c>
      <x:c r="G161" s="191"/>
      <x:c r="H161" s="191"/>
      <x:c r="I161" s="191"/>
      <x:c r="J161" s="191"/>
      <x:c r="K161" s="189"/>
      <x:c r="L161" s="197" t="str">
        <x:f>IF(K161="Up",G161,IF(K161="Down",1-G161,""))</x:f>
      </x:c>
      <x:c r="M161" s="198" t="str">
        <x:f>IF(K161="Up",I161,IF(K161="Down",J161,""))</x:f>
      </x:c>
      <x:c r="N161" s="192"/>
      <x:c r="O161" s="198" t="n">
        <x:f>IF(N161="Taker",M161*'08_Bet_Calculator'!$B$18*(1-M161),0)</x:f>
        <x:v>0</x:v>
      </x:c>
      <x:c r="P161" s="192"/>
      <x:c r="Q161" s="198" t="str">
        <x:f>IF(M161="","",MIN(0.999,M161+O161+P161))</x:f>
      </x:c>
      <x:c r="R161" s="197" t="str">
        <x:f>IF(L161="","",L161-Q161)</x:f>
      </x:c>
      <x:c r="S161" s="197" t="str">
        <x:f>IF(L161="","",L161-'08_Bet_Calculator'!$B$24*H161-Q161-'08_Bet_Calculator'!$B$20)</x:f>
      </x:c>
      <x:c r="T161" s="197" t="n">
        <x:f>IF(OR(L161="",Q161&gt;=1),0,MAX(0,(MAX(0,L161-'08_Bet_Calculator'!$B$24*H161)-Q161)/(1-Q161)))</x:f>
        <x:v>0</x:v>
      </x:c>
      <x:c r="U161" s="197" t="n">
        <x:f>T161*'08_Bet_Calculator'!$B$21</x:f>
        <x:v>0</x:v>
      </x:c>
      <x:c r="V161" s="221"/>
      <x:c r="W161" s="200" t="n">
        <x:f>IF(OR(V161="",S161&lt;=0),0,MIN(V161*U161,V161*'08_Bet_Calculator'!$B$22,'08_Bet_Calculator'!$B$23))</x:f>
        <x:v>0</x:v>
      </x:c>
      <x:c r="X161" s="222" t="n">
        <x:f>IFERROR(W161/Q161,0)</x:f>
        <x:v>0</x:v>
      </x:c>
      <x:c r="Y161" s="189"/>
      <x:c r="Z161" s="196" t="str">
        <x:f>IF(OR(Y161="",K161=""),"",IF(Y161=K161,1,0))</x:f>
      </x:c>
      <x:c r="AA161" s="200" t="str">
        <x:f>IF(Z161="","",X161*(Z161-Q161))</x:f>
      </x:c>
      <x:c r="AB161" s="197" t="str">
        <x:f>IFERROR(AA161/W161,"")</x:f>
      </x:c>
      <x:c r="AC161" s="197" t="str">
        <x:f>IF(Z161="","",(L161-Z161)^2)</x:f>
      </x:c>
      <x:c r="AD161" s="198" t="str">
        <x:f>IF(Z161="","",-(Z161*LN(MAX(0.0001,L161))+(1-Z161)*LN(MAX(0.0001,1-L161))))</x:f>
      </x:c>
      <x:c r="AE161" s="189"/>
      <x:c r="AF161" s="200" t="n">
        <x:f>AF160+IF(AA161="",0,AA161)</x:f>
        <x:v>0</x:v>
      </x:c>
      <x:c r="AG161" s="200" t="n">
        <x:f>MAX(AG160,AF161)</x:f>
        <x:v>0</x:v>
      </x:c>
      <x:c r="AH161" s="200" t="n">
        <x:f>AF161-AG161</x:f>
        <x:v>0</x:v>
      </x:c>
    </x:row>
    <x:row r="162">
      <x:c r="A162" s="189"/>
      <x:c r="B162" s="189"/>
      <x:c r="C162" s="221"/>
      <x:c r="D162" s="189"/>
      <x:c r="E162" s="221"/>
      <x:c r="F162" s="218" t="str">
        <x:f>IFERROR(LN(E162/C162)*10000,"")</x:f>
      </x:c>
      <x:c r="G162" s="191"/>
      <x:c r="H162" s="191"/>
      <x:c r="I162" s="191"/>
      <x:c r="J162" s="191"/>
      <x:c r="K162" s="189"/>
      <x:c r="L162" s="197" t="str">
        <x:f>IF(K162="Up",G162,IF(K162="Down",1-G162,""))</x:f>
      </x:c>
      <x:c r="M162" s="198" t="str">
        <x:f>IF(K162="Up",I162,IF(K162="Down",J162,""))</x:f>
      </x:c>
      <x:c r="N162" s="192"/>
      <x:c r="O162" s="198" t="n">
        <x:f>IF(N162="Taker",M162*'08_Bet_Calculator'!$B$18*(1-M162),0)</x:f>
        <x:v>0</x:v>
      </x:c>
      <x:c r="P162" s="192"/>
      <x:c r="Q162" s="198" t="str">
        <x:f>IF(M162="","",MIN(0.999,M162+O162+P162))</x:f>
      </x:c>
      <x:c r="R162" s="197" t="str">
        <x:f>IF(L162="","",L162-Q162)</x:f>
      </x:c>
      <x:c r="S162" s="197" t="str">
        <x:f>IF(L162="","",L162-'08_Bet_Calculator'!$B$24*H162-Q162-'08_Bet_Calculator'!$B$20)</x:f>
      </x:c>
      <x:c r="T162" s="197" t="n">
        <x:f>IF(OR(L162="",Q162&gt;=1),0,MAX(0,(MAX(0,L162-'08_Bet_Calculator'!$B$24*H162)-Q162)/(1-Q162)))</x:f>
        <x:v>0</x:v>
      </x:c>
      <x:c r="U162" s="197" t="n">
        <x:f>T162*'08_Bet_Calculator'!$B$21</x:f>
        <x:v>0</x:v>
      </x:c>
      <x:c r="V162" s="221"/>
      <x:c r="W162" s="200" t="n">
        <x:f>IF(OR(V162="",S162&lt;=0),0,MIN(V162*U162,V162*'08_Bet_Calculator'!$B$22,'08_Bet_Calculator'!$B$23))</x:f>
        <x:v>0</x:v>
      </x:c>
      <x:c r="X162" s="222" t="n">
        <x:f>IFERROR(W162/Q162,0)</x:f>
        <x:v>0</x:v>
      </x:c>
      <x:c r="Y162" s="189"/>
      <x:c r="Z162" s="196" t="str">
        <x:f>IF(OR(Y162="",K162=""),"",IF(Y162=K162,1,0))</x:f>
      </x:c>
      <x:c r="AA162" s="200" t="str">
        <x:f>IF(Z162="","",X162*(Z162-Q162))</x:f>
      </x:c>
      <x:c r="AB162" s="197" t="str">
        <x:f>IFERROR(AA162/W162,"")</x:f>
      </x:c>
      <x:c r="AC162" s="197" t="str">
        <x:f>IF(Z162="","",(L162-Z162)^2)</x:f>
      </x:c>
      <x:c r="AD162" s="198" t="str">
        <x:f>IF(Z162="","",-(Z162*LN(MAX(0.0001,L162))+(1-Z162)*LN(MAX(0.0001,1-L162))))</x:f>
      </x:c>
      <x:c r="AE162" s="189"/>
      <x:c r="AF162" s="200" t="n">
        <x:f>AF161+IF(AA162="",0,AA162)</x:f>
        <x:v>0</x:v>
      </x:c>
      <x:c r="AG162" s="200" t="n">
        <x:f>MAX(AG161,AF162)</x:f>
        <x:v>0</x:v>
      </x:c>
      <x:c r="AH162" s="200" t="n">
        <x:f>AF162-AG162</x:f>
        <x:v>0</x:v>
      </x:c>
    </x:row>
    <x:row r="163">
      <x:c r="A163" s="189"/>
      <x:c r="B163" s="189"/>
      <x:c r="C163" s="221"/>
      <x:c r="D163" s="189"/>
      <x:c r="E163" s="221"/>
      <x:c r="F163" s="218" t="str">
        <x:f>IFERROR(LN(E163/C163)*10000,"")</x:f>
      </x:c>
      <x:c r="G163" s="191"/>
      <x:c r="H163" s="191"/>
      <x:c r="I163" s="191"/>
      <x:c r="J163" s="191"/>
      <x:c r="K163" s="189"/>
      <x:c r="L163" s="197" t="str">
        <x:f>IF(K163="Up",G163,IF(K163="Down",1-G163,""))</x:f>
      </x:c>
      <x:c r="M163" s="198" t="str">
        <x:f>IF(K163="Up",I163,IF(K163="Down",J163,""))</x:f>
      </x:c>
      <x:c r="N163" s="192"/>
      <x:c r="O163" s="198" t="n">
        <x:f>IF(N163="Taker",M163*'08_Bet_Calculator'!$B$18*(1-M163),0)</x:f>
        <x:v>0</x:v>
      </x:c>
      <x:c r="P163" s="192"/>
      <x:c r="Q163" s="198" t="str">
        <x:f>IF(M163="","",MIN(0.999,M163+O163+P163))</x:f>
      </x:c>
      <x:c r="R163" s="197" t="str">
        <x:f>IF(L163="","",L163-Q163)</x:f>
      </x:c>
      <x:c r="S163" s="197" t="str">
        <x:f>IF(L163="","",L163-'08_Bet_Calculator'!$B$24*H163-Q163-'08_Bet_Calculator'!$B$20)</x:f>
      </x:c>
      <x:c r="T163" s="197" t="n">
        <x:f>IF(OR(L163="",Q163&gt;=1),0,MAX(0,(MAX(0,L163-'08_Bet_Calculator'!$B$24*H163)-Q163)/(1-Q163)))</x:f>
        <x:v>0</x:v>
      </x:c>
      <x:c r="U163" s="197" t="n">
        <x:f>T163*'08_Bet_Calculator'!$B$21</x:f>
        <x:v>0</x:v>
      </x:c>
      <x:c r="V163" s="221"/>
      <x:c r="W163" s="200" t="n">
        <x:f>IF(OR(V163="",S163&lt;=0),0,MIN(V163*U163,V163*'08_Bet_Calculator'!$B$22,'08_Bet_Calculator'!$B$23))</x:f>
        <x:v>0</x:v>
      </x:c>
      <x:c r="X163" s="222" t="n">
        <x:f>IFERROR(W163/Q163,0)</x:f>
        <x:v>0</x:v>
      </x:c>
      <x:c r="Y163" s="189"/>
      <x:c r="Z163" s="196" t="str">
        <x:f>IF(OR(Y163="",K163=""),"",IF(Y163=K163,1,0))</x:f>
      </x:c>
      <x:c r="AA163" s="200" t="str">
        <x:f>IF(Z163="","",X163*(Z163-Q163))</x:f>
      </x:c>
      <x:c r="AB163" s="197" t="str">
        <x:f>IFERROR(AA163/W163,"")</x:f>
      </x:c>
      <x:c r="AC163" s="197" t="str">
        <x:f>IF(Z163="","",(L163-Z163)^2)</x:f>
      </x:c>
      <x:c r="AD163" s="198" t="str">
        <x:f>IF(Z163="","",-(Z163*LN(MAX(0.0001,L163))+(1-Z163)*LN(MAX(0.0001,1-L163))))</x:f>
      </x:c>
      <x:c r="AE163" s="189"/>
      <x:c r="AF163" s="200" t="n">
        <x:f>AF162+IF(AA163="",0,AA163)</x:f>
        <x:v>0</x:v>
      </x:c>
      <x:c r="AG163" s="200" t="n">
        <x:f>MAX(AG162,AF163)</x:f>
        <x:v>0</x:v>
      </x:c>
      <x:c r="AH163" s="200" t="n">
        <x:f>AF163-AG163</x:f>
        <x:v>0</x:v>
      </x:c>
    </x:row>
    <x:row r="164">
      <x:c r="A164" s="189"/>
      <x:c r="B164" s="189"/>
      <x:c r="C164" s="221"/>
      <x:c r="D164" s="189"/>
      <x:c r="E164" s="221"/>
      <x:c r="F164" s="218" t="str">
        <x:f>IFERROR(LN(E164/C164)*10000,"")</x:f>
      </x:c>
      <x:c r="G164" s="191"/>
      <x:c r="H164" s="191"/>
      <x:c r="I164" s="191"/>
      <x:c r="J164" s="191"/>
      <x:c r="K164" s="189"/>
      <x:c r="L164" s="197" t="str">
        <x:f>IF(K164="Up",G164,IF(K164="Down",1-G164,""))</x:f>
      </x:c>
      <x:c r="M164" s="198" t="str">
        <x:f>IF(K164="Up",I164,IF(K164="Down",J164,""))</x:f>
      </x:c>
      <x:c r="N164" s="192"/>
      <x:c r="O164" s="198" t="n">
        <x:f>IF(N164="Taker",M164*'08_Bet_Calculator'!$B$18*(1-M164),0)</x:f>
        <x:v>0</x:v>
      </x:c>
      <x:c r="P164" s="192"/>
      <x:c r="Q164" s="198" t="str">
        <x:f>IF(M164="","",MIN(0.999,M164+O164+P164))</x:f>
      </x:c>
      <x:c r="R164" s="197" t="str">
        <x:f>IF(L164="","",L164-Q164)</x:f>
      </x:c>
      <x:c r="S164" s="197" t="str">
        <x:f>IF(L164="","",L164-'08_Bet_Calculator'!$B$24*H164-Q164-'08_Bet_Calculator'!$B$20)</x:f>
      </x:c>
      <x:c r="T164" s="197" t="n">
        <x:f>IF(OR(L164="",Q164&gt;=1),0,MAX(0,(MAX(0,L164-'08_Bet_Calculator'!$B$24*H164)-Q164)/(1-Q164)))</x:f>
        <x:v>0</x:v>
      </x:c>
      <x:c r="U164" s="197" t="n">
        <x:f>T164*'08_Bet_Calculator'!$B$21</x:f>
        <x:v>0</x:v>
      </x:c>
      <x:c r="V164" s="221"/>
      <x:c r="W164" s="200" t="n">
        <x:f>IF(OR(V164="",S164&lt;=0),0,MIN(V164*U164,V164*'08_Bet_Calculator'!$B$22,'08_Bet_Calculator'!$B$23))</x:f>
        <x:v>0</x:v>
      </x:c>
      <x:c r="X164" s="222" t="n">
        <x:f>IFERROR(W164/Q164,0)</x:f>
        <x:v>0</x:v>
      </x:c>
      <x:c r="Y164" s="189"/>
      <x:c r="Z164" s="196" t="str">
        <x:f>IF(OR(Y164="",K164=""),"",IF(Y164=K164,1,0))</x:f>
      </x:c>
      <x:c r="AA164" s="200" t="str">
        <x:f>IF(Z164="","",X164*(Z164-Q164))</x:f>
      </x:c>
      <x:c r="AB164" s="197" t="str">
        <x:f>IFERROR(AA164/W164,"")</x:f>
      </x:c>
      <x:c r="AC164" s="197" t="str">
        <x:f>IF(Z164="","",(L164-Z164)^2)</x:f>
      </x:c>
      <x:c r="AD164" s="198" t="str">
        <x:f>IF(Z164="","",-(Z164*LN(MAX(0.0001,L164))+(1-Z164)*LN(MAX(0.0001,1-L164))))</x:f>
      </x:c>
      <x:c r="AE164" s="189"/>
      <x:c r="AF164" s="200" t="n">
        <x:f>AF163+IF(AA164="",0,AA164)</x:f>
        <x:v>0</x:v>
      </x:c>
      <x:c r="AG164" s="200" t="n">
        <x:f>MAX(AG163,AF164)</x:f>
        <x:v>0</x:v>
      </x:c>
      <x:c r="AH164" s="200" t="n">
        <x:f>AF164-AG164</x:f>
        <x:v>0</x:v>
      </x:c>
    </x:row>
    <x:row r="165">
      <x:c r="A165" s="189"/>
      <x:c r="B165" s="189"/>
      <x:c r="C165" s="221"/>
      <x:c r="D165" s="189"/>
      <x:c r="E165" s="221"/>
      <x:c r="F165" s="218" t="str">
        <x:f>IFERROR(LN(E165/C165)*10000,"")</x:f>
      </x:c>
      <x:c r="G165" s="191"/>
      <x:c r="H165" s="191"/>
      <x:c r="I165" s="191"/>
      <x:c r="J165" s="191"/>
      <x:c r="K165" s="189"/>
      <x:c r="L165" s="197" t="str">
        <x:f>IF(K165="Up",G165,IF(K165="Down",1-G165,""))</x:f>
      </x:c>
      <x:c r="M165" s="198" t="str">
        <x:f>IF(K165="Up",I165,IF(K165="Down",J165,""))</x:f>
      </x:c>
      <x:c r="N165" s="192"/>
      <x:c r="O165" s="198" t="n">
        <x:f>IF(N165="Taker",M165*'08_Bet_Calculator'!$B$18*(1-M165),0)</x:f>
        <x:v>0</x:v>
      </x:c>
      <x:c r="P165" s="192"/>
      <x:c r="Q165" s="198" t="str">
        <x:f>IF(M165="","",MIN(0.999,M165+O165+P165))</x:f>
      </x:c>
      <x:c r="R165" s="197" t="str">
        <x:f>IF(L165="","",L165-Q165)</x:f>
      </x:c>
      <x:c r="S165" s="197" t="str">
        <x:f>IF(L165="","",L165-'08_Bet_Calculator'!$B$24*H165-Q165-'08_Bet_Calculator'!$B$20)</x:f>
      </x:c>
      <x:c r="T165" s="197" t="n">
        <x:f>IF(OR(L165="",Q165&gt;=1),0,MAX(0,(MAX(0,L165-'08_Bet_Calculator'!$B$24*H165)-Q165)/(1-Q165)))</x:f>
        <x:v>0</x:v>
      </x:c>
      <x:c r="U165" s="197" t="n">
        <x:f>T165*'08_Bet_Calculator'!$B$21</x:f>
        <x:v>0</x:v>
      </x:c>
      <x:c r="V165" s="221"/>
      <x:c r="W165" s="200" t="n">
        <x:f>IF(OR(V165="",S165&lt;=0),0,MIN(V165*U165,V165*'08_Bet_Calculator'!$B$22,'08_Bet_Calculator'!$B$23))</x:f>
        <x:v>0</x:v>
      </x:c>
      <x:c r="X165" s="222" t="n">
        <x:f>IFERROR(W165/Q165,0)</x:f>
        <x:v>0</x:v>
      </x:c>
      <x:c r="Y165" s="189"/>
      <x:c r="Z165" s="196" t="str">
        <x:f>IF(OR(Y165="",K165=""),"",IF(Y165=K165,1,0))</x:f>
      </x:c>
      <x:c r="AA165" s="200" t="str">
        <x:f>IF(Z165="","",X165*(Z165-Q165))</x:f>
      </x:c>
      <x:c r="AB165" s="197" t="str">
        <x:f>IFERROR(AA165/W165,"")</x:f>
      </x:c>
      <x:c r="AC165" s="197" t="str">
        <x:f>IF(Z165="","",(L165-Z165)^2)</x:f>
      </x:c>
      <x:c r="AD165" s="198" t="str">
        <x:f>IF(Z165="","",-(Z165*LN(MAX(0.0001,L165))+(1-Z165)*LN(MAX(0.0001,1-L165))))</x:f>
      </x:c>
      <x:c r="AE165" s="189"/>
      <x:c r="AF165" s="200" t="n">
        <x:f>AF164+IF(AA165="",0,AA165)</x:f>
        <x:v>0</x:v>
      </x:c>
      <x:c r="AG165" s="200" t="n">
        <x:f>MAX(AG164,AF165)</x:f>
        <x:v>0</x:v>
      </x:c>
      <x:c r="AH165" s="200" t="n">
        <x:f>AF165-AG165</x:f>
        <x:v>0</x:v>
      </x:c>
    </x:row>
    <x:row r="166">
      <x:c r="A166" s="189"/>
      <x:c r="B166" s="189"/>
      <x:c r="C166" s="221"/>
      <x:c r="D166" s="189"/>
      <x:c r="E166" s="221"/>
      <x:c r="F166" s="218" t="str">
        <x:f>IFERROR(LN(E166/C166)*10000,"")</x:f>
      </x:c>
      <x:c r="G166" s="191"/>
      <x:c r="H166" s="191"/>
      <x:c r="I166" s="191"/>
      <x:c r="J166" s="191"/>
      <x:c r="K166" s="189"/>
      <x:c r="L166" s="197" t="str">
        <x:f>IF(K166="Up",G166,IF(K166="Down",1-G166,""))</x:f>
      </x:c>
      <x:c r="M166" s="198" t="str">
        <x:f>IF(K166="Up",I166,IF(K166="Down",J166,""))</x:f>
      </x:c>
      <x:c r="N166" s="192"/>
      <x:c r="O166" s="198" t="n">
        <x:f>IF(N166="Taker",M166*'08_Bet_Calculator'!$B$18*(1-M166),0)</x:f>
        <x:v>0</x:v>
      </x:c>
      <x:c r="P166" s="192"/>
      <x:c r="Q166" s="198" t="str">
        <x:f>IF(M166="","",MIN(0.999,M166+O166+P166))</x:f>
      </x:c>
      <x:c r="R166" s="197" t="str">
        <x:f>IF(L166="","",L166-Q166)</x:f>
      </x:c>
      <x:c r="S166" s="197" t="str">
        <x:f>IF(L166="","",L166-'08_Bet_Calculator'!$B$24*H166-Q166-'08_Bet_Calculator'!$B$20)</x:f>
      </x:c>
      <x:c r="T166" s="197" t="n">
        <x:f>IF(OR(L166="",Q166&gt;=1),0,MAX(0,(MAX(0,L166-'08_Bet_Calculator'!$B$24*H166)-Q166)/(1-Q166)))</x:f>
        <x:v>0</x:v>
      </x:c>
      <x:c r="U166" s="197" t="n">
        <x:f>T166*'08_Bet_Calculator'!$B$21</x:f>
        <x:v>0</x:v>
      </x:c>
      <x:c r="V166" s="221"/>
      <x:c r="W166" s="200" t="n">
        <x:f>IF(OR(V166="",S166&lt;=0),0,MIN(V166*U166,V166*'08_Bet_Calculator'!$B$22,'08_Bet_Calculator'!$B$23))</x:f>
        <x:v>0</x:v>
      </x:c>
      <x:c r="X166" s="222" t="n">
        <x:f>IFERROR(W166/Q166,0)</x:f>
        <x:v>0</x:v>
      </x:c>
      <x:c r="Y166" s="189"/>
      <x:c r="Z166" s="196" t="str">
        <x:f>IF(OR(Y166="",K166=""),"",IF(Y166=K166,1,0))</x:f>
      </x:c>
      <x:c r="AA166" s="200" t="str">
        <x:f>IF(Z166="","",X166*(Z166-Q166))</x:f>
      </x:c>
      <x:c r="AB166" s="197" t="str">
        <x:f>IFERROR(AA166/W166,"")</x:f>
      </x:c>
      <x:c r="AC166" s="197" t="str">
        <x:f>IF(Z166="","",(L166-Z166)^2)</x:f>
      </x:c>
      <x:c r="AD166" s="198" t="str">
        <x:f>IF(Z166="","",-(Z166*LN(MAX(0.0001,L166))+(1-Z166)*LN(MAX(0.0001,1-L166))))</x:f>
      </x:c>
      <x:c r="AE166" s="189"/>
      <x:c r="AF166" s="200" t="n">
        <x:f>AF165+IF(AA166="",0,AA166)</x:f>
        <x:v>0</x:v>
      </x:c>
      <x:c r="AG166" s="200" t="n">
        <x:f>MAX(AG165,AF166)</x:f>
        <x:v>0</x:v>
      </x:c>
      <x:c r="AH166" s="200" t="n">
        <x:f>AF166-AG166</x:f>
        <x:v>0</x:v>
      </x:c>
    </x:row>
    <x:row r="167">
      <x:c r="A167" s="189"/>
      <x:c r="B167" s="189"/>
      <x:c r="C167" s="221"/>
      <x:c r="D167" s="189"/>
      <x:c r="E167" s="221"/>
      <x:c r="F167" s="218" t="str">
        <x:f>IFERROR(LN(E167/C167)*10000,"")</x:f>
      </x:c>
      <x:c r="G167" s="191"/>
      <x:c r="H167" s="191"/>
      <x:c r="I167" s="191"/>
      <x:c r="J167" s="191"/>
      <x:c r="K167" s="189"/>
      <x:c r="L167" s="197" t="str">
        <x:f>IF(K167="Up",G167,IF(K167="Down",1-G167,""))</x:f>
      </x:c>
      <x:c r="M167" s="198" t="str">
        <x:f>IF(K167="Up",I167,IF(K167="Down",J167,""))</x:f>
      </x:c>
      <x:c r="N167" s="192"/>
      <x:c r="O167" s="198" t="n">
        <x:f>IF(N167="Taker",M167*'08_Bet_Calculator'!$B$18*(1-M167),0)</x:f>
        <x:v>0</x:v>
      </x:c>
      <x:c r="P167" s="192"/>
      <x:c r="Q167" s="198" t="str">
        <x:f>IF(M167="","",MIN(0.999,M167+O167+P167))</x:f>
      </x:c>
      <x:c r="R167" s="197" t="str">
        <x:f>IF(L167="","",L167-Q167)</x:f>
      </x:c>
      <x:c r="S167" s="197" t="str">
        <x:f>IF(L167="","",L167-'08_Bet_Calculator'!$B$24*H167-Q167-'08_Bet_Calculator'!$B$20)</x:f>
      </x:c>
      <x:c r="T167" s="197" t="n">
        <x:f>IF(OR(L167="",Q167&gt;=1),0,MAX(0,(MAX(0,L167-'08_Bet_Calculator'!$B$24*H167)-Q167)/(1-Q167)))</x:f>
        <x:v>0</x:v>
      </x:c>
      <x:c r="U167" s="197" t="n">
        <x:f>T167*'08_Bet_Calculator'!$B$21</x:f>
        <x:v>0</x:v>
      </x:c>
      <x:c r="V167" s="221"/>
      <x:c r="W167" s="200" t="n">
        <x:f>IF(OR(V167="",S167&lt;=0),0,MIN(V167*U167,V167*'08_Bet_Calculator'!$B$22,'08_Bet_Calculator'!$B$23))</x:f>
        <x:v>0</x:v>
      </x:c>
      <x:c r="X167" s="222" t="n">
        <x:f>IFERROR(W167/Q167,0)</x:f>
        <x:v>0</x:v>
      </x:c>
      <x:c r="Y167" s="189"/>
      <x:c r="Z167" s="196" t="str">
        <x:f>IF(OR(Y167="",K167=""),"",IF(Y167=K167,1,0))</x:f>
      </x:c>
      <x:c r="AA167" s="200" t="str">
        <x:f>IF(Z167="","",X167*(Z167-Q167))</x:f>
      </x:c>
      <x:c r="AB167" s="197" t="str">
        <x:f>IFERROR(AA167/W167,"")</x:f>
      </x:c>
      <x:c r="AC167" s="197" t="str">
        <x:f>IF(Z167="","",(L167-Z167)^2)</x:f>
      </x:c>
      <x:c r="AD167" s="198" t="str">
        <x:f>IF(Z167="","",-(Z167*LN(MAX(0.0001,L167))+(1-Z167)*LN(MAX(0.0001,1-L167))))</x:f>
      </x:c>
      <x:c r="AE167" s="189"/>
      <x:c r="AF167" s="200" t="n">
        <x:f>AF166+IF(AA167="",0,AA167)</x:f>
        <x:v>0</x:v>
      </x:c>
      <x:c r="AG167" s="200" t="n">
        <x:f>MAX(AG166,AF167)</x:f>
        <x:v>0</x:v>
      </x:c>
      <x:c r="AH167" s="200" t="n">
        <x:f>AF167-AG167</x:f>
        <x:v>0</x:v>
      </x:c>
    </x:row>
    <x:row r="168">
      <x:c r="A168" s="189"/>
      <x:c r="B168" s="189"/>
      <x:c r="C168" s="221"/>
      <x:c r="D168" s="189"/>
      <x:c r="E168" s="221"/>
      <x:c r="F168" s="218" t="str">
        <x:f>IFERROR(LN(E168/C168)*10000,"")</x:f>
      </x:c>
      <x:c r="G168" s="191"/>
      <x:c r="H168" s="191"/>
      <x:c r="I168" s="191"/>
      <x:c r="J168" s="191"/>
      <x:c r="K168" s="189"/>
      <x:c r="L168" s="197" t="str">
        <x:f>IF(K168="Up",G168,IF(K168="Down",1-G168,""))</x:f>
      </x:c>
      <x:c r="M168" s="198" t="str">
        <x:f>IF(K168="Up",I168,IF(K168="Down",J168,""))</x:f>
      </x:c>
      <x:c r="N168" s="192"/>
      <x:c r="O168" s="198" t="n">
        <x:f>IF(N168="Taker",M168*'08_Bet_Calculator'!$B$18*(1-M168),0)</x:f>
        <x:v>0</x:v>
      </x:c>
      <x:c r="P168" s="192"/>
      <x:c r="Q168" s="198" t="str">
        <x:f>IF(M168="","",MIN(0.999,M168+O168+P168))</x:f>
      </x:c>
      <x:c r="R168" s="197" t="str">
        <x:f>IF(L168="","",L168-Q168)</x:f>
      </x:c>
      <x:c r="S168" s="197" t="str">
        <x:f>IF(L168="","",L168-'08_Bet_Calculator'!$B$24*H168-Q168-'08_Bet_Calculator'!$B$20)</x:f>
      </x:c>
      <x:c r="T168" s="197" t="n">
        <x:f>IF(OR(L168="",Q168&gt;=1),0,MAX(0,(MAX(0,L168-'08_Bet_Calculator'!$B$24*H168)-Q168)/(1-Q168)))</x:f>
        <x:v>0</x:v>
      </x:c>
      <x:c r="U168" s="197" t="n">
        <x:f>T168*'08_Bet_Calculator'!$B$21</x:f>
        <x:v>0</x:v>
      </x:c>
      <x:c r="V168" s="221"/>
      <x:c r="W168" s="200" t="n">
        <x:f>IF(OR(V168="",S168&lt;=0),0,MIN(V168*U168,V168*'08_Bet_Calculator'!$B$22,'08_Bet_Calculator'!$B$23))</x:f>
        <x:v>0</x:v>
      </x:c>
      <x:c r="X168" s="222" t="n">
        <x:f>IFERROR(W168/Q168,0)</x:f>
        <x:v>0</x:v>
      </x:c>
      <x:c r="Y168" s="189"/>
      <x:c r="Z168" s="196" t="str">
        <x:f>IF(OR(Y168="",K168=""),"",IF(Y168=K168,1,0))</x:f>
      </x:c>
      <x:c r="AA168" s="200" t="str">
        <x:f>IF(Z168="","",X168*(Z168-Q168))</x:f>
      </x:c>
      <x:c r="AB168" s="197" t="str">
        <x:f>IFERROR(AA168/W168,"")</x:f>
      </x:c>
      <x:c r="AC168" s="197" t="str">
        <x:f>IF(Z168="","",(L168-Z168)^2)</x:f>
      </x:c>
      <x:c r="AD168" s="198" t="str">
        <x:f>IF(Z168="","",-(Z168*LN(MAX(0.0001,L168))+(1-Z168)*LN(MAX(0.0001,1-L168))))</x:f>
      </x:c>
      <x:c r="AE168" s="189"/>
      <x:c r="AF168" s="200" t="n">
        <x:f>AF167+IF(AA168="",0,AA168)</x:f>
        <x:v>0</x:v>
      </x:c>
      <x:c r="AG168" s="200" t="n">
        <x:f>MAX(AG167,AF168)</x:f>
        <x:v>0</x:v>
      </x:c>
      <x:c r="AH168" s="200" t="n">
        <x:f>AF168-AG168</x:f>
        <x:v>0</x:v>
      </x:c>
    </x:row>
    <x:row r="169">
      <x:c r="A169" s="189"/>
      <x:c r="B169" s="189"/>
      <x:c r="C169" s="221"/>
      <x:c r="D169" s="189"/>
      <x:c r="E169" s="221"/>
      <x:c r="F169" s="218" t="str">
        <x:f>IFERROR(LN(E169/C169)*10000,"")</x:f>
      </x:c>
      <x:c r="G169" s="191"/>
      <x:c r="H169" s="191"/>
      <x:c r="I169" s="191"/>
      <x:c r="J169" s="191"/>
      <x:c r="K169" s="189"/>
      <x:c r="L169" s="197" t="str">
        <x:f>IF(K169="Up",G169,IF(K169="Down",1-G169,""))</x:f>
      </x:c>
      <x:c r="M169" s="198" t="str">
        <x:f>IF(K169="Up",I169,IF(K169="Down",J169,""))</x:f>
      </x:c>
      <x:c r="N169" s="192"/>
      <x:c r="O169" s="198" t="n">
        <x:f>IF(N169="Taker",M169*'08_Bet_Calculator'!$B$18*(1-M169),0)</x:f>
        <x:v>0</x:v>
      </x:c>
      <x:c r="P169" s="192"/>
      <x:c r="Q169" s="198" t="str">
        <x:f>IF(M169="","",MIN(0.999,M169+O169+P169))</x:f>
      </x:c>
      <x:c r="R169" s="197" t="str">
        <x:f>IF(L169="","",L169-Q169)</x:f>
      </x:c>
      <x:c r="S169" s="197" t="str">
        <x:f>IF(L169="","",L169-'08_Bet_Calculator'!$B$24*H169-Q169-'08_Bet_Calculator'!$B$20)</x:f>
      </x:c>
      <x:c r="T169" s="197" t="n">
        <x:f>IF(OR(L169="",Q169&gt;=1),0,MAX(0,(MAX(0,L169-'08_Bet_Calculator'!$B$24*H169)-Q169)/(1-Q169)))</x:f>
        <x:v>0</x:v>
      </x:c>
      <x:c r="U169" s="197" t="n">
        <x:f>T169*'08_Bet_Calculator'!$B$21</x:f>
        <x:v>0</x:v>
      </x:c>
      <x:c r="V169" s="221"/>
      <x:c r="W169" s="200" t="n">
        <x:f>IF(OR(V169="",S169&lt;=0),0,MIN(V169*U169,V169*'08_Bet_Calculator'!$B$22,'08_Bet_Calculator'!$B$23))</x:f>
        <x:v>0</x:v>
      </x:c>
      <x:c r="X169" s="222" t="n">
        <x:f>IFERROR(W169/Q169,0)</x:f>
        <x:v>0</x:v>
      </x:c>
      <x:c r="Y169" s="189"/>
      <x:c r="Z169" s="196" t="str">
        <x:f>IF(OR(Y169="",K169=""),"",IF(Y169=K169,1,0))</x:f>
      </x:c>
      <x:c r="AA169" s="200" t="str">
        <x:f>IF(Z169="","",X169*(Z169-Q169))</x:f>
      </x:c>
      <x:c r="AB169" s="197" t="str">
        <x:f>IFERROR(AA169/W169,"")</x:f>
      </x:c>
      <x:c r="AC169" s="197" t="str">
        <x:f>IF(Z169="","",(L169-Z169)^2)</x:f>
      </x:c>
      <x:c r="AD169" s="198" t="str">
        <x:f>IF(Z169="","",-(Z169*LN(MAX(0.0001,L169))+(1-Z169)*LN(MAX(0.0001,1-L169))))</x:f>
      </x:c>
      <x:c r="AE169" s="189"/>
      <x:c r="AF169" s="200" t="n">
        <x:f>AF168+IF(AA169="",0,AA169)</x:f>
        <x:v>0</x:v>
      </x:c>
      <x:c r="AG169" s="200" t="n">
        <x:f>MAX(AG168,AF169)</x:f>
        <x:v>0</x:v>
      </x:c>
      <x:c r="AH169" s="200" t="n">
        <x:f>AF169-AG169</x:f>
        <x:v>0</x:v>
      </x:c>
    </x:row>
    <x:row r="170">
      <x:c r="A170" s="189"/>
      <x:c r="B170" s="189"/>
      <x:c r="C170" s="221"/>
      <x:c r="D170" s="189"/>
      <x:c r="E170" s="221"/>
      <x:c r="F170" s="218" t="str">
        <x:f>IFERROR(LN(E170/C170)*10000,"")</x:f>
      </x:c>
      <x:c r="G170" s="191"/>
      <x:c r="H170" s="191"/>
      <x:c r="I170" s="191"/>
      <x:c r="J170" s="191"/>
      <x:c r="K170" s="189"/>
      <x:c r="L170" s="197" t="str">
        <x:f>IF(K170="Up",G170,IF(K170="Down",1-G170,""))</x:f>
      </x:c>
      <x:c r="M170" s="198" t="str">
        <x:f>IF(K170="Up",I170,IF(K170="Down",J170,""))</x:f>
      </x:c>
      <x:c r="N170" s="192"/>
      <x:c r="O170" s="198" t="n">
        <x:f>IF(N170="Taker",M170*'08_Bet_Calculator'!$B$18*(1-M170),0)</x:f>
        <x:v>0</x:v>
      </x:c>
      <x:c r="P170" s="192"/>
      <x:c r="Q170" s="198" t="str">
        <x:f>IF(M170="","",MIN(0.999,M170+O170+P170))</x:f>
      </x:c>
      <x:c r="R170" s="197" t="str">
        <x:f>IF(L170="","",L170-Q170)</x:f>
      </x:c>
      <x:c r="S170" s="197" t="str">
        <x:f>IF(L170="","",L170-'08_Bet_Calculator'!$B$24*H170-Q170-'08_Bet_Calculator'!$B$20)</x:f>
      </x:c>
      <x:c r="T170" s="197" t="n">
        <x:f>IF(OR(L170="",Q170&gt;=1),0,MAX(0,(MAX(0,L170-'08_Bet_Calculator'!$B$24*H170)-Q170)/(1-Q170)))</x:f>
        <x:v>0</x:v>
      </x:c>
      <x:c r="U170" s="197" t="n">
        <x:f>T170*'08_Bet_Calculator'!$B$21</x:f>
        <x:v>0</x:v>
      </x:c>
      <x:c r="V170" s="221"/>
      <x:c r="W170" s="200" t="n">
        <x:f>IF(OR(V170="",S170&lt;=0),0,MIN(V170*U170,V170*'08_Bet_Calculator'!$B$22,'08_Bet_Calculator'!$B$23))</x:f>
        <x:v>0</x:v>
      </x:c>
      <x:c r="X170" s="222" t="n">
        <x:f>IFERROR(W170/Q170,0)</x:f>
        <x:v>0</x:v>
      </x:c>
      <x:c r="Y170" s="189"/>
      <x:c r="Z170" s="196" t="str">
        <x:f>IF(OR(Y170="",K170=""),"",IF(Y170=K170,1,0))</x:f>
      </x:c>
      <x:c r="AA170" s="200" t="str">
        <x:f>IF(Z170="","",X170*(Z170-Q170))</x:f>
      </x:c>
      <x:c r="AB170" s="197" t="str">
        <x:f>IFERROR(AA170/W170,"")</x:f>
      </x:c>
      <x:c r="AC170" s="197" t="str">
        <x:f>IF(Z170="","",(L170-Z170)^2)</x:f>
      </x:c>
      <x:c r="AD170" s="198" t="str">
        <x:f>IF(Z170="","",-(Z170*LN(MAX(0.0001,L170))+(1-Z170)*LN(MAX(0.0001,1-L170))))</x:f>
      </x:c>
      <x:c r="AE170" s="189"/>
      <x:c r="AF170" s="200" t="n">
        <x:f>AF169+IF(AA170="",0,AA170)</x:f>
        <x:v>0</x:v>
      </x:c>
      <x:c r="AG170" s="200" t="n">
        <x:f>MAX(AG169,AF170)</x:f>
        <x:v>0</x:v>
      </x:c>
      <x:c r="AH170" s="200" t="n">
        <x:f>AF170-AG170</x:f>
        <x:v>0</x:v>
      </x:c>
    </x:row>
    <x:row r="171">
      <x:c r="A171" s="189"/>
      <x:c r="B171" s="189"/>
      <x:c r="C171" s="221"/>
      <x:c r="D171" s="189"/>
      <x:c r="E171" s="221"/>
      <x:c r="F171" s="218" t="str">
        <x:f>IFERROR(LN(E171/C171)*10000,"")</x:f>
      </x:c>
      <x:c r="G171" s="191"/>
      <x:c r="H171" s="191"/>
      <x:c r="I171" s="191"/>
      <x:c r="J171" s="191"/>
      <x:c r="K171" s="189"/>
      <x:c r="L171" s="197" t="str">
        <x:f>IF(K171="Up",G171,IF(K171="Down",1-G171,""))</x:f>
      </x:c>
      <x:c r="M171" s="198" t="str">
        <x:f>IF(K171="Up",I171,IF(K171="Down",J171,""))</x:f>
      </x:c>
      <x:c r="N171" s="192"/>
      <x:c r="O171" s="198" t="n">
        <x:f>IF(N171="Taker",M171*'08_Bet_Calculator'!$B$18*(1-M171),0)</x:f>
        <x:v>0</x:v>
      </x:c>
      <x:c r="P171" s="192"/>
      <x:c r="Q171" s="198" t="str">
        <x:f>IF(M171="","",MIN(0.999,M171+O171+P171))</x:f>
      </x:c>
      <x:c r="R171" s="197" t="str">
        <x:f>IF(L171="","",L171-Q171)</x:f>
      </x:c>
      <x:c r="S171" s="197" t="str">
        <x:f>IF(L171="","",L171-'08_Bet_Calculator'!$B$24*H171-Q171-'08_Bet_Calculator'!$B$20)</x:f>
      </x:c>
      <x:c r="T171" s="197" t="n">
        <x:f>IF(OR(L171="",Q171&gt;=1),0,MAX(0,(MAX(0,L171-'08_Bet_Calculator'!$B$24*H171)-Q171)/(1-Q171)))</x:f>
        <x:v>0</x:v>
      </x:c>
      <x:c r="U171" s="197" t="n">
        <x:f>T171*'08_Bet_Calculator'!$B$21</x:f>
        <x:v>0</x:v>
      </x:c>
      <x:c r="V171" s="221"/>
      <x:c r="W171" s="200" t="n">
        <x:f>IF(OR(V171="",S171&lt;=0),0,MIN(V171*U171,V171*'08_Bet_Calculator'!$B$22,'08_Bet_Calculator'!$B$23))</x:f>
        <x:v>0</x:v>
      </x:c>
      <x:c r="X171" s="222" t="n">
        <x:f>IFERROR(W171/Q171,0)</x:f>
        <x:v>0</x:v>
      </x:c>
      <x:c r="Y171" s="189"/>
      <x:c r="Z171" s="196" t="str">
        <x:f>IF(OR(Y171="",K171=""),"",IF(Y171=K171,1,0))</x:f>
      </x:c>
      <x:c r="AA171" s="200" t="str">
        <x:f>IF(Z171="","",X171*(Z171-Q171))</x:f>
      </x:c>
      <x:c r="AB171" s="197" t="str">
        <x:f>IFERROR(AA171/W171,"")</x:f>
      </x:c>
      <x:c r="AC171" s="197" t="str">
        <x:f>IF(Z171="","",(L171-Z171)^2)</x:f>
      </x:c>
      <x:c r="AD171" s="198" t="str">
        <x:f>IF(Z171="","",-(Z171*LN(MAX(0.0001,L171))+(1-Z171)*LN(MAX(0.0001,1-L171))))</x:f>
      </x:c>
      <x:c r="AE171" s="189"/>
      <x:c r="AF171" s="200" t="n">
        <x:f>AF170+IF(AA171="",0,AA171)</x:f>
        <x:v>0</x:v>
      </x:c>
      <x:c r="AG171" s="200" t="n">
        <x:f>MAX(AG170,AF171)</x:f>
        <x:v>0</x:v>
      </x:c>
      <x:c r="AH171" s="200" t="n">
        <x:f>AF171-AG171</x:f>
        <x:v>0</x:v>
      </x:c>
    </x:row>
    <x:row r="172">
      <x:c r="A172" s="189"/>
      <x:c r="B172" s="189"/>
      <x:c r="C172" s="221"/>
      <x:c r="D172" s="189"/>
      <x:c r="E172" s="221"/>
      <x:c r="F172" s="218" t="str">
        <x:f>IFERROR(LN(E172/C172)*10000,"")</x:f>
      </x:c>
      <x:c r="G172" s="191"/>
      <x:c r="H172" s="191"/>
      <x:c r="I172" s="191"/>
      <x:c r="J172" s="191"/>
      <x:c r="K172" s="189"/>
      <x:c r="L172" s="197" t="str">
        <x:f>IF(K172="Up",G172,IF(K172="Down",1-G172,""))</x:f>
      </x:c>
      <x:c r="M172" s="198" t="str">
        <x:f>IF(K172="Up",I172,IF(K172="Down",J172,""))</x:f>
      </x:c>
      <x:c r="N172" s="192"/>
      <x:c r="O172" s="198" t="n">
        <x:f>IF(N172="Taker",M172*'08_Bet_Calculator'!$B$18*(1-M172),0)</x:f>
        <x:v>0</x:v>
      </x:c>
      <x:c r="P172" s="192"/>
      <x:c r="Q172" s="198" t="str">
        <x:f>IF(M172="","",MIN(0.999,M172+O172+P172))</x:f>
      </x:c>
      <x:c r="R172" s="197" t="str">
        <x:f>IF(L172="","",L172-Q172)</x:f>
      </x:c>
      <x:c r="S172" s="197" t="str">
        <x:f>IF(L172="","",L172-'08_Bet_Calculator'!$B$24*H172-Q172-'08_Bet_Calculator'!$B$20)</x:f>
      </x:c>
      <x:c r="T172" s="197" t="n">
        <x:f>IF(OR(L172="",Q172&gt;=1),0,MAX(0,(MAX(0,L172-'08_Bet_Calculator'!$B$24*H172)-Q172)/(1-Q172)))</x:f>
        <x:v>0</x:v>
      </x:c>
      <x:c r="U172" s="197" t="n">
        <x:f>T172*'08_Bet_Calculator'!$B$21</x:f>
        <x:v>0</x:v>
      </x:c>
      <x:c r="V172" s="221"/>
      <x:c r="W172" s="200" t="n">
        <x:f>IF(OR(V172="",S172&lt;=0),0,MIN(V172*U172,V172*'08_Bet_Calculator'!$B$22,'08_Bet_Calculator'!$B$23))</x:f>
        <x:v>0</x:v>
      </x:c>
      <x:c r="X172" s="222" t="n">
        <x:f>IFERROR(W172/Q172,0)</x:f>
        <x:v>0</x:v>
      </x:c>
      <x:c r="Y172" s="189"/>
      <x:c r="Z172" s="196" t="str">
        <x:f>IF(OR(Y172="",K172=""),"",IF(Y172=K172,1,0))</x:f>
      </x:c>
      <x:c r="AA172" s="200" t="str">
        <x:f>IF(Z172="","",X172*(Z172-Q172))</x:f>
      </x:c>
      <x:c r="AB172" s="197" t="str">
        <x:f>IFERROR(AA172/W172,"")</x:f>
      </x:c>
      <x:c r="AC172" s="197" t="str">
        <x:f>IF(Z172="","",(L172-Z172)^2)</x:f>
      </x:c>
      <x:c r="AD172" s="198" t="str">
        <x:f>IF(Z172="","",-(Z172*LN(MAX(0.0001,L172))+(1-Z172)*LN(MAX(0.0001,1-L172))))</x:f>
      </x:c>
      <x:c r="AE172" s="189"/>
      <x:c r="AF172" s="200" t="n">
        <x:f>AF171+IF(AA172="",0,AA172)</x:f>
        <x:v>0</x:v>
      </x:c>
      <x:c r="AG172" s="200" t="n">
        <x:f>MAX(AG171,AF172)</x:f>
        <x:v>0</x:v>
      </x:c>
      <x:c r="AH172" s="200" t="n">
        <x:f>AF172-AG172</x:f>
        <x:v>0</x:v>
      </x:c>
    </x:row>
    <x:row r="173">
      <x:c r="A173" s="189"/>
      <x:c r="B173" s="189"/>
      <x:c r="C173" s="221"/>
      <x:c r="D173" s="189"/>
      <x:c r="E173" s="221"/>
      <x:c r="F173" s="218" t="str">
        <x:f>IFERROR(LN(E173/C173)*10000,"")</x:f>
      </x:c>
      <x:c r="G173" s="191"/>
      <x:c r="H173" s="191"/>
      <x:c r="I173" s="191"/>
      <x:c r="J173" s="191"/>
      <x:c r="K173" s="189"/>
      <x:c r="L173" s="197" t="str">
        <x:f>IF(K173="Up",G173,IF(K173="Down",1-G173,""))</x:f>
      </x:c>
      <x:c r="M173" s="198" t="str">
        <x:f>IF(K173="Up",I173,IF(K173="Down",J173,""))</x:f>
      </x:c>
      <x:c r="N173" s="192"/>
      <x:c r="O173" s="198" t="n">
        <x:f>IF(N173="Taker",M173*'08_Bet_Calculator'!$B$18*(1-M173),0)</x:f>
        <x:v>0</x:v>
      </x:c>
      <x:c r="P173" s="192"/>
      <x:c r="Q173" s="198" t="str">
        <x:f>IF(M173="","",MIN(0.999,M173+O173+P173))</x:f>
      </x:c>
      <x:c r="R173" s="197" t="str">
        <x:f>IF(L173="","",L173-Q173)</x:f>
      </x:c>
      <x:c r="S173" s="197" t="str">
        <x:f>IF(L173="","",L173-'08_Bet_Calculator'!$B$24*H173-Q173-'08_Bet_Calculator'!$B$20)</x:f>
      </x:c>
      <x:c r="T173" s="197" t="n">
        <x:f>IF(OR(L173="",Q173&gt;=1),0,MAX(0,(MAX(0,L173-'08_Bet_Calculator'!$B$24*H173)-Q173)/(1-Q173)))</x:f>
        <x:v>0</x:v>
      </x:c>
      <x:c r="U173" s="197" t="n">
        <x:f>T173*'08_Bet_Calculator'!$B$21</x:f>
        <x:v>0</x:v>
      </x:c>
      <x:c r="V173" s="221"/>
      <x:c r="W173" s="200" t="n">
        <x:f>IF(OR(V173="",S173&lt;=0),0,MIN(V173*U173,V173*'08_Bet_Calculator'!$B$22,'08_Bet_Calculator'!$B$23))</x:f>
        <x:v>0</x:v>
      </x:c>
      <x:c r="X173" s="222" t="n">
        <x:f>IFERROR(W173/Q173,0)</x:f>
        <x:v>0</x:v>
      </x:c>
      <x:c r="Y173" s="189"/>
      <x:c r="Z173" s="196" t="str">
        <x:f>IF(OR(Y173="",K173=""),"",IF(Y173=K173,1,0))</x:f>
      </x:c>
      <x:c r="AA173" s="200" t="str">
        <x:f>IF(Z173="","",X173*(Z173-Q173))</x:f>
      </x:c>
      <x:c r="AB173" s="197" t="str">
        <x:f>IFERROR(AA173/W173,"")</x:f>
      </x:c>
      <x:c r="AC173" s="197" t="str">
        <x:f>IF(Z173="","",(L173-Z173)^2)</x:f>
      </x:c>
      <x:c r="AD173" s="198" t="str">
        <x:f>IF(Z173="","",-(Z173*LN(MAX(0.0001,L173))+(1-Z173)*LN(MAX(0.0001,1-L173))))</x:f>
      </x:c>
      <x:c r="AE173" s="189"/>
      <x:c r="AF173" s="200" t="n">
        <x:f>AF172+IF(AA173="",0,AA173)</x:f>
        <x:v>0</x:v>
      </x:c>
      <x:c r="AG173" s="200" t="n">
        <x:f>MAX(AG172,AF173)</x:f>
        <x:v>0</x:v>
      </x:c>
      <x:c r="AH173" s="200" t="n">
        <x:f>AF173-AG173</x:f>
        <x:v>0</x:v>
      </x:c>
    </x:row>
    <x:row r="174">
      <x:c r="A174" s="189"/>
      <x:c r="B174" s="189"/>
      <x:c r="C174" s="221"/>
      <x:c r="D174" s="189"/>
      <x:c r="E174" s="221"/>
      <x:c r="F174" s="218" t="str">
        <x:f>IFERROR(LN(E174/C174)*10000,"")</x:f>
      </x:c>
      <x:c r="G174" s="191"/>
      <x:c r="H174" s="191"/>
      <x:c r="I174" s="191"/>
      <x:c r="J174" s="191"/>
      <x:c r="K174" s="189"/>
      <x:c r="L174" s="197" t="str">
        <x:f>IF(K174="Up",G174,IF(K174="Down",1-G174,""))</x:f>
      </x:c>
      <x:c r="M174" s="198" t="str">
        <x:f>IF(K174="Up",I174,IF(K174="Down",J174,""))</x:f>
      </x:c>
      <x:c r="N174" s="192"/>
      <x:c r="O174" s="198" t="n">
        <x:f>IF(N174="Taker",M174*'08_Bet_Calculator'!$B$18*(1-M174),0)</x:f>
        <x:v>0</x:v>
      </x:c>
      <x:c r="P174" s="192"/>
      <x:c r="Q174" s="198" t="str">
        <x:f>IF(M174="","",MIN(0.999,M174+O174+P174))</x:f>
      </x:c>
      <x:c r="R174" s="197" t="str">
        <x:f>IF(L174="","",L174-Q174)</x:f>
      </x:c>
      <x:c r="S174" s="197" t="str">
        <x:f>IF(L174="","",L174-'08_Bet_Calculator'!$B$24*H174-Q174-'08_Bet_Calculator'!$B$20)</x:f>
      </x:c>
      <x:c r="T174" s="197" t="n">
        <x:f>IF(OR(L174="",Q174&gt;=1),0,MAX(0,(MAX(0,L174-'08_Bet_Calculator'!$B$24*H174)-Q174)/(1-Q174)))</x:f>
        <x:v>0</x:v>
      </x:c>
      <x:c r="U174" s="197" t="n">
        <x:f>T174*'08_Bet_Calculator'!$B$21</x:f>
        <x:v>0</x:v>
      </x:c>
      <x:c r="V174" s="221"/>
      <x:c r="W174" s="200" t="n">
        <x:f>IF(OR(V174="",S174&lt;=0),0,MIN(V174*U174,V174*'08_Bet_Calculator'!$B$22,'08_Bet_Calculator'!$B$23))</x:f>
        <x:v>0</x:v>
      </x:c>
      <x:c r="X174" s="222" t="n">
        <x:f>IFERROR(W174/Q174,0)</x:f>
        <x:v>0</x:v>
      </x:c>
      <x:c r="Y174" s="189"/>
      <x:c r="Z174" s="196" t="str">
        <x:f>IF(OR(Y174="",K174=""),"",IF(Y174=K174,1,0))</x:f>
      </x:c>
      <x:c r="AA174" s="200" t="str">
        <x:f>IF(Z174="","",X174*(Z174-Q174))</x:f>
      </x:c>
      <x:c r="AB174" s="197" t="str">
        <x:f>IFERROR(AA174/W174,"")</x:f>
      </x:c>
      <x:c r="AC174" s="197" t="str">
        <x:f>IF(Z174="","",(L174-Z174)^2)</x:f>
      </x:c>
      <x:c r="AD174" s="198" t="str">
        <x:f>IF(Z174="","",-(Z174*LN(MAX(0.0001,L174))+(1-Z174)*LN(MAX(0.0001,1-L174))))</x:f>
      </x:c>
      <x:c r="AE174" s="189"/>
      <x:c r="AF174" s="200" t="n">
        <x:f>AF173+IF(AA174="",0,AA174)</x:f>
        <x:v>0</x:v>
      </x:c>
      <x:c r="AG174" s="200" t="n">
        <x:f>MAX(AG173,AF174)</x:f>
        <x:v>0</x:v>
      </x:c>
      <x:c r="AH174" s="200" t="n">
        <x:f>AF174-AG174</x:f>
        <x:v>0</x:v>
      </x:c>
    </x:row>
    <x:row r="175">
      <x:c r="A175" s="189"/>
      <x:c r="B175" s="189"/>
      <x:c r="C175" s="221"/>
      <x:c r="D175" s="189"/>
      <x:c r="E175" s="221"/>
      <x:c r="F175" s="218" t="str">
        <x:f>IFERROR(LN(E175/C175)*10000,"")</x:f>
      </x:c>
      <x:c r="G175" s="191"/>
      <x:c r="H175" s="191"/>
      <x:c r="I175" s="191"/>
      <x:c r="J175" s="191"/>
      <x:c r="K175" s="189"/>
      <x:c r="L175" s="197" t="str">
        <x:f>IF(K175="Up",G175,IF(K175="Down",1-G175,""))</x:f>
      </x:c>
      <x:c r="M175" s="198" t="str">
        <x:f>IF(K175="Up",I175,IF(K175="Down",J175,""))</x:f>
      </x:c>
      <x:c r="N175" s="192"/>
      <x:c r="O175" s="198" t="n">
        <x:f>IF(N175="Taker",M175*'08_Bet_Calculator'!$B$18*(1-M175),0)</x:f>
        <x:v>0</x:v>
      </x:c>
      <x:c r="P175" s="192"/>
      <x:c r="Q175" s="198" t="str">
        <x:f>IF(M175="","",MIN(0.999,M175+O175+P175))</x:f>
      </x:c>
      <x:c r="R175" s="197" t="str">
        <x:f>IF(L175="","",L175-Q175)</x:f>
      </x:c>
      <x:c r="S175" s="197" t="str">
        <x:f>IF(L175="","",L175-'08_Bet_Calculator'!$B$24*H175-Q175-'08_Bet_Calculator'!$B$20)</x:f>
      </x:c>
      <x:c r="T175" s="197" t="n">
        <x:f>IF(OR(L175="",Q175&gt;=1),0,MAX(0,(MAX(0,L175-'08_Bet_Calculator'!$B$24*H175)-Q175)/(1-Q175)))</x:f>
        <x:v>0</x:v>
      </x:c>
      <x:c r="U175" s="197" t="n">
        <x:f>T175*'08_Bet_Calculator'!$B$21</x:f>
        <x:v>0</x:v>
      </x:c>
      <x:c r="V175" s="221"/>
      <x:c r="W175" s="200" t="n">
        <x:f>IF(OR(V175="",S175&lt;=0),0,MIN(V175*U175,V175*'08_Bet_Calculator'!$B$22,'08_Bet_Calculator'!$B$23))</x:f>
        <x:v>0</x:v>
      </x:c>
      <x:c r="X175" s="222" t="n">
        <x:f>IFERROR(W175/Q175,0)</x:f>
        <x:v>0</x:v>
      </x:c>
      <x:c r="Y175" s="189"/>
      <x:c r="Z175" s="196" t="str">
        <x:f>IF(OR(Y175="",K175=""),"",IF(Y175=K175,1,0))</x:f>
      </x:c>
      <x:c r="AA175" s="200" t="str">
        <x:f>IF(Z175="","",X175*(Z175-Q175))</x:f>
      </x:c>
      <x:c r="AB175" s="197" t="str">
        <x:f>IFERROR(AA175/W175,"")</x:f>
      </x:c>
      <x:c r="AC175" s="197" t="str">
        <x:f>IF(Z175="","",(L175-Z175)^2)</x:f>
      </x:c>
      <x:c r="AD175" s="198" t="str">
        <x:f>IF(Z175="","",-(Z175*LN(MAX(0.0001,L175))+(1-Z175)*LN(MAX(0.0001,1-L175))))</x:f>
      </x:c>
      <x:c r="AE175" s="189"/>
      <x:c r="AF175" s="200" t="n">
        <x:f>AF174+IF(AA175="",0,AA175)</x:f>
        <x:v>0</x:v>
      </x:c>
      <x:c r="AG175" s="200" t="n">
        <x:f>MAX(AG174,AF175)</x:f>
        <x:v>0</x:v>
      </x:c>
      <x:c r="AH175" s="200" t="n">
        <x:f>AF175-AG175</x:f>
        <x:v>0</x:v>
      </x:c>
    </x:row>
    <x:row r="176">
      <x:c r="A176" s="189"/>
      <x:c r="B176" s="189"/>
      <x:c r="C176" s="221"/>
      <x:c r="D176" s="189"/>
      <x:c r="E176" s="221"/>
      <x:c r="F176" s="218" t="str">
        <x:f>IFERROR(LN(E176/C176)*10000,"")</x:f>
      </x:c>
      <x:c r="G176" s="191"/>
      <x:c r="H176" s="191"/>
      <x:c r="I176" s="191"/>
      <x:c r="J176" s="191"/>
      <x:c r="K176" s="189"/>
      <x:c r="L176" s="197" t="str">
        <x:f>IF(K176="Up",G176,IF(K176="Down",1-G176,""))</x:f>
      </x:c>
      <x:c r="M176" s="198" t="str">
        <x:f>IF(K176="Up",I176,IF(K176="Down",J176,""))</x:f>
      </x:c>
      <x:c r="N176" s="192"/>
      <x:c r="O176" s="198" t="n">
        <x:f>IF(N176="Taker",M176*'08_Bet_Calculator'!$B$18*(1-M176),0)</x:f>
        <x:v>0</x:v>
      </x:c>
      <x:c r="P176" s="192"/>
      <x:c r="Q176" s="198" t="str">
        <x:f>IF(M176="","",MIN(0.999,M176+O176+P176))</x:f>
      </x:c>
      <x:c r="R176" s="197" t="str">
        <x:f>IF(L176="","",L176-Q176)</x:f>
      </x:c>
      <x:c r="S176" s="197" t="str">
        <x:f>IF(L176="","",L176-'08_Bet_Calculator'!$B$24*H176-Q176-'08_Bet_Calculator'!$B$20)</x:f>
      </x:c>
      <x:c r="T176" s="197" t="n">
        <x:f>IF(OR(L176="",Q176&gt;=1),0,MAX(0,(MAX(0,L176-'08_Bet_Calculator'!$B$24*H176)-Q176)/(1-Q176)))</x:f>
        <x:v>0</x:v>
      </x:c>
      <x:c r="U176" s="197" t="n">
        <x:f>T176*'08_Bet_Calculator'!$B$21</x:f>
        <x:v>0</x:v>
      </x:c>
      <x:c r="V176" s="221"/>
      <x:c r="W176" s="200" t="n">
        <x:f>IF(OR(V176="",S176&lt;=0),0,MIN(V176*U176,V176*'08_Bet_Calculator'!$B$22,'08_Bet_Calculator'!$B$23))</x:f>
        <x:v>0</x:v>
      </x:c>
      <x:c r="X176" s="222" t="n">
        <x:f>IFERROR(W176/Q176,0)</x:f>
        <x:v>0</x:v>
      </x:c>
      <x:c r="Y176" s="189"/>
      <x:c r="Z176" s="196" t="str">
        <x:f>IF(OR(Y176="",K176=""),"",IF(Y176=K176,1,0))</x:f>
      </x:c>
      <x:c r="AA176" s="200" t="str">
        <x:f>IF(Z176="","",X176*(Z176-Q176))</x:f>
      </x:c>
      <x:c r="AB176" s="197" t="str">
        <x:f>IFERROR(AA176/W176,"")</x:f>
      </x:c>
      <x:c r="AC176" s="197" t="str">
        <x:f>IF(Z176="","",(L176-Z176)^2)</x:f>
      </x:c>
      <x:c r="AD176" s="198" t="str">
        <x:f>IF(Z176="","",-(Z176*LN(MAX(0.0001,L176))+(1-Z176)*LN(MAX(0.0001,1-L176))))</x:f>
      </x:c>
      <x:c r="AE176" s="189"/>
      <x:c r="AF176" s="200" t="n">
        <x:f>AF175+IF(AA176="",0,AA176)</x:f>
        <x:v>0</x:v>
      </x:c>
      <x:c r="AG176" s="200" t="n">
        <x:f>MAX(AG175,AF176)</x:f>
        <x:v>0</x:v>
      </x:c>
      <x:c r="AH176" s="200" t="n">
        <x:f>AF176-AG176</x:f>
        <x:v>0</x:v>
      </x:c>
    </x:row>
    <x:row r="177">
      <x:c r="A177" s="189"/>
      <x:c r="B177" s="189"/>
      <x:c r="C177" s="221"/>
      <x:c r="D177" s="189"/>
      <x:c r="E177" s="221"/>
      <x:c r="F177" s="218" t="str">
        <x:f>IFERROR(LN(E177/C177)*10000,"")</x:f>
      </x:c>
      <x:c r="G177" s="191"/>
      <x:c r="H177" s="191"/>
      <x:c r="I177" s="191"/>
      <x:c r="J177" s="191"/>
      <x:c r="K177" s="189"/>
      <x:c r="L177" s="197" t="str">
        <x:f>IF(K177="Up",G177,IF(K177="Down",1-G177,""))</x:f>
      </x:c>
      <x:c r="M177" s="198" t="str">
        <x:f>IF(K177="Up",I177,IF(K177="Down",J177,""))</x:f>
      </x:c>
      <x:c r="N177" s="192"/>
      <x:c r="O177" s="198" t="n">
        <x:f>IF(N177="Taker",M177*'08_Bet_Calculator'!$B$18*(1-M177),0)</x:f>
        <x:v>0</x:v>
      </x:c>
      <x:c r="P177" s="192"/>
      <x:c r="Q177" s="198" t="str">
        <x:f>IF(M177="","",MIN(0.999,M177+O177+P177))</x:f>
      </x:c>
      <x:c r="R177" s="197" t="str">
        <x:f>IF(L177="","",L177-Q177)</x:f>
      </x:c>
      <x:c r="S177" s="197" t="str">
        <x:f>IF(L177="","",L177-'08_Bet_Calculator'!$B$24*H177-Q177-'08_Bet_Calculator'!$B$20)</x:f>
      </x:c>
      <x:c r="T177" s="197" t="n">
        <x:f>IF(OR(L177="",Q177&gt;=1),0,MAX(0,(MAX(0,L177-'08_Bet_Calculator'!$B$24*H177)-Q177)/(1-Q177)))</x:f>
        <x:v>0</x:v>
      </x:c>
      <x:c r="U177" s="197" t="n">
        <x:f>T177*'08_Bet_Calculator'!$B$21</x:f>
        <x:v>0</x:v>
      </x:c>
      <x:c r="V177" s="221"/>
      <x:c r="W177" s="200" t="n">
        <x:f>IF(OR(V177="",S177&lt;=0),0,MIN(V177*U177,V177*'08_Bet_Calculator'!$B$22,'08_Bet_Calculator'!$B$23))</x:f>
        <x:v>0</x:v>
      </x:c>
      <x:c r="X177" s="222" t="n">
        <x:f>IFERROR(W177/Q177,0)</x:f>
        <x:v>0</x:v>
      </x:c>
      <x:c r="Y177" s="189"/>
      <x:c r="Z177" s="196" t="str">
        <x:f>IF(OR(Y177="",K177=""),"",IF(Y177=K177,1,0))</x:f>
      </x:c>
      <x:c r="AA177" s="200" t="str">
        <x:f>IF(Z177="","",X177*(Z177-Q177))</x:f>
      </x:c>
      <x:c r="AB177" s="197" t="str">
        <x:f>IFERROR(AA177/W177,"")</x:f>
      </x:c>
      <x:c r="AC177" s="197" t="str">
        <x:f>IF(Z177="","",(L177-Z177)^2)</x:f>
      </x:c>
      <x:c r="AD177" s="198" t="str">
        <x:f>IF(Z177="","",-(Z177*LN(MAX(0.0001,L177))+(1-Z177)*LN(MAX(0.0001,1-L177))))</x:f>
      </x:c>
      <x:c r="AE177" s="189"/>
      <x:c r="AF177" s="200" t="n">
        <x:f>AF176+IF(AA177="",0,AA177)</x:f>
        <x:v>0</x:v>
      </x:c>
      <x:c r="AG177" s="200" t="n">
        <x:f>MAX(AG176,AF177)</x:f>
        <x:v>0</x:v>
      </x:c>
      <x:c r="AH177" s="200" t="n">
        <x:f>AF177-AG177</x:f>
        <x:v>0</x:v>
      </x:c>
    </x:row>
    <x:row r="178">
      <x:c r="A178" s="189"/>
      <x:c r="B178" s="189"/>
      <x:c r="C178" s="221"/>
      <x:c r="D178" s="189"/>
      <x:c r="E178" s="221"/>
      <x:c r="F178" s="218" t="str">
        <x:f>IFERROR(LN(E178/C178)*10000,"")</x:f>
      </x:c>
      <x:c r="G178" s="191"/>
      <x:c r="H178" s="191"/>
      <x:c r="I178" s="191"/>
      <x:c r="J178" s="191"/>
      <x:c r="K178" s="189"/>
      <x:c r="L178" s="197" t="str">
        <x:f>IF(K178="Up",G178,IF(K178="Down",1-G178,""))</x:f>
      </x:c>
      <x:c r="M178" s="198" t="str">
        <x:f>IF(K178="Up",I178,IF(K178="Down",J178,""))</x:f>
      </x:c>
      <x:c r="N178" s="192"/>
      <x:c r="O178" s="198" t="n">
        <x:f>IF(N178="Taker",M178*'08_Bet_Calculator'!$B$18*(1-M178),0)</x:f>
        <x:v>0</x:v>
      </x:c>
      <x:c r="P178" s="192"/>
      <x:c r="Q178" s="198" t="str">
        <x:f>IF(M178="","",MIN(0.999,M178+O178+P178))</x:f>
      </x:c>
      <x:c r="R178" s="197" t="str">
        <x:f>IF(L178="","",L178-Q178)</x:f>
      </x:c>
      <x:c r="S178" s="197" t="str">
        <x:f>IF(L178="","",L178-'08_Bet_Calculator'!$B$24*H178-Q178-'08_Bet_Calculator'!$B$20)</x:f>
      </x:c>
      <x:c r="T178" s="197" t="n">
        <x:f>IF(OR(L178="",Q178&gt;=1),0,MAX(0,(MAX(0,L178-'08_Bet_Calculator'!$B$24*H178)-Q178)/(1-Q178)))</x:f>
        <x:v>0</x:v>
      </x:c>
      <x:c r="U178" s="197" t="n">
        <x:f>T178*'08_Bet_Calculator'!$B$21</x:f>
        <x:v>0</x:v>
      </x:c>
      <x:c r="V178" s="221"/>
      <x:c r="W178" s="200" t="n">
        <x:f>IF(OR(V178="",S178&lt;=0),0,MIN(V178*U178,V178*'08_Bet_Calculator'!$B$22,'08_Bet_Calculator'!$B$23))</x:f>
        <x:v>0</x:v>
      </x:c>
      <x:c r="X178" s="222" t="n">
        <x:f>IFERROR(W178/Q178,0)</x:f>
        <x:v>0</x:v>
      </x:c>
      <x:c r="Y178" s="189"/>
      <x:c r="Z178" s="196" t="str">
        <x:f>IF(OR(Y178="",K178=""),"",IF(Y178=K178,1,0))</x:f>
      </x:c>
      <x:c r="AA178" s="200" t="str">
        <x:f>IF(Z178="","",X178*(Z178-Q178))</x:f>
      </x:c>
      <x:c r="AB178" s="197" t="str">
        <x:f>IFERROR(AA178/W178,"")</x:f>
      </x:c>
      <x:c r="AC178" s="197" t="str">
        <x:f>IF(Z178="","",(L178-Z178)^2)</x:f>
      </x:c>
      <x:c r="AD178" s="198" t="str">
        <x:f>IF(Z178="","",-(Z178*LN(MAX(0.0001,L178))+(1-Z178)*LN(MAX(0.0001,1-L178))))</x:f>
      </x:c>
      <x:c r="AE178" s="189"/>
      <x:c r="AF178" s="200" t="n">
        <x:f>AF177+IF(AA178="",0,AA178)</x:f>
        <x:v>0</x:v>
      </x:c>
      <x:c r="AG178" s="200" t="n">
        <x:f>MAX(AG177,AF178)</x:f>
        <x:v>0</x:v>
      </x:c>
      <x:c r="AH178" s="200" t="n">
        <x:f>AF178-AG178</x:f>
        <x:v>0</x:v>
      </x:c>
    </x:row>
    <x:row r="179">
      <x:c r="A179" s="189"/>
      <x:c r="B179" s="189"/>
      <x:c r="C179" s="221"/>
      <x:c r="D179" s="189"/>
      <x:c r="E179" s="221"/>
      <x:c r="F179" s="218" t="str">
        <x:f>IFERROR(LN(E179/C179)*10000,"")</x:f>
      </x:c>
      <x:c r="G179" s="191"/>
      <x:c r="H179" s="191"/>
      <x:c r="I179" s="191"/>
      <x:c r="J179" s="191"/>
      <x:c r="K179" s="189"/>
      <x:c r="L179" s="197" t="str">
        <x:f>IF(K179="Up",G179,IF(K179="Down",1-G179,""))</x:f>
      </x:c>
      <x:c r="M179" s="198" t="str">
        <x:f>IF(K179="Up",I179,IF(K179="Down",J179,""))</x:f>
      </x:c>
      <x:c r="N179" s="192"/>
      <x:c r="O179" s="198" t="n">
        <x:f>IF(N179="Taker",M179*'08_Bet_Calculator'!$B$18*(1-M179),0)</x:f>
        <x:v>0</x:v>
      </x:c>
      <x:c r="P179" s="192"/>
      <x:c r="Q179" s="198" t="str">
        <x:f>IF(M179="","",MIN(0.999,M179+O179+P179))</x:f>
      </x:c>
      <x:c r="R179" s="197" t="str">
        <x:f>IF(L179="","",L179-Q179)</x:f>
      </x:c>
      <x:c r="S179" s="197" t="str">
        <x:f>IF(L179="","",L179-'08_Bet_Calculator'!$B$24*H179-Q179-'08_Bet_Calculator'!$B$20)</x:f>
      </x:c>
      <x:c r="T179" s="197" t="n">
        <x:f>IF(OR(L179="",Q179&gt;=1),0,MAX(0,(MAX(0,L179-'08_Bet_Calculator'!$B$24*H179)-Q179)/(1-Q179)))</x:f>
        <x:v>0</x:v>
      </x:c>
      <x:c r="U179" s="197" t="n">
        <x:f>T179*'08_Bet_Calculator'!$B$21</x:f>
        <x:v>0</x:v>
      </x:c>
      <x:c r="V179" s="221"/>
      <x:c r="W179" s="200" t="n">
        <x:f>IF(OR(V179="",S179&lt;=0),0,MIN(V179*U179,V179*'08_Bet_Calculator'!$B$22,'08_Bet_Calculator'!$B$23))</x:f>
        <x:v>0</x:v>
      </x:c>
      <x:c r="X179" s="222" t="n">
        <x:f>IFERROR(W179/Q179,0)</x:f>
        <x:v>0</x:v>
      </x:c>
      <x:c r="Y179" s="189"/>
      <x:c r="Z179" s="196" t="str">
        <x:f>IF(OR(Y179="",K179=""),"",IF(Y179=K179,1,0))</x:f>
      </x:c>
      <x:c r="AA179" s="200" t="str">
        <x:f>IF(Z179="","",X179*(Z179-Q179))</x:f>
      </x:c>
      <x:c r="AB179" s="197" t="str">
        <x:f>IFERROR(AA179/W179,"")</x:f>
      </x:c>
      <x:c r="AC179" s="197" t="str">
        <x:f>IF(Z179="","",(L179-Z179)^2)</x:f>
      </x:c>
      <x:c r="AD179" s="198" t="str">
        <x:f>IF(Z179="","",-(Z179*LN(MAX(0.0001,L179))+(1-Z179)*LN(MAX(0.0001,1-L179))))</x:f>
      </x:c>
      <x:c r="AE179" s="189"/>
      <x:c r="AF179" s="200" t="n">
        <x:f>AF178+IF(AA179="",0,AA179)</x:f>
        <x:v>0</x:v>
      </x:c>
      <x:c r="AG179" s="200" t="n">
        <x:f>MAX(AG178,AF179)</x:f>
        <x:v>0</x:v>
      </x:c>
      <x:c r="AH179" s="200" t="n">
        <x:f>AF179-AG179</x:f>
        <x:v>0</x:v>
      </x:c>
    </x:row>
    <x:row r="180">
      <x:c r="A180" s="189"/>
      <x:c r="B180" s="189"/>
      <x:c r="C180" s="221"/>
      <x:c r="D180" s="189"/>
      <x:c r="E180" s="221"/>
      <x:c r="F180" s="218" t="str">
        <x:f>IFERROR(LN(E180/C180)*10000,"")</x:f>
      </x:c>
      <x:c r="G180" s="191"/>
      <x:c r="H180" s="191"/>
      <x:c r="I180" s="191"/>
      <x:c r="J180" s="191"/>
      <x:c r="K180" s="189"/>
      <x:c r="L180" s="197" t="str">
        <x:f>IF(K180="Up",G180,IF(K180="Down",1-G180,""))</x:f>
      </x:c>
      <x:c r="M180" s="198" t="str">
        <x:f>IF(K180="Up",I180,IF(K180="Down",J180,""))</x:f>
      </x:c>
      <x:c r="N180" s="192"/>
      <x:c r="O180" s="198" t="n">
        <x:f>IF(N180="Taker",M180*'08_Bet_Calculator'!$B$18*(1-M180),0)</x:f>
        <x:v>0</x:v>
      </x:c>
      <x:c r="P180" s="192"/>
      <x:c r="Q180" s="198" t="str">
        <x:f>IF(M180="","",MIN(0.999,M180+O180+P180))</x:f>
      </x:c>
      <x:c r="R180" s="197" t="str">
        <x:f>IF(L180="","",L180-Q180)</x:f>
      </x:c>
      <x:c r="S180" s="197" t="str">
        <x:f>IF(L180="","",L180-'08_Bet_Calculator'!$B$24*H180-Q180-'08_Bet_Calculator'!$B$20)</x:f>
      </x:c>
      <x:c r="T180" s="197" t="n">
        <x:f>IF(OR(L180="",Q180&gt;=1),0,MAX(0,(MAX(0,L180-'08_Bet_Calculator'!$B$24*H180)-Q180)/(1-Q180)))</x:f>
        <x:v>0</x:v>
      </x:c>
      <x:c r="U180" s="197" t="n">
        <x:f>T180*'08_Bet_Calculator'!$B$21</x:f>
        <x:v>0</x:v>
      </x:c>
      <x:c r="V180" s="221"/>
      <x:c r="W180" s="200" t="n">
        <x:f>IF(OR(V180="",S180&lt;=0),0,MIN(V180*U180,V180*'08_Bet_Calculator'!$B$22,'08_Bet_Calculator'!$B$23))</x:f>
        <x:v>0</x:v>
      </x:c>
      <x:c r="X180" s="222" t="n">
        <x:f>IFERROR(W180/Q180,0)</x:f>
        <x:v>0</x:v>
      </x:c>
      <x:c r="Y180" s="189"/>
      <x:c r="Z180" s="196" t="str">
        <x:f>IF(OR(Y180="",K180=""),"",IF(Y180=K180,1,0))</x:f>
      </x:c>
      <x:c r="AA180" s="200" t="str">
        <x:f>IF(Z180="","",X180*(Z180-Q180))</x:f>
      </x:c>
      <x:c r="AB180" s="197" t="str">
        <x:f>IFERROR(AA180/W180,"")</x:f>
      </x:c>
      <x:c r="AC180" s="197" t="str">
        <x:f>IF(Z180="","",(L180-Z180)^2)</x:f>
      </x:c>
      <x:c r="AD180" s="198" t="str">
        <x:f>IF(Z180="","",-(Z180*LN(MAX(0.0001,L180))+(1-Z180)*LN(MAX(0.0001,1-L180))))</x:f>
      </x:c>
      <x:c r="AE180" s="189"/>
      <x:c r="AF180" s="200" t="n">
        <x:f>AF179+IF(AA180="",0,AA180)</x:f>
        <x:v>0</x:v>
      </x:c>
      <x:c r="AG180" s="200" t="n">
        <x:f>MAX(AG179,AF180)</x:f>
        <x:v>0</x:v>
      </x:c>
      <x:c r="AH180" s="200" t="n">
        <x:f>AF180-AG180</x:f>
        <x:v>0</x:v>
      </x:c>
    </x:row>
    <x:row r="181">
      <x:c r="A181" s="189"/>
      <x:c r="B181" s="189"/>
      <x:c r="C181" s="221"/>
      <x:c r="D181" s="189"/>
      <x:c r="E181" s="221"/>
      <x:c r="F181" s="218" t="str">
        <x:f>IFERROR(LN(E181/C181)*10000,"")</x:f>
      </x:c>
      <x:c r="G181" s="191"/>
      <x:c r="H181" s="191"/>
      <x:c r="I181" s="191"/>
      <x:c r="J181" s="191"/>
      <x:c r="K181" s="189"/>
      <x:c r="L181" s="197" t="str">
        <x:f>IF(K181="Up",G181,IF(K181="Down",1-G181,""))</x:f>
      </x:c>
      <x:c r="M181" s="198" t="str">
        <x:f>IF(K181="Up",I181,IF(K181="Down",J181,""))</x:f>
      </x:c>
      <x:c r="N181" s="192"/>
      <x:c r="O181" s="198" t="n">
        <x:f>IF(N181="Taker",M181*'08_Bet_Calculator'!$B$18*(1-M181),0)</x:f>
        <x:v>0</x:v>
      </x:c>
      <x:c r="P181" s="192"/>
      <x:c r="Q181" s="198" t="str">
        <x:f>IF(M181="","",MIN(0.999,M181+O181+P181))</x:f>
      </x:c>
      <x:c r="R181" s="197" t="str">
        <x:f>IF(L181="","",L181-Q181)</x:f>
      </x:c>
      <x:c r="S181" s="197" t="str">
        <x:f>IF(L181="","",L181-'08_Bet_Calculator'!$B$24*H181-Q181-'08_Bet_Calculator'!$B$20)</x:f>
      </x:c>
      <x:c r="T181" s="197" t="n">
        <x:f>IF(OR(L181="",Q181&gt;=1),0,MAX(0,(MAX(0,L181-'08_Bet_Calculator'!$B$24*H181)-Q181)/(1-Q181)))</x:f>
        <x:v>0</x:v>
      </x:c>
      <x:c r="U181" s="197" t="n">
        <x:f>T181*'08_Bet_Calculator'!$B$21</x:f>
        <x:v>0</x:v>
      </x:c>
      <x:c r="V181" s="221"/>
      <x:c r="W181" s="200" t="n">
        <x:f>IF(OR(V181="",S181&lt;=0),0,MIN(V181*U181,V181*'08_Bet_Calculator'!$B$22,'08_Bet_Calculator'!$B$23))</x:f>
        <x:v>0</x:v>
      </x:c>
      <x:c r="X181" s="222" t="n">
        <x:f>IFERROR(W181/Q181,0)</x:f>
        <x:v>0</x:v>
      </x:c>
      <x:c r="Y181" s="189"/>
      <x:c r="Z181" s="196" t="str">
        <x:f>IF(OR(Y181="",K181=""),"",IF(Y181=K181,1,0))</x:f>
      </x:c>
      <x:c r="AA181" s="200" t="str">
        <x:f>IF(Z181="","",X181*(Z181-Q181))</x:f>
      </x:c>
      <x:c r="AB181" s="197" t="str">
        <x:f>IFERROR(AA181/W181,"")</x:f>
      </x:c>
      <x:c r="AC181" s="197" t="str">
        <x:f>IF(Z181="","",(L181-Z181)^2)</x:f>
      </x:c>
      <x:c r="AD181" s="198" t="str">
        <x:f>IF(Z181="","",-(Z181*LN(MAX(0.0001,L181))+(1-Z181)*LN(MAX(0.0001,1-L181))))</x:f>
      </x:c>
      <x:c r="AE181" s="189"/>
      <x:c r="AF181" s="200" t="n">
        <x:f>AF180+IF(AA181="",0,AA181)</x:f>
        <x:v>0</x:v>
      </x:c>
      <x:c r="AG181" s="200" t="n">
        <x:f>MAX(AG180,AF181)</x:f>
        <x:v>0</x:v>
      </x:c>
      <x:c r="AH181" s="200" t="n">
        <x:f>AF181-AG181</x:f>
        <x:v>0</x:v>
      </x:c>
    </x:row>
    <x:row r="182">
      <x:c r="A182" s="189"/>
      <x:c r="B182" s="189"/>
      <x:c r="C182" s="221"/>
      <x:c r="D182" s="189"/>
      <x:c r="E182" s="221"/>
      <x:c r="F182" s="218" t="str">
        <x:f>IFERROR(LN(E182/C182)*10000,"")</x:f>
      </x:c>
      <x:c r="G182" s="191"/>
      <x:c r="H182" s="191"/>
      <x:c r="I182" s="191"/>
      <x:c r="J182" s="191"/>
      <x:c r="K182" s="189"/>
      <x:c r="L182" s="197" t="str">
        <x:f>IF(K182="Up",G182,IF(K182="Down",1-G182,""))</x:f>
      </x:c>
      <x:c r="M182" s="198" t="str">
        <x:f>IF(K182="Up",I182,IF(K182="Down",J182,""))</x:f>
      </x:c>
      <x:c r="N182" s="192"/>
      <x:c r="O182" s="198" t="n">
        <x:f>IF(N182="Taker",M182*'08_Bet_Calculator'!$B$18*(1-M182),0)</x:f>
        <x:v>0</x:v>
      </x:c>
      <x:c r="P182" s="192"/>
      <x:c r="Q182" s="198" t="str">
        <x:f>IF(M182="","",MIN(0.999,M182+O182+P182))</x:f>
      </x:c>
      <x:c r="R182" s="197" t="str">
        <x:f>IF(L182="","",L182-Q182)</x:f>
      </x:c>
      <x:c r="S182" s="197" t="str">
        <x:f>IF(L182="","",L182-'08_Bet_Calculator'!$B$24*H182-Q182-'08_Bet_Calculator'!$B$20)</x:f>
      </x:c>
      <x:c r="T182" s="197" t="n">
        <x:f>IF(OR(L182="",Q182&gt;=1),0,MAX(0,(MAX(0,L182-'08_Bet_Calculator'!$B$24*H182)-Q182)/(1-Q182)))</x:f>
        <x:v>0</x:v>
      </x:c>
      <x:c r="U182" s="197" t="n">
        <x:f>T182*'08_Bet_Calculator'!$B$21</x:f>
        <x:v>0</x:v>
      </x:c>
      <x:c r="V182" s="221"/>
      <x:c r="W182" s="200" t="n">
        <x:f>IF(OR(V182="",S182&lt;=0),0,MIN(V182*U182,V182*'08_Bet_Calculator'!$B$22,'08_Bet_Calculator'!$B$23))</x:f>
        <x:v>0</x:v>
      </x:c>
      <x:c r="X182" s="222" t="n">
        <x:f>IFERROR(W182/Q182,0)</x:f>
        <x:v>0</x:v>
      </x:c>
      <x:c r="Y182" s="189"/>
      <x:c r="Z182" s="196" t="str">
        <x:f>IF(OR(Y182="",K182=""),"",IF(Y182=K182,1,0))</x:f>
      </x:c>
      <x:c r="AA182" s="200" t="str">
        <x:f>IF(Z182="","",X182*(Z182-Q182))</x:f>
      </x:c>
      <x:c r="AB182" s="197" t="str">
        <x:f>IFERROR(AA182/W182,"")</x:f>
      </x:c>
      <x:c r="AC182" s="197" t="str">
        <x:f>IF(Z182="","",(L182-Z182)^2)</x:f>
      </x:c>
      <x:c r="AD182" s="198" t="str">
        <x:f>IF(Z182="","",-(Z182*LN(MAX(0.0001,L182))+(1-Z182)*LN(MAX(0.0001,1-L182))))</x:f>
      </x:c>
      <x:c r="AE182" s="189"/>
      <x:c r="AF182" s="200" t="n">
        <x:f>AF181+IF(AA182="",0,AA182)</x:f>
        <x:v>0</x:v>
      </x:c>
      <x:c r="AG182" s="200" t="n">
        <x:f>MAX(AG181,AF182)</x:f>
        <x:v>0</x:v>
      </x:c>
      <x:c r="AH182" s="200" t="n">
        <x:f>AF182-AG182</x:f>
        <x:v>0</x:v>
      </x:c>
    </x:row>
    <x:row r="183">
      <x:c r="A183" s="189"/>
      <x:c r="B183" s="189"/>
      <x:c r="C183" s="221"/>
      <x:c r="D183" s="189"/>
      <x:c r="E183" s="221"/>
      <x:c r="F183" s="218" t="str">
        <x:f>IFERROR(LN(E183/C183)*10000,"")</x:f>
      </x:c>
      <x:c r="G183" s="191"/>
      <x:c r="H183" s="191"/>
      <x:c r="I183" s="191"/>
      <x:c r="J183" s="191"/>
      <x:c r="K183" s="189"/>
      <x:c r="L183" s="197" t="str">
        <x:f>IF(K183="Up",G183,IF(K183="Down",1-G183,""))</x:f>
      </x:c>
      <x:c r="M183" s="198" t="str">
        <x:f>IF(K183="Up",I183,IF(K183="Down",J183,""))</x:f>
      </x:c>
      <x:c r="N183" s="192"/>
      <x:c r="O183" s="198" t="n">
        <x:f>IF(N183="Taker",M183*'08_Bet_Calculator'!$B$18*(1-M183),0)</x:f>
        <x:v>0</x:v>
      </x:c>
      <x:c r="P183" s="192"/>
      <x:c r="Q183" s="198" t="str">
        <x:f>IF(M183="","",MIN(0.999,M183+O183+P183))</x:f>
      </x:c>
      <x:c r="R183" s="197" t="str">
        <x:f>IF(L183="","",L183-Q183)</x:f>
      </x:c>
      <x:c r="S183" s="197" t="str">
        <x:f>IF(L183="","",L183-'08_Bet_Calculator'!$B$24*H183-Q183-'08_Bet_Calculator'!$B$20)</x:f>
      </x:c>
      <x:c r="T183" s="197" t="n">
        <x:f>IF(OR(L183="",Q183&gt;=1),0,MAX(0,(MAX(0,L183-'08_Bet_Calculator'!$B$24*H183)-Q183)/(1-Q183)))</x:f>
        <x:v>0</x:v>
      </x:c>
      <x:c r="U183" s="197" t="n">
        <x:f>T183*'08_Bet_Calculator'!$B$21</x:f>
        <x:v>0</x:v>
      </x:c>
      <x:c r="V183" s="221"/>
      <x:c r="W183" s="200" t="n">
        <x:f>IF(OR(V183="",S183&lt;=0),0,MIN(V183*U183,V183*'08_Bet_Calculator'!$B$22,'08_Bet_Calculator'!$B$23))</x:f>
        <x:v>0</x:v>
      </x:c>
      <x:c r="X183" s="222" t="n">
        <x:f>IFERROR(W183/Q183,0)</x:f>
        <x:v>0</x:v>
      </x:c>
      <x:c r="Y183" s="189"/>
      <x:c r="Z183" s="196" t="str">
        <x:f>IF(OR(Y183="",K183=""),"",IF(Y183=K183,1,0))</x:f>
      </x:c>
      <x:c r="AA183" s="200" t="str">
        <x:f>IF(Z183="","",X183*(Z183-Q183))</x:f>
      </x:c>
      <x:c r="AB183" s="197" t="str">
        <x:f>IFERROR(AA183/W183,"")</x:f>
      </x:c>
      <x:c r="AC183" s="197" t="str">
        <x:f>IF(Z183="","",(L183-Z183)^2)</x:f>
      </x:c>
      <x:c r="AD183" s="198" t="str">
        <x:f>IF(Z183="","",-(Z183*LN(MAX(0.0001,L183))+(1-Z183)*LN(MAX(0.0001,1-L183))))</x:f>
      </x:c>
      <x:c r="AE183" s="189"/>
      <x:c r="AF183" s="200" t="n">
        <x:f>AF182+IF(AA183="",0,AA183)</x:f>
        <x:v>0</x:v>
      </x:c>
      <x:c r="AG183" s="200" t="n">
        <x:f>MAX(AG182,AF183)</x:f>
        <x:v>0</x:v>
      </x:c>
      <x:c r="AH183" s="200" t="n">
        <x:f>AF183-AG183</x:f>
        <x:v>0</x:v>
      </x:c>
    </x:row>
    <x:row r="184">
      <x:c r="A184" s="189"/>
      <x:c r="B184" s="189"/>
      <x:c r="C184" s="221"/>
      <x:c r="D184" s="189"/>
      <x:c r="E184" s="221"/>
      <x:c r="F184" s="218" t="str">
        <x:f>IFERROR(LN(E184/C184)*10000,"")</x:f>
      </x:c>
      <x:c r="G184" s="191"/>
      <x:c r="H184" s="191"/>
      <x:c r="I184" s="191"/>
      <x:c r="J184" s="191"/>
      <x:c r="K184" s="189"/>
      <x:c r="L184" s="197" t="str">
        <x:f>IF(K184="Up",G184,IF(K184="Down",1-G184,""))</x:f>
      </x:c>
      <x:c r="M184" s="198" t="str">
        <x:f>IF(K184="Up",I184,IF(K184="Down",J184,""))</x:f>
      </x:c>
      <x:c r="N184" s="192"/>
      <x:c r="O184" s="198" t="n">
        <x:f>IF(N184="Taker",M184*'08_Bet_Calculator'!$B$18*(1-M184),0)</x:f>
        <x:v>0</x:v>
      </x:c>
      <x:c r="P184" s="192"/>
      <x:c r="Q184" s="198" t="str">
        <x:f>IF(M184="","",MIN(0.999,M184+O184+P184))</x:f>
      </x:c>
      <x:c r="R184" s="197" t="str">
        <x:f>IF(L184="","",L184-Q184)</x:f>
      </x:c>
      <x:c r="S184" s="197" t="str">
        <x:f>IF(L184="","",L184-'08_Bet_Calculator'!$B$24*H184-Q184-'08_Bet_Calculator'!$B$20)</x:f>
      </x:c>
      <x:c r="T184" s="197" t="n">
        <x:f>IF(OR(L184="",Q184&gt;=1),0,MAX(0,(MAX(0,L184-'08_Bet_Calculator'!$B$24*H184)-Q184)/(1-Q184)))</x:f>
        <x:v>0</x:v>
      </x:c>
      <x:c r="U184" s="197" t="n">
        <x:f>T184*'08_Bet_Calculator'!$B$21</x:f>
        <x:v>0</x:v>
      </x:c>
      <x:c r="V184" s="221"/>
      <x:c r="W184" s="200" t="n">
        <x:f>IF(OR(V184="",S184&lt;=0),0,MIN(V184*U184,V184*'08_Bet_Calculator'!$B$22,'08_Bet_Calculator'!$B$23))</x:f>
        <x:v>0</x:v>
      </x:c>
      <x:c r="X184" s="222" t="n">
        <x:f>IFERROR(W184/Q184,0)</x:f>
        <x:v>0</x:v>
      </x:c>
      <x:c r="Y184" s="189"/>
      <x:c r="Z184" s="196" t="str">
        <x:f>IF(OR(Y184="",K184=""),"",IF(Y184=K184,1,0))</x:f>
      </x:c>
      <x:c r="AA184" s="200" t="str">
        <x:f>IF(Z184="","",X184*(Z184-Q184))</x:f>
      </x:c>
      <x:c r="AB184" s="197" t="str">
        <x:f>IFERROR(AA184/W184,"")</x:f>
      </x:c>
      <x:c r="AC184" s="197" t="str">
        <x:f>IF(Z184="","",(L184-Z184)^2)</x:f>
      </x:c>
      <x:c r="AD184" s="198" t="str">
        <x:f>IF(Z184="","",-(Z184*LN(MAX(0.0001,L184))+(1-Z184)*LN(MAX(0.0001,1-L184))))</x:f>
      </x:c>
      <x:c r="AE184" s="189"/>
      <x:c r="AF184" s="200" t="n">
        <x:f>AF183+IF(AA184="",0,AA184)</x:f>
        <x:v>0</x:v>
      </x:c>
      <x:c r="AG184" s="200" t="n">
        <x:f>MAX(AG183,AF184)</x:f>
        <x:v>0</x:v>
      </x:c>
      <x:c r="AH184" s="200" t="n">
        <x:f>AF184-AG184</x:f>
        <x:v>0</x:v>
      </x:c>
    </x:row>
    <x:row r="185">
      <x:c r="A185" s="189"/>
      <x:c r="B185" s="189"/>
      <x:c r="C185" s="221"/>
      <x:c r="D185" s="189"/>
      <x:c r="E185" s="221"/>
      <x:c r="F185" s="218" t="str">
        <x:f>IFERROR(LN(E185/C185)*10000,"")</x:f>
      </x:c>
      <x:c r="G185" s="191"/>
      <x:c r="H185" s="191"/>
      <x:c r="I185" s="191"/>
      <x:c r="J185" s="191"/>
      <x:c r="K185" s="189"/>
      <x:c r="L185" s="197" t="str">
        <x:f>IF(K185="Up",G185,IF(K185="Down",1-G185,""))</x:f>
      </x:c>
      <x:c r="M185" s="198" t="str">
        <x:f>IF(K185="Up",I185,IF(K185="Down",J185,""))</x:f>
      </x:c>
      <x:c r="N185" s="192"/>
      <x:c r="O185" s="198" t="n">
        <x:f>IF(N185="Taker",M185*'08_Bet_Calculator'!$B$18*(1-M185),0)</x:f>
        <x:v>0</x:v>
      </x:c>
      <x:c r="P185" s="192"/>
      <x:c r="Q185" s="198" t="str">
        <x:f>IF(M185="","",MIN(0.999,M185+O185+P185))</x:f>
      </x:c>
      <x:c r="R185" s="197" t="str">
        <x:f>IF(L185="","",L185-Q185)</x:f>
      </x:c>
      <x:c r="S185" s="197" t="str">
        <x:f>IF(L185="","",L185-'08_Bet_Calculator'!$B$24*H185-Q185-'08_Bet_Calculator'!$B$20)</x:f>
      </x:c>
      <x:c r="T185" s="197" t="n">
        <x:f>IF(OR(L185="",Q185&gt;=1),0,MAX(0,(MAX(0,L185-'08_Bet_Calculator'!$B$24*H185)-Q185)/(1-Q185)))</x:f>
        <x:v>0</x:v>
      </x:c>
      <x:c r="U185" s="197" t="n">
        <x:f>T185*'08_Bet_Calculator'!$B$21</x:f>
        <x:v>0</x:v>
      </x:c>
      <x:c r="V185" s="221"/>
      <x:c r="W185" s="200" t="n">
        <x:f>IF(OR(V185="",S185&lt;=0),0,MIN(V185*U185,V185*'08_Bet_Calculator'!$B$22,'08_Bet_Calculator'!$B$23))</x:f>
        <x:v>0</x:v>
      </x:c>
      <x:c r="X185" s="222" t="n">
        <x:f>IFERROR(W185/Q185,0)</x:f>
        <x:v>0</x:v>
      </x:c>
      <x:c r="Y185" s="189"/>
      <x:c r="Z185" s="196" t="str">
        <x:f>IF(OR(Y185="",K185=""),"",IF(Y185=K185,1,0))</x:f>
      </x:c>
      <x:c r="AA185" s="200" t="str">
        <x:f>IF(Z185="","",X185*(Z185-Q185))</x:f>
      </x:c>
      <x:c r="AB185" s="197" t="str">
        <x:f>IFERROR(AA185/W185,"")</x:f>
      </x:c>
      <x:c r="AC185" s="197" t="str">
        <x:f>IF(Z185="","",(L185-Z185)^2)</x:f>
      </x:c>
      <x:c r="AD185" s="198" t="str">
        <x:f>IF(Z185="","",-(Z185*LN(MAX(0.0001,L185))+(1-Z185)*LN(MAX(0.0001,1-L185))))</x:f>
      </x:c>
      <x:c r="AE185" s="189"/>
      <x:c r="AF185" s="200" t="n">
        <x:f>AF184+IF(AA185="",0,AA185)</x:f>
        <x:v>0</x:v>
      </x:c>
      <x:c r="AG185" s="200" t="n">
        <x:f>MAX(AG184,AF185)</x:f>
        <x:v>0</x:v>
      </x:c>
      <x:c r="AH185" s="200" t="n">
        <x:f>AF185-AG185</x:f>
        <x:v>0</x:v>
      </x:c>
    </x:row>
    <x:row r="186">
      <x:c r="A186" s="189"/>
      <x:c r="B186" s="189"/>
      <x:c r="C186" s="221"/>
      <x:c r="D186" s="189"/>
      <x:c r="E186" s="221"/>
      <x:c r="F186" s="218" t="str">
        <x:f>IFERROR(LN(E186/C186)*10000,"")</x:f>
      </x:c>
      <x:c r="G186" s="191"/>
      <x:c r="H186" s="191"/>
      <x:c r="I186" s="191"/>
      <x:c r="J186" s="191"/>
      <x:c r="K186" s="189"/>
      <x:c r="L186" s="197" t="str">
        <x:f>IF(K186="Up",G186,IF(K186="Down",1-G186,""))</x:f>
      </x:c>
      <x:c r="M186" s="198" t="str">
        <x:f>IF(K186="Up",I186,IF(K186="Down",J186,""))</x:f>
      </x:c>
      <x:c r="N186" s="192"/>
      <x:c r="O186" s="198" t="n">
        <x:f>IF(N186="Taker",M186*'08_Bet_Calculator'!$B$18*(1-M186),0)</x:f>
        <x:v>0</x:v>
      </x:c>
      <x:c r="P186" s="192"/>
      <x:c r="Q186" s="198" t="str">
        <x:f>IF(M186="","",MIN(0.999,M186+O186+P186))</x:f>
      </x:c>
      <x:c r="R186" s="197" t="str">
        <x:f>IF(L186="","",L186-Q186)</x:f>
      </x:c>
      <x:c r="S186" s="197" t="str">
        <x:f>IF(L186="","",L186-'08_Bet_Calculator'!$B$24*H186-Q186-'08_Bet_Calculator'!$B$20)</x:f>
      </x:c>
      <x:c r="T186" s="197" t="n">
        <x:f>IF(OR(L186="",Q186&gt;=1),0,MAX(0,(MAX(0,L186-'08_Bet_Calculator'!$B$24*H186)-Q186)/(1-Q186)))</x:f>
        <x:v>0</x:v>
      </x:c>
      <x:c r="U186" s="197" t="n">
        <x:f>T186*'08_Bet_Calculator'!$B$21</x:f>
        <x:v>0</x:v>
      </x:c>
      <x:c r="V186" s="221"/>
      <x:c r="W186" s="200" t="n">
        <x:f>IF(OR(V186="",S186&lt;=0),0,MIN(V186*U186,V186*'08_Bet_Calculator'!$B$22,'08_Bet_Calculator'!$B$23))</x:f>
        <x:v>0</x:v>
      </x:c>
      <x:c r="X186" s="222" t="n">
        <x:f>IFERROR(W186/Q186,0)</x:f>
        <x:v>0</x:v>
      </x:c>
      <x:c r="Y186" s="189"/>
      <x:c r="Z186" s="196" t="str">
        <x:f>IF(OR(Y186="",K186=""),"",IF(Y186=K186,1,0))</x:f>
      </x:c>
      <x:c r="AA186" s="200" t="str">
        <x:f>IF(Z186="","",X186*(Z186-Q186))</x:f>
      </x:c>
      <x:c r="AB186" s="197" t="str">
        <x:f>IFERROR(AA186/W186,"")</x:f>
      </x:c>
      <x:c r="AC186" s="197" t="str">
        <x:f>IF(Z186="","",(L186-Z186)^2)</x:f>
      </x:c>
      <x:c r="AD186" s="198" t="str">
        <x:f>IF(Z186="","",-(Z186*LN(MAX(0.0001,L186))+(1-Z186)*LN(MAX(0.0001,1-L186))))</x:f>
      </x:c>
      <x:c r="AE186" s="189"/>
      <x:c r="AF186" s="200" t="n">
        <x:f>AF185+IF(AA186="",0,AA186)</x:f>
        <x:v>0</x:v>
      </x:c>
      <x:c r="AG186" s="200" t="n">
        <x:f>MAX(AG185,AF186)</x:f>
        <x:v>0</x:v>
      </x:c>
      <x:c r="AH186" s="200" t="n">
        <x:f>AF186-AG186</x:f>
        <x:v>0</x:v>
      </x:c>
    </x:row>
    <x:row r="187">
      <x:c r="A187" s="189"/>
      <x:c r="B187" s="189"/>
      <x:c r="C187" s="221"/>
      <x:c r="D187" s="189"/>
      <x:c r="E187" s="221"/>
      <x:c r="F187" s="218" t="str">
        <x:f>IFERROR(LN(E187/C187)*10000,"")</x:f>
      </x:c>
      <x:c r="G187" s="191"/>
      <x:c r="H187" s="191"/>
      <x:c r="I187" s="191"/>
      <x:c r="J187" s="191"/>
      <x:c r="K187" s="189"/>
      <x:c r="L187" s="197" t="str">
        <x:f>IF(K187="Up",G187,IF(K187="Down",1-G187,""))</x:f>
      </x:c>
      <x:c r="M187" s="198" t="str">
        <x:f>IF(K187="Up",I187,IF(K187="Down",J187,""))</x:f>
      </x:c>
      <x:c r="N187" s="192"/>
      <x:c r="O187" s="198" t="n">
        <x:f>IF(N187="Taker",M187*'08_Bet_Calculator'!$B$18*(1-M187),0)</x:f>
        <x:v>0</x:v>
      </x:c>
      <x:c r="P187" s="192"/>
      <x:c r="Q187" s="198" t="str">
        <x:f>IF(M187="","",MIN(0.999,M187+O187+P187))</x:f>
      </x:c>
      <x:c r="R187" s="197" t="str">
        <x:f>IF(L187="","",L187-Q187)</x:f>
      </x:c>
      <x:c r="S187" s="197" t="str">
        <x:f>IF(L187="","",L187-'08_Bet_Calculator'!$B$24*H187-Q187-'08_Bet_Calculator'!$B$20)</x:f>
      </x:c>
      <x:c r="T187" s="197" t="n">
        <x:f>IF(OR(L187="",Q187&gt;=1),0,MAX(0,(MAX(0,L187-'08_Bet_Calculator'!$B$24*H187)-Q187)/(1-Q187)))</x:f>
        <x:v>0</x:v>
      </x:c>
      <x:c r="U187" s="197" t="n">
        <x:f>T187*'08_Bet_Calculator'!$B$21</x:f>
        <x:v>0</x:v>
      </x:c>
      <x:c r="V187" s="221"/>
      <x:c r="W187" s="200" t="n">
        <x:f>IF(OR(V187="",S187&lt;=0),0,MIN(V187*U187,V187*'08_Bet_Calculator'!$B$22,'08_Bet_Calculator'!$B$23))</x:f>
        <x:v>0</x:v>
      </x:c>
      <x:c r="X187" s="222" t="n">
        <x:f>IFERROR(W187/Q187,0)</x:f>
        <x:v>0</x:v>
      </x:c>
      <x:c r="Y187" s="189"/>
      <x:c r="Z187" s="196" t="str">
        <x:f>IF(OR(Y187="",K187=""),"",IF(Y187=K187,1,0))</x:f>
      </x:c>
      <x:c r="AA187" s="200" t="str">
        <x:f>IF(Z187="","",X187*(Z187-Q187))</x:f>
      </x:c>
      <x:c r="AB187" s="197" t="str">
        <x:f>IFERROR(AA187/W187,"")</x:f>
      </x:c>
      <x:c r="AC187" s="197" t="str">
        <x:f>IF(Z187="","",(L187-Z187)^2)</x:f>
      </x:c>
      <x:c r="AD187" s="198" t="str">
        <x:f>IF(Z187="","",-(Z187*LN(MAX(0.0001,L187))+(1-Z187)*LN(MAX(0.0001,1-L187))))</x:f>
      </x:c>
      <x:c r="AE187" s="189"/>
      <x:c r="AF187" s="200" t="n">
        <x:f>AF186+IF(AA187="",0,AA187)</x:f>
        <x:v>0</x:v>
      </x:c>
      <x:c r="AG187" s="200" t="n">
        <x:f>MAX(AG186,AF187)</x:f>
        <x:v>0</x:v>
      </x:c>
      <x:c r="AH187" s="200" t="n">
        <x:f>AF187-AG187</x:f>
        <x:v>0</x:v>
      </x:c>
    </x:row>
    <x:row r="188">
      <x:c r="A188" s="189"/>
      <x:c r="B188" s="189"/>
      <x:c r="C188" s="221"/>
      <x:c r="D188" s="189"/>
      <x:c r="E188" s="221"/>
      <x:c r="F188" s="218" t="str">
        <x:f>IFERROR(LN(E188/C188)*10000,"")</x:f>
      </x:c>
      <x:c r="G188" s="191"/>
      <x:c r="H188" s="191"/>
      <x:c r="I188" s="191"/>
      <x:c r="J188" s="191"/>
      <x:c r="K188" s="189"/>
      <x:c r="L188" s="197" t="str">
        <x:f>IF(K188="Up",G188,IF(K188="Down",1-G188,""))</x:f>
      </x:c>
      <x:c r="M188" s="198" t="str">
        <x:f>IF(K188="Up",I188,IF(K188="Down",J188,""))</x:f>
      </x:c>
      <x:c r="N188" s="192"/>
      <x:c r="O188" s="198" t="n">
        <x:f>IF(N188="Taker",M188*'08_Bet_Calculator'!$B$18*(1-M188),0)</x:f>
        <x:v>0</x:v>
      </x:c>
      <x:c r="P188" s="192"/>
      <x:c r="Q188" s="198" t="str">
        <x:f>IF(M188="","",MIN(0.999,M188+O188+P188))</x:f>
      </x:c>
      <x:c r="R188" s="197" t="str">
        <x:f>IF(L188="","",L188-Q188)</x:f>
      </x:c>
      <x:c r="S188" s="197" t="str">
        <x:f>IF(L188="","",L188-'08_Bet_Calculator'!$B$24*H188-Q188-'08_Bet_Calculator'!$B$20)</x:f>
      </x:c>
      <x:c r="T188" s="197" t="n">
        <x:f>IF(OR(L188="",Q188&gt;=1),0,MAX(0,(MAX(0,L188-'08_Bet_Calculator'!$B$24*H188)-Q188)/(1-Q188)))</x:f>
        <x:v>0</x:v>
      </x:c>
      <x:c r="U188" s="197" t="n">
        <x:f>T188*'08_Bet_Calculator'!$B$21</x:f>
        <x:v>0</x:v>
      </x:c>
      <x:c r="V188" s="221"/>
      <x:c r="W188" s="200" t="n">
        <x:f>IF(OR(V188="",S188&lt;=0),0,MIN(V188*U188,V188*'08_Bet_Calculator'!$B$22,'08_Bet_Calculator'!$B$23))</x:f>
        <x:v>0</x:v>
      </x:c>
      <x:c r="X188" s="222" t="n">
        <x:f>IFERROR(W188/Q188,0)</x:f>
        <x:v>0</x:v>
      </x:c>
      <x:c r="Y188" s="189"/>
      <x:c r="Z188" s="196" t="str">
        <x:f>IF(OR(Y188="",K188=""),"",IF(Y188=K188,1,0))</x:f>
      </x:c>
      <x:c r="AA188" s="200" t="str">
        <x:f>IF(Z188="","",X188*(Z188-Q188))</x:f>
      </x:c>
      <x:c r="AB188" s="197" t="str">
        <x:f>IFERROR(AA188/W188,"")</x:f>
      </x:c>
      <x:c r="AC188" s="197" t="str">
        <x:f>IF(Z188="","",(L188-Z188)^2)</x:f>
      </x:c>
      <x:c r="AD188" s="198" t="str">
        <x:f>IF(Z188="","",-(Z188*LN(MAX(0.0001,L188))+(1-Z188)*LN(MAX(0.0001,1-L188))))</x:f>
      </x:c>
      <x:c r="AE188" s="189"/>
      <x:c r="AF188" s="200" t="n">
        <x:f>AF187+IF(AA188="",0,AA188)</x:f>
        <x:v>0</x:v>
      </x:c>
      <x:c r="AG188" s="200" t="n">
        <x:f>MAX(AG187,AF188)</x:f>
        <x:v>0</x:v>
      </x:c>
      <x:c r="AH188" s="200" t="n">
        <x:f>AF188-AG188</x:f>
        <x:v>0</x:v>
      </x:c>
    </x:row>
    <x:row r="189">
      <x:c r="A189" s="189"/>
      <x:c r="B189" s="189"/>
      <x:c r="C189" s="221"/>
      <x:c r="D189" s="189"/>
      <x:c r="E189" s="221"/>
      <x:c r="F189" s="218" t="str">
        <x:f>IFERROR(LN(E189/C189)*10000,"")</x:f>
      </x:c>
      <x:c r="G189" s="191"/>
      <x:c r="H189" s="191"/>
      <x:c r="I189" s="191"/>
      <x:c r="J189" s="191"/>
      <x:c r="K189" s="189"/>
      <x:c r="L189" s="197" t="str">
        <x:f>IF(K189="Up",G189,IF(K189="Down",1-G189,""))</x:f>
      </x:c>
      <x:c r="M189" s="198" t="str">
        <x:f>IF(K189="Up",I189,IF(K189="Down",J189,""))</x:f>
      </x:c>
      <x:c r="N189" s="192"/>
      <x:c r="O189" s="198" t="n">
        <x:f>IF(N189="Taker",M189*'08_Bet_Calculator'!$B$18*(1-M189),0)</x:f>
        <x:v>0</x:v>
      </x:c>
      <x:c r="P189" s="192"/>
      <x:c r="Q189" s="198" t="str">
        <x:f>IF(M189="","",MIN(0.999,M189+O189+P189))</x:f>
      </x:c>
      <x:c r="R189" s="197" t="str">
        <x:f>IF(L189="","",L189-Q189)</x:f>
      </x:c>
      <x:c r="S189" s="197" t="str">
        <x:f>IF(L189="","",L189-'08_Bet_Calculator'!$B$24*H189-Q189-'08_Bet_Calculator'!$B$20)</x:f>
      </x:c>
      <x:c r="T189" s="197" t="n">
        <x:f>IF(OR(L189="",Q189&gt;=1),0,MAX(0,(MAX(0,L189-'08_Bet_Calculator'!$B$24*H189)-Q189)/(1-Q189)))</x:f>
        <x:v>0</x:v>
      </x:c>
      <x:c r="U189" s="197" t="n">
        <x:f>T189*'08_Bet_Calculator'!$B$21</x:f>
        <x:v>0</x:v>
      </x:c>
      <x:c r="V189" s="221"/>
      <x:c r="W189" s="200" t="n">
        <x:f>IF(OR(V189="",S189&lt;=0),0,MIN(V189*U189,V189*'08_Bet_Calculator'!$B$22,'08_Bet_Calculator'!$B$23))</x:f>
        <x:v>0</x:v>
      </x:c>
      <x:c r="X189" s="222" t="n">
        <x:f>IFERROR(W189/Q189,0)</x:f>
        <x:v>0</x:v>
      </x:c>
      <x:c r="Y189" s="189"/>
      <x:c r="Z189" s="196" t="str">
        <x:f>IF(OR(Y189="",K189=""),"",IF(Y189=K189,1,0))</x:f>
      </x:c>
      <x:c r="AA189" s="200" t="str">
        <x:f>IF(Z189="","",X189*(Z189-Q189))</x:f>
      </x:c>
      <x:c r="AB189" s="197" t="str">
        <x:f>IFERROR(AA189/W189,"")</x:f>
      </x:c>
      <x:c r="AC189" s="197" t="str">
        <x:f>IF(Z189="","",(L189-Z189)^2)</x:f>
      </x:c>
      <x:c r="AD189" s="198" t="str">
        <x:f>IF(Z189="","",-(Z189*LN(MAX(0.0001,L189))+(1-Z189)*LN(MAX(0.0001,1-L189))))</x:f>
      </x:c>
      <x:c r="AE189" s="189"/>
      <x:c r="AF189" s="200" t="n">
        <x:f>AF188+IF(AA189="",0,AA189)</x:f>
        <x:v>0</x:v>
      </x:c>
      <x:c r="AG189" s="200" t="n">
        <x:f>MAX(AG188,AF189)</x:f>
        <x:v>0</x:v>
      </x:c>
      <x:c r="AH189" s="200" t="n">
        <x:f>AF189-AG189</x:f>
        <x:v>0</x:v>
      </x:c>
    </x:row>
    <x:row r="190">
      <x:c r="A190" s="189"/>
      <x:c r="B190" s="189"/>
      <x:c r="C190" s="221"/>
      <x:c r="D190" s="189"/>
      <x:c r="E190" s="221"/>
      <x:c r="F190" s="218" t="str">
        <x:f>IFERROR(LN(E190/C190)*10000,"")</x:f>
      </x:c>
      <x:c r="G190" s="191"/>
      <x:c r="H190" s="191"/>
      <x:c r="I190" s="191"/>
      <x:c r="J190" s="191"/>
      <x:c r="K190" s="189"/>
      <x:c r="L190" s="197" t="str">
        <x:f>IF(K190="Up",G190,IF(K190="Down",1-G190,""))</x:f>
      </x:c>
      <x:c r="M190" s="198" t="str">
        <x:f>IF(K190="Up",I190,IF(K190="Down",J190,""))</x:f>
      </x:c>
      <x:c r="N190" s="192"/>
      <x:c r="O190" s="198" t="n">
        <x:f>IF(N190="Taker",M190*'08_Bet_Calculator'!$B$18*(1-M190),0)</x:f>
        <x:v>0</x:v>
      </x:c>
      <x:c r="P190" s="192"/>
      <x:c r="Q190" s="198" t="str">
        <x:f>IF(M190="","",MIN(0.999,M190+O190+P190))</x:f>
      </x:c>
      <x:c r="R190" s="197" t="str">
        <x:f>IF(L190="","",L190-Q190)</x:f>
      </x:c>
      <x:c r="S190" s="197" t="str">
        <x:f>IF(L190="","",L190-'08_Bet_Calculator'!$B$24*H190-Q190-'08_Bet_Calculator'!$B$20)</x:f>
      </x:c>
      <x:c r="T190" s="197" t="n">
        <x:f>IF(OR(L190="",Q190&gt;=1),0,MAX(0,(MAX(0,L190-'08_Bet_Calculator'!$B$24*H190)-Q190)/(1-Q190)))</x:f>
        <x:v>0</x:v>
      </x:c>
      <x:c r="U190" s="197" t="n">
        <x:f>T190*'08_Bet_Calculator'!$B$21</x:f>
        <x:v>0</x:v>
      </x:c>
      <x:c r="V190" s="221"/>
      <x:c r="W190" s="200" t="n">
        <x:f>IF(OR(V190="",S190&lt;=0),0,MIN(V190*U190,V190*'08_Bet_Calculator'!$B$22,'08_Bet_Calculator'!$B$23))</x:f>
        <x:v>0</x:v>
      </x:c>
      <x:c r="X190" s="222" t="n">
        <x:f>IFERROR(W190/Q190,0)</x:f>
        <x:v>0</x:v>
      </x:c>
      <x:c r="Y190" s="189"/>
      <x:c r="Z190" s="196" t="str">
        <x:f>IF(OR(Y190="",K190=""),"",IF(Y190=K190,1,0))</x:f>
      </x:c>
      <x:c r="AA190" s="200" t="str">
        <x:f>IF(Z190="","",X190*(Z190-Q190))</x:f>
      </x:c>
      <x:c r="AB190" s="197" t="str">
        <x:f>IFERROR(AA190/W190,"")</x:f>
      </x:c>
      <x:c r="AC190" s="197" t="str">
        <x:f>IF(Z190="","",(L190-Z190)^2)</x:f>
      </x:c>
      <x:c r="AD190" s="198" t="str">
        <x:f>IF(Z190="","",-(Z190*LN(MAX(0.0001,L190))+(1-Z190)*LN(MAX(0.0001,1-L190))))</x:f>
      </x:c>
      <x:c r="AE190" s="189"/>
      <x:c r="AF190" s="200" t="n">
        <x:f>AF189+IF(AA190="",0,AA190)</x:f>
        <x:v>0</x:v>
      </x:c>
      <x:c r="AG190" s="200" t="n">
        <x:f>MAX(AG189,AF190)</x:f>
        <x:v>0</x:v>
      </x:c>
      <x:c r="AH190" s="200" t="n">
        <x:f>AF190-AG190</x:f>
        <x:v>0</x:v>
      </x:c>
    </x:row>
    <x:row r="191">
      <x:c r="A191" s="189"/>
      <x:c r="B191" s="189"/>
      <x:c r="C191" s="221"/>
      <x:c r="D191" s="189"/>
      <x:c r="E191" s="221"/>
      <x:c r="F191" s="218" t="str">
        <x:f>IFERROR(LN(E191/C191)*10000,"")</x:f>
      </x:c>
      <x:c r="G191" s="191"/>
      <x:c r="H191" s="191"/>
      <x:c r="I191" s="191"/>
      <x:c r="J191" s="191"/>
      <x:c r="K191" s="189"/>
      <x:c r="L191" s="197" t="str">
        <x:f>IF(K191="Up",G191,IF(K191="Down",1-G191,""))</x:f>
      </x:c>
      <x:c r="M191" s="198" t="str">
        <x:f>IF(K191="Up",I191,IF(K191="Down",J191,""))</x:f>
      </x:c>
      <x:c r="N191" s="192"/>
      <x:c r="O191" s="198" t="n">
        <x:f>IF(N191="Taker",M191*'08_Bet_Calculator'!$B$18*(1-M191),0)</x:f>
        <x:v>0</x:v>
      </x:c>
      <x:c r="P191" s="192"/>
      <x:c r="Q191" s="198" t="str">
        <x:f>IF(M191="","",MIN(0.999,M191+O191+P191))</x:f>
      </x:c>
      <x:c r="R191" s="197" t="str">
        <x:f>IF(L191="","",L191-Q191)</x:f>
      </x:c>
      <x:c r="S191" s="197" t="str">
        <x:f>IF(L191="","",L191-'08_Bet_Calculator'!$B$24*H191-Q191-'08_Bet_Calculator'!$B$20)</x:f>
      </x:c>
      <x:c r="T191" s="197" t="n">
        <x:f>IF(OR(L191="",Q191&gt;=1),0,MAX(0,(MAX(0,L191-'08_Bet_Calculator'!$B$24*H191)-Q191)/(1-Q191)))</x:f>
        <x:v>0</x:v>
      </x:c>
      <x:c r="U191" s="197" t="n">
        <x:f>T191*'08_Bet_Calculator'!$B$21</x:f>
        <x:v>0</x:v>
      </x:c>
      <x:c r="V191" s="221"/>
      <x:c r="W191" s="200" t="n">
        <x:f>IF(OR(V191="",S191&lt;=0),0,MIN(V191*U191,V191*'08_Bet_Calculator'!$B$22,'08_Bet_Calculator'!$B$23))</x:f>
        <x:v>0</x:v>
      </x:c>
      <x:c r="X191" s="222" t="n">
        <x:f>IFERROR(W191/Q191,0)</x:f>
        <x:v>0</x:v>
      </x:c>
      <x:c r="Y191" s="189"/>
      <x:c r="Z191" s="196" t="str">
        <x:f>IF(OR(Y191="",K191=""),"",IF(Y191=K191,1,0))</x:f>
      </x:c>
      <x:c r="AA191" s="200" t="str">
        <x:f>IF(Z191="","",X191*(Z191-Q191))</x:f>
      </x:c>
      <x:c r="AB191" s="197" t="str">
        <x:f>IFERROR(AA191/W191,"")</x:f>
      </x:c>
      <x:c r="AC191" s="197" t="str">
        <x:f>IF(Z191="","",(L191-Z191)^2)</x:f>
      </x:c>
      <x:c r="AD191" s="198" t="str">
        <x:f>IF(Z191="","",-(Z191*LN(MAX(0.0001,L191))+(1-Z191)*LN(MAX(0.0001,1-L191))))</x:f>
      </x:c>
      <x:c r="AE191" s="189"/>
      <x:c r="AF191" s="200" t="n">
        <x:f>AF190+IF(AA191="",0,AA191)</x:f>
        <x:v>0</x:v>
      </x:c>
      <x:c r="AG191" s="200" t="n">
        <x:f>MAX(AG190,AF191)</x:f>
        <x:v>0</x:v>
      </x:c>
      <x:c r="AH191" s="200" t="n">
        <x:f>AF191-AG191</x:f>
        <x:v>0</x:v>
      </x:c>
    </x:row>
    <x:row r="192">
      <x:c r="A192" s="189"/>
      <x:c r="B192" s="189"/>
      <x:c r="C192" s="221"/>
      <x:c r="D192" s="189"/>
      <x:c r="E192" s="221"/>
      <x:c r="F192" s="218" t="str">
        <x:f>IFERROR(LN(E192/C192)*10000,"")</x:f>
      </x:c>
      <x:c r="G192" s="191"/>
      <x:c r="H192" s="191"/>
      <x:c r="I192" s="191"/>
      <x:c r="J192" s="191"/>
      <x:c r="K192" s="189"/>
      <x:c r="L192" s="197" t="str">
        <x:f>IF(K192="Up",G192,IF(K192="Down",1-G192,""))</x:f>
      </x:c>
      <x:c r="M192" s="198" t="str">
        <x:f>IF(K192="Up",I192,IF(K192="Down",J192,""))</x:f>
      </x:c>
      <x:c r="N192" s="192"/>
      <x:c r="O192" s="198" t="n">
        <x:f>IF(N192="Taker",M192*'08_Bet_Calculator'!$B$18*(1-M192),0)</x:f>
        <x:v>0</x:v>
      </x:c>
      <x:c r="P192" s="192"/>
      <x:c r="Q192" s="198" t="str">
        <x:f>IF(M192="","",MIN(0.999,M192+O192+P192))</x:f>
      </x:c>
      <x:c r="R192" s="197" t="str">
        <x:f>IF(L192="","",L192-Q192)</x:f>
      </x:c>
      <x:c r="S192" s="197" t="str">
        <x:f>IF(L192="","",L192-'08_Bet_Calculator'!$B$24*H192-Q192-'08_Bet_Calculator'!$B$20)</x:f>
      </x:c>
      <x:c r="T192" s="197" t="n">
        <x:f>IF(OR(L192="",Q192&gt;=1),0,MAX(0,(MAX(0,L192-'08_Bet_Calculator'!$B$24*H192)-Q192)/(1-Q192)))</x:f>
        <x:v>0</x:v>
      </x:c>
      <x:c r="U192" s="197" t="n">
        <x:f>T192*'08_Bet_Calculator'!$B$21</x:f>
        <x:v>0</x:v>
      </x:c>
      <x:c r="V192" s="221"/>
      <x:c r="W192" s="200" t="n">
        <x:f>IF(OR(V192="",S192&lt;=0),0,MIN(V192*U192,V192*'08_Bet_Calculator'!$B$22,'08_Bet_Calculator'!$B$23))</x:f>
        <x:v>0</x:v>
      </x:c>
      <x:c r="X192" s="222" t="n">
        <x:f>IFERROR(W192/Q192,0)</x:f>
        <x:v>0</x:v>
      </x:c>
      <x:c r="Y192" s="189"/>
      <x:c r="Z192" s="196" t="str">
        <x:f>IF(OR(Y192="",K192=""),"",IF(Y192=K192,1,0))</x:f>
      </x:c>
      <x:c r="AA192" s="200" t="str">
        <x:f>IF(Z192="","",X192*(Z192-Q192))</x:f>
      </x:c>
      <x:c r="AB192" s="197" t="str">
        <x:f>IFERROR(AA192/W192,"")</x:f>
      </x:c>
      <x:c r="AC192" s="197" t="str">
        <x:f>IF(Z192="","",(L192-Z192)^2)</x:f>
      </x:c>
      <x:c r="AD192" s="198" t="str">
        <x:f>IF(Z192="","",-(Z192*LN(MAX(0.0001,L192))+(1-Z192)*LN(MAX(0.0001,1-L192))))</x:f>
      </x:c>
      <x:c r="AE192" s="189"/>
      <x:c r="AF192" s="200" t="n">
        <x:f>AF191+IF(AA192="",0,AA192)</x:f>
        <x:v>0</x:v>
      </x:c>
      <x:c r="AG192" s="200" t="n">
        <x:f>MAX(AG191,AF192)</x:f>
        <x:v>0</x:v>
      </x:c>
      <x:c r="AH192" s="200" t="n">
        <x:f>AF192-AG192</x:f>
        <x:v>0</x:v>
      </x:c>
    </x:row>
    <x:row r="193">
      <x:c r="A193" s="189"/>
      <x:c r="B193" s="189"/>
      <x:c r="C193" s="221"/>
      <x:c r="D193" s="189"/>
      <x:c r="E193" s="221"/>
      <x:c r="F193" s="218" t="str">
        <x:f>IFERROR(LN(E193/C193)*10000,"")</x:f>
      </x:c>
      <x:c r="G193" s="191"/>
      <x:c r="H193" s="191"/>
      <x:c r="I193" s="191"/>
      <x:c r="J193" s="191"/>
      <x:c r="K193" s="189"/>
      <x:c r="L193" s="197" t="str">
        <x:f>IF(K193="Up",G193,IF(K193="Down",1-G193,""))</x:f>
      </x:c>
      <x:c r="M193" s="198" t="str">
        <x:f>IF(K193="Up",I193,IF(K193="Down",J193,""))</x:f>
      </x:c>
      <x:c r="N193" s="192"/>
      <x:c r="O193" s="198" t="n">
        <x:f>IF(N193="Taker",M193*'08_Bet_Calculator'!$B$18*(1-M193),0)</x:f>
        <x:v>0</x:v>
      </x:c>
      <x:c r="P193" s="192"/>
      <x:c r="Q193" s="198" t="str">
        <x:f>IF(M193="","",MIN(0.999,M193+O193+P193))</x:f>
      </x:c>
      <x:c r="R193" s="197" t="str">
        <x:f>IF(L193="","",L193-Q193)</x:f>
      </x:c>
      <x:c r="S193" s="197" t="str">
        <x:f>IF(L193="","",L193-'08_Bet_Calculator'!$B$24*H193-Q193-'08_Bet_Calculator'!$B$20)</x:f>
      </x:c>
      <x:c r="T193" s="197" t="n">
        <x:f>IF(OR(L193="",Q193&gt;=1),0,MAX(0,(MAX(0,L193-'08_Bet_Calculator'!$B$24*H193)-Q193)/(1-Q193)))</x:f>
        <x:v>0</x:v>
      </x:c>
      <x:c r="U193" s="197" t="n">
        <x:f>T193*'08_Bet_Calculator'!$B$21</x:f>
        <x:v>0</x:v>
      </x:c>
      <x:c r="V193" s="221"/>
      <x:c r="W193" s="200" t="n">
        <x:f>IF(OR(V193="",S193&lt;=0),0,MIN(V193*U193,V193*'08_Bet_Calculator'!$B$22,'08_Bet_Calculator'!$B$23))</x:f>
        <x:v>0</x:v>
      </x:c>
      <x:c r="X193" s="222" t="n">
        <x:f>IFERROR(W193/Q193,0)</x:f>
        <x:v>0</x:v>
      </x:c>
      <x:c r="Y193" s="189"/>
      <x:c r="Z193" s="196" t="str">
        <x:f>IF(OR(Y193="",K193=""),"",IF(Y193=K193,1,0))</x:f>
      </x:c>
      <x:c r="AA193" s="200" t="str">
        <x:f>IF(Z193="","",X193*(Z193-Q193))</x:f>
      </x:c>
      <x:c r="AB193" s="197" t="str">
        <x:f>IFERROR(AA193/W193,"")</x:f>
      </x:c>
      <x:c r="AC193" s="197" t="str">
        <x:f>IF(Z193="","",(L193-Z193)^2)</x:f>
      </x:c>
      <x:c r="AD193" s="198" t="str">
        <x:f>IF(Z193="","",-(Z193*LN(MAX(0.0001,L193))+(1-Z193)*LN(MAX(0.0001,1-L193))))</x:f>
      </x:c>
      <x:c r="AE193" s="189"/>
      <x:c r="AF193" s="200" t="n">
        <x:f>AF192+IF(AA193="",0,AA193)</x:f>
        <x:v>0</x:v>
      </x:c>
      <x:c r="AG193" s="200" t="n">
        <x:f>MAX(AG192,AF193)</x:f>
        <x:v>0</x:v>
      </x:c>
      <x:c r="AH193" s="200" t="n">
        <x:f>AF193-AG193</x:f>
        <x:v>0</x:v>
      </x:c>
    </x:row>
    <x:row r="194">
      <x:c r="A194" s="189"/>
      <x:c r="B194" s="189"/>
      <x:c r="C194" s="221"/>
      <x:c r="D194" s="189"/>
      <x:c r="E194" s="221"/>
      <x:c r="F194" s="218" t="str">
        <x:f>IFERROR(LN(E194/C194)*10000,"")</x:f>
      </x:c>
      <x:c r="G194" s="191"/>
      <x:c r="H194" s="191"/>
      <x:c r="I194" s="191"/>
      <x:c r="J194" s="191"/>
      <x:c r="K194" s="189"/>
      <x:c r="L194" s="197" t="str">
        <x:f>IF(K194="Up",G194,IF(K194="Down",1-G194,""))</x:f>
      </x:c>
      <x:c r="M194" s="198" t="str">
        <x:f>IF(K194="Up",I194,IF(K194="Down",J194,""))</x:f>
      </x:c>
      <x:c r="N194" s="192"/>
      <x:c r="O194" s="198" t="n">
        <x:f>IF(N194="Taker",M194*'08_Bet_Calculator'!$B$18*(1-M194),0)</x:f>
        <x:v>0</x:v>
      </x:c>
      <x:c r="P194" s="192"/>
      <x:c r="Q194" s="198" t="str">
        <x:f>IF(M194="","",MIN(0.999,M194+O194+P194))</x:f>
      </x:c>
      <x:c r="R194" s="197" t="str">
        <x:f>IF(L194="","",L194-Q194)</x:f>
      </x:c>
      <x:c r="S194" s="197" t="str">
        <x:f>IF(L194="","",L194-'08_Bet_Calculator'!$B$24*H194-Q194-'08_Bet_Calculator'!$B$20)</x:f>
      </x:c>
      <x:c r="T194" s="197" t="n">
        <x:f>IF(OR(L194="",Q194&gt;=1),0,MAX(0,(MAX(0,L194-'08_Bet_Calculator'!$B$24*H194)-Q194)/(1-Q194)))</x:f>
        <x:v>0</x:v>
      </x:c>
      <x:c r="U194" s="197" t="n">
        <x:f>T194*'08_Bet_Calculator'!$B$21</x:f>
        <x:v>0</x:v>
      </x:c>
      <x:c r="V194" s="221"/>
      <x:c r="W194" s="200" t="n">
        <x:f>IF(OR(V194="",S194&lt;=0),0,MIN(V194*U194,V194*'08_Bet_Calculator'!$B$22,'08_Bet_Calculator'!$B$23))</x:f>
        <x:v>0</x:v>
      </x:c>
      <x:c r="X194" s="222" t="n">
        <x:f>IFERROR(W194/Q194,0)</x:f>
        <x:v>0</x:v>
      </x:c>
      <x:c r="Y194" s="189"/>
      <x:c r="Z194" s="196" t="str">
        <x:f>IF(OR(Y194="",K194=""),"",IF(Y194=K194,1,0))</x:f>
      </x:c>
      <x:c r="AA194" s="200" t="str">
        <x:f>IF(Z194="","",X194*(Z194-Q194))</x:f>
      </x:c>
      <x:c r="AB194" s="197" t="str">
        <x:f>IFERROR(AA194/W194,"")</x:f>
      </x:c>
      <x:c r="AC194" s="197" t="str">
        <x:f>IF(Z194="","",(L194-Z194)^2)</x:f>
      </x:c>
      <x:c r="AD194" s="198" t="str">
        <x:f>IF(Z194="","",-(Z194*LN(MAX(0.0001,L194))+(1-Z194)*LN(MAX(0.0001,1-L194))))</x:f>
      </x:c>
      <x:c r="AE194" s="189"/>
      <x:c r="AF194" s="200" t="n">
        <x:f>AF193+IF(AA194="",0,AA194)</x:f>
        <x:v>0</x:v>
      </x:c>
      <x:c r="AG194" s="200" t="n">
        <x:f>MAX(AG193,AF194)</x:f>
        <x:v>0</x:v>
      </x:c>
      <x:c r="AH194" s="200" t="n">
        <x:f>AF194-AG194</x:f>
        <x:v>0</x:v>
      </x:c>
    </x:row>
    <x:row r="195">
      <x:c r="A195" s="189"/>
      <x:c r="B195" s="189"/>
      <x:c r="C195" s="221"/>
      <x:c r="D195" s="189"/>
      <x:c r="E195" s="221"/>
      <x:c r="F195" s="218" t="str">
        <x:f>IFERROR(LN(E195/C195)*10000,"")</x:f>
      </x:c>
      <x:c r="G195" s="191"/>
      <x:c r="H195" s="191"/>
      <x:c r="I195" s="191"/>
      <x:c r="J195" s="191"/>
      <x:c r="K195" s="189"/>
      <x:c r="L195" s="197" t="str">
        <x:f>IF(K195="Up",G195,IF(K195="Down",1-G195,""))</x:f>
      </x:c>
      <x:c r="M195" s="198" t="str">
        <x:f>IF(K195="Up",I195,IF(K195="Down",J195,""))</x:f>
      </x:c>
      <x:c r="N195" s="192"/>
      <x:c r="O195" s="198" t="n">
        <x:f>IF(N195="Taker",M195*'08_Bet_Calculator'!$B$18*(1-M195),0)</x:f>
        <x:v>0</x:v>
      </x:c>
      <x:c r="P195" s="192"/>
      <x:c r="Q195" s="198" t="str">
        <x:f>IF(M195="","",MIN(0.999,M195+O195+P195))</x:f>
      </x:c>
      <x:c r="R195" s="197" t="str">
        <x:f>IF(L195="","",L195-Q195)</x:f>
      </x:c>
      <x:c r="S195" s="197" t="str">
        <x:f>IF(L195="","",L195-'08_Bet_Calculator'!$B$24*H195-Q195-'08_Bet_Calculator'!$B$20)</x:f>
      </x:c>
      <x:c r="T195" s="197" t="n">
        <x:f>IF(OR(L195="",Q195&gt;=1),0,MAX(0,(MAX(0,L195-'08_Bet_Calculator'!$B$24*H195)-Q195)/(1-Q195)))</x:f>
        <x:v>0</x:v>
      </x:c>
      <x:c r="U195" s="197" t="n">
        <x:f>T195*'08_Bet_Calculator'!$B$21</x:f>
        <x:v>0</x:v>
      </x:c>
      <x:c r="V195" s="221"/>
      <x:c r="W195" s="200" t="n">
        <x:f>IF(OR(V195="",S195&lt;=0),0,MIN(V195*U195,V195*'08_Bet_Calculator'!$B$22,'08_Bet_Calculator'!$B$23))</x:f>
        <x:v>0</x:v>
      </x:c>
      <x:c r="X195" s="222" t="n">
        <x:f>IFERROR(W195/Q195,0)</x:f>
        <x:v>0</x:v>
      </x:c>
      <x:c r="Y195" s="189"/>
      <x:c r="Z195" s="196" t="str">
        <x:f>IF(OR(Y195="",K195=""),"",IF(Y195=K195,1,0))</x:f>
      </x:c>
      <x:c r="AA195" s="200" t="str">
        <x:f>IF(Z195="","",X195*(Z195-Q195))</x:f>
      </x:c>
      <x:c r="AB195" s="197" t="str">
        <x:f>IFERROR(AA195/W195,"")</x:f>
      </x:c>
      <x:c r="AC195" s="197" t="str">
        <x:f>IF(Z195="","",(L195-Z195)^2)</x:f>
      </x:c>
      <x:c r="AD195" s="198" t="str">
        <x:f>IF(Z195="","",-(Z195*LN(MAX(0.0001,L195))+(1-Z195)*LN(MAX(0.0001,1-L195))))</x:f>
      </x:c>
      <x:c r="AE195" s="189"/>
      <x:c r="AF195" s="200" t="n">
        <x:f>AF194+IF(AA195="",0,AA195)</x:f>
        <x:v>0</x:v>
      </x:c>
      <x:c r="AG195" s="200" t="n">
        <x:f>MAX(AG194,AF195)</x:f>
        <x:v>0</x:v>
      </x:c>
      <x:c r="AH195" s="200" t="n">
        <x:f>AF195-AG195</x:f>
        <x:v>0</x:v>
      </x:c>
    </x:row>
    <x:row r="196">
      <x:c r="A196" s="189"/>
      <x:c r="B196" s="189"/>
      <x:c r="C196" s="221"/>
      <x:c r="D196" s="189"/>
      <x:c r="E196" s="221"/>
      <x:c r="F196" s="218" t="str">
        <x:f>IFERROR(LN(E196/C196)*10000,"")</x:f>
      </x:c>
      <x:c r="G196" s="191"/>
      <x:c r="H196" s="191"/>
      <x:c r="I196" s="191"/>
      <x:c r="J196" s="191"/>
      <x:c r="K196" s="189"/>
      <x:c r="L196" s="197" t="str">
        <x:f>IF(K196="Up",G196,IF(K196="Down",1-G196,""))</x:f>
      </x:c>
      <x:c r="M196" s="198" t="str">
        <x:f>IF(K196="Up",I196,IF(K196="Down",J196,""))</x:f>
      </x:c>
      <x:c r="N196" s="192"/>
      <x:c r="O196" s="198" t="n">
        <x:f>IF(N196="Taker",M196*'08_Bet_Calculator'!$B$18*(1-M196),0)</x:f>
        <x:v>0</x:v>
      </x:c>
      <x:c r="P196" s="192"/>
      <x:c r="Q196" s="198" t="str">
        <x:f>IF(M196="","",MIN(0.999,M196+O196+P196))</x:f>
      </x:c>
      <x:c r="R196" s="197" t="str">
        <x:f>IF(L196="","",L196-Q196)</x:f>
      </x:c>
      <x:c r="S196" s="197" t="str">
        <x:f>IF(L196="","",L196-'08_Bet_Calculator'!$B$24*H196-Q196-'08_Bet_Calculator'!$B$20)</x:f>
      </x:c>
      <x:c r="T196" s="197" t="n">
        <x:f>IF(OR(L196="",Q196&gt;=1),0,MAX(0,(MAX(0,L196-'08_Bet_Calculator'!$B$24*H196)-Q196)/(1-Q196)))</x:f>
        <x:v>0</x:v>
      </x:c>
      <x:c r="U196" s="197" t="n">
        <x:f>T196*'08_Bet_Calculator'!$B$21</x:f>
        <x:v>0</x:v>
      </x:c>
      <x:c r="V196" s="221"/>
      <x:c r="W196" s="200" t="n">
        <x:f>IF(OR(V196="",S196&lt;=0),0,MIN(V196*U196,V196*'08_Bet_Calculator'!$B$22,'08_Bet_Calculator'!$B$23))</x:f>
        <x:v>0</x:v>
      </x:c>
      <x:c r="X196" s="222" t="n">
        <x:f>IFERROR(W196/Q196,0)</x:f>
        <x:v>0</x:v>
      </x:c>
      <x:c r="Y196" s="189"/>
      <x:c r="Z196" s="196" t="str">
        <x:f>IF(OR(Y196="",K196=""),"",IF(Y196=K196,1,0))</x:f>
      </x:c>
      <x:c r="AA196" s="200" t="str">
        <x:f>IF(Z196="","",X196*(Z196-Q196))</x:f>
      </x:c>
      <x:c r="AB196" s="197" t="str">
        <x:f>IFERROR(AA196/W196,"")</x:f>
      </x:c>
      <x:c r="AC196" s="197" t="str">
        <x:f>IF(Z196="","",(L196-Z196)^2)</x:f>
      </x:c>
      <x:c r="AD196" s="198" t="str">
        <x:f>IF(Z196="","",-(Z196*LN(MAX(0.0001,L196))+(1-Z196)*LN(MAX(0.0001,1-L196))))</x:f>
      </x:c>
      <x:c r="AE196" s="189"/>
      <x:c r="AF196" s="200" t="n">
        <x:f>AF195+IF(AA196="",0,AA196)</x:f>
        <x:v>0</x:v>
      </x:c>
      <x:c r="AG196" s="200" t="n">
        <x:f>MAX(AG195,AF196)</x:f>
        <x:v>0</x:v>
      </x:c>
      <x:c r="AH196" s="200" t="n">
        <x:f>AF196-AG196</x:f>
        <x:v>0</x:v>
      </x:c>
    </x:row>
    <x:row r="197">
      <x:c r="A197" s="189"/>
      <x:c r="B197" s="189"/>
      <x:c r="C197" s="221"/>
      <x:c r="D197" s="189"/>
      <x:c r="E197" s="221"/>
      <x:c r="F197" s="218" t="str">
        <x:f>IFERROR(LN(E197/C197)*10000,"")</x:f>
      </x:c>
      <x:c r="G197" s="191"/>
      <x:c r="H197" s="191"/>
      <x:c r="I197" s="191"/>
      <x:c r="J197" s="191"/>
      <x:c r="K197" s="189"/>
      <x:c r="L197" s="197" t="str">
        <x:f>IF(K197="Up",G197,IF(K197="Down",1-G197,""))</x:f>
      </x:c>
      <x:c r="M197" s="198" t="str">
        <x:f>IF(K197="Up",I197,IF(K197="Down",J197,""))</x:f>
      </x:c>
      <x:c r="N197" s="192"/>
      <x:c r="O197" s="198" t="n">
        <x:f>IF(N197="Taker",M197*'08_Bet_Calculator'!$B$18*(1-M197),0)</x:f>
        <x:v>0</x:v>
      </x:c>
      <x:c r="P197" s="192"/>
      <x:c r="Q197" s="198" t="str">
        <x:f>IF(M197="","",MIN(0.999,M197+O197+P197))</x:f>
      </x:c>
      <x:c r="R197" s="197" t="str">
        <x:f>IF(L197="","",L197-Q197)</x:f>
      </x:c>
      <x:c r="S197" s="197" t="str">
        <x:f>IF(L197="","",L197-'08_Bet_Calculator'!$B$24*H197-Q197-'08_Bet_Calculator'!$B$20)</x:f>
      </x:c>
      <x:c r="T197" s="197" t="n">
        <x:f>IF(OR(L197="",Q197&gt;=1),0,MAX(0,(MAX(0,L197-'08_Bet_Calculator'!$B$24*H197)-Q197)/(1-Q197)))</x:f>
        <x:v>0</x:v>
      </x:c>
      <x:c r="U197" s="197" t="n">
        <x:f>T197*'08_Bet_Calculator'!$B$21</x:f>
        <x:v>0</x:v>
      </x:c>
      <x:c r="V197" s="221"/>
      <x:c r="W197" s="200" t="n">
        <x:f>IF(OR(V197="",S197&lt;=0),0,MIN(V197*U197,V197*'08_Bet_Calculator'!$B$22,'08_Bet_Calculator'!$B$23))</x:f>
        <x:v>0</x:v>
      </x:c>
      <x:c r="X197" s="222" t="n">
        <x:f>IFERROR(W197/Q197,0)</x:f>
        <x:v>0</x:v>
      </x:c>
      <x:c r="Y197" s="189"/>
      <x:c r="Z197" s="196" t="str">
        <x:f>IF(OR(Y197="",K197=""),"",IF(Y197=K197,1,0))</x:f>
      </x:c>
      <x:c r="AA197" s="200" t="str">
        <x:f>IF(Z197="","",X197*(Z197-Q197))</x:f>
      </x:c>
      <x:c r="AB197" s="197" t="str">
        <x:f>IFERROR(AA197/W197,"")</x:f>
      </x:c>
      <x:c r="AC197" s="197" t="str">
        <x:f>IF(Z197="","",(L197-Z197)^2)</x:f>
      </x:c>
      <x:c r="AD197" s="198" t="str">
        <x:f>IF(Z197="","",-(Z197*LN(MAX(0.0001,L197))+(1-Z197)*LN(MAX(0.0001,1-L197))))</x:f>
      </x:c>
      <x:c r="AE197" s="189"/>
      <x:c r="AF197" s="200" t="n">
        <x:f>AF196+IF(AA197="",0,AA197)</x:f>
        <x:v>0</x:v>
      </x:c>
      <x:c r="AG197" s="200" t="n">
        <x:f>MAX(AG196,AF197)</x:f>
        <x:v>0</x:v>
      </x:c>
      <x:c r="AH197" s="200" t="n">
        <x:f>AF197-AG197</x:f>
        <x:v>0</x:v>
      </x:c>
    </x:row>
    <x:row r="198">
      <x:c r="A198" s="189"/>
      <x:c r="B198" s="189"/>
      <x:c r="C198" s="221"/>
      <x:c r="D198" s="189"/>
      <x:c r="E198" s="221"/>
      <x:c r="F198" s="218" t="str">
        <x:f>IFERROR(LN(E198/C198)*10000,"")</x:f>
      </x:c>
      <x:c r="G198" s="191"/>
      <x:c r="H198" s="191"/>
      <x:c r="I198" s="191"/>
      <x:c r="J198" s="191"/>
      <x:c r="K198" s="189"/>
      <x:c r="L198" s="197" t="str">
        <x:f>IF(K198="Up",G198,IF(K198="Down",1-G198,""))</x:f>
      </x:c>
      <x:c r="M198" s="198" t="str">
        <x:f>IF(K198="Up",I198,IF(K198="Down",J198,""))</x:f>
      </x:c>
      <x:c r="N198" s="192"/>
      <x:c r="O198" s="198" t="n">
        <x:f>IF(N198="Taker",M198*'08_Bet_Calculator'!$B$18*(1-M198),0)</x:f>
        <x:v>0</x:v>
      </x:c>
      <x:c r="P198" s="192"/>
      <x:c r="Q198" s="198" t="str">
        <x:f>IF(M198="","",MIN(0.999,M198+O198+P198))</x:f>
      </x:c>
      <x:c r="R198" s="197" t="str">
        <x:f>IF(L198="","",L198-Q198)</x:f>
      </x:c>
      <x:c r="S198" s="197" t="str">
        <x:f>IF(L198="","",L198-'08_Bet_Calculator'!$B$24*H198-Q198-'08_Bet_Calculator'!$B$20)</x:f>
      </x:c>
      <x:c r="T198" s="197" t="n">
        <x:f>IF(OR(L198="",Q198&gt;=1),0,MAX(0,(MAX(0,L198-'08_Bet_Calculator'!$B$24*H198)-Q198)/(1-Q198)))</x:f>
        <x:v>0</x:v>
      </x:c>
      <x:c r="U198" s="197" t="n">
        <x:f>T198*'08_Bet_Calculator'!$B$21</x:f>
        <x:v>0</x:v>
      </x:c>
      <x:c r="V198" s="221"/>
      <x:c r="W198" s="200" t="n">
        <x:f>IF(OR(V198="",S198&lt;=0),0,MIN(V198*U198,V198*'08_Bet_Calculator'!$B$22,'08_Bet_Calculator'!$B$23))</x:f>
        <x:v>0</x:v>
      </x:c>
      <x:c r="X198" s="222" t="n">
        <x:f>IFERROR(W198/Q198,0)</x:f>
        <x:v>0</x:v>
      </x:c>
      <x:c r="Y198" s="189"/>
      <x:c r="Z198" s="196" t="str">
        <x:f>IF(OR(Y198="",K198=""),"",IF(Y198=K198,1,0))</x:f>
      </x:c>
      <x:c r="AA198" s="200" t="str">
        <x:f>IF(Z198="","",X198*(Z198-Q198))</x:f>
      </x:c>
      <x:c r="AB198" s="197" t="str">
        <x:f>IFERROR(AA198/W198,"")</x:f>
      </x:c>
      <x:c r="AC198" s="197" t="str">
        <x:f>IF(Z198="","",(L198-Z198)^2)</x:f>
      </x:c>
      <x:c r="AD198" s="198" t="str">
        <x:f>IF(Z198="","",-(Z198*LN(MAX(0.0001,L198))+(1-Z198)*LN(MAX(0.0001,1-L198))))</x:f>
      </x:c>
      <x:c r="AE198" s="189"/>
      <x:c r="AF198" s="200" t="n">
        <x:f>AF197+IF(AA198="",0,AA198)</x:f>
        <x:v>0</x:v>
      </x:c>
      <x:c r="AG198" s="200" t="n">
        <x:f>MAX(AG197,AF198)</x:f>
        <x:v>0</x:v>
      </x:c>
      <x:c r="AH198" s="200" t="n">
        <x:f>AF198-AG198</x:f>
        <x:v>0</x:v>
      </x:c>
    </x:row>
    <x:row r="199">
      <x:c r="A199" s="189"/>
      <x:c r="B199" s="189"/>
      <x:c r="C199" s="221"/>
      <x:c r="D199" s="189"/>
      <x:c r="E199" s="221"/>
      <x:c r="F199" s="218" t="str">
        <x:f>IFERROR(LN(E199/C199)*10000,"")</x:f>
      </x:c>
      <x:c r="G199" s="191"/>
      <x:c r="H199" s="191"/>
      <x:c r="I199" s="191"/>
      <x:c r="J199" s="191"/>
      <x:c r="K199" s="189"/>
      <x:c r="L199" s="197" t="str">
        <x:f>IF(K199="Up",G199,IF(K199="Down",1-G199,""))</x:f>
      </x:c>
      <x:c r="M199" s="198" t="str">
        <x:f>IF(K199="Up",I199,IF(K199="Down",J199,""))</x:f>
      </x:c>
      <x:c r="N199" s="192"/>
      <x:c r="O199" s="198" t="n">
        <x:f>IF(N199="Taker",M199*'08_Bet_Calculator'!$B$18*(1-M199),0)</x:f>
        <x:v>0</x:v>
      </x:c>
      <x:c r="P199" s="192"/>
      <x:c r="Q199" s="198" t="str">
        <x:f>IF(M199="","",MIN(0.999,M199+O199+P199))</x:f>
      </x:c>
      <x:c r="R199" s="197" t="str">
        <x:f>IF(L199="","",L199-Q199)</x:f>
      </x:c>
      <x:c r="S199" s="197" t="str">
        <x:f>IF(L199="","",L199-'08_Bet_Calculator'!$B$24*H199-Q199-'08_Bet_Calculator'!$B$20)</x:f>
      </x:c>
      <x:c r="T199" s="197" t="n">
        <x:f>IF(OR(L199="",Q199&gt;=1),0,MAX(0,(MAX(0,L199-'08_Bet_Calculator'!$B$24*H199)-Q199)/(1-Q199)))</x:f>
        <x:v>0</x:v>
      </x:c>
      <x:c r="U199" s="197" t="n">
        <x:f>T199*'08_Bet_Calculator'!$B$21</x:f>
        <x:v>0</x:v>
      </x:c>
      <x:c r="V199" s="221"/>
      <x:c r="W199" s="200" t="n">
        <x:f>IF(OR(V199="",S199&lt;=0),0,MIN(V199*U199,V199*'08_Bet_Calculator'!$B$22,'08_Bet_Calculator'!$B$23))</x:f>
        <x:v>0</x:v>
      </x:c>
      <x:c r="X199" s="222" t="n">
        <x:f>IFERROR(W199/Q199,0)</x:f>
        <x:v>0</x:v>
      </x:c>
      <x:c r="Y199" s="189"/>
      <x:c r="Z199" s="196" t="str">
        <x:f>IF(OR(Y199="",K199=""),"",IF(Y199=K199,1,0))</x:f>
      </x:c>
      <x:c r="AA199" s="200" t="str">
        <x:f>IF(Z199="","",X199*(Z199-Q199))</x:f>
      </x:c>
      <x:c r="AB199" s="197" t="str">
        <x:f>IFERROR(AA199/W199,"")</x:f>
      </x:c>
      <x:c r="AC199" s="197" t="str">
        <x:f>IF(Z199="","",(L199-Z199)^2)</x:f>
      </x:c>
      <x:c r="AD199" s="198" t="str">
        <x:f>IF(Z199="","",-(Z199*LN(MAX(0.0001,L199))+(1-Z199)*LN(MAX(0.0001,1-L199))))</x:f>
      </x:c>
      <x:c r="AE199" s="189"/>
      <x:c r="AF199" s="200" t="n">
        <x:f>AF198+IF(AA199="",0,AA199)</x:f>
        <x:v>0</x:v>
      </x:c>
      <x:c r="AG199" s="200" t="n">
        <x:f>MAX(AG198,AF199)</x:f>
        <x:v>0</x:v>
      </x:c>
      <x:c r="AH199" s="200" t="n">
        <x:f>AF199-AG199</x:f>
        <x:v>0</x:v>
      </x:c>
    </x:row>
    <x:row r="200">
      <x:c r="A200" s="189"/>
      <x:c r="B200" s="189"/>
      <x:c r="C200" s="221"/>
      <x:c r="D200" s="189"/>
      <x:c r="E200" s="221"/>
      <x:c r="F200" s="218" t="str">
        <x:f>IFERROR(LN(E200/C200)*10000,"")</x:f>
      </x:c>
      <x:c r="G200" s="191"/>
      <x:c r="H200" s="191"/>
      <x:c r="I200" s="191"/>
      <x:c r="J200" s="191"/>
      <x:c r="K200" s="189"/>
      <x:c r="L200" s="197" t="str">
        <x:f>IF(K200="Up",G200,IF(K200="Down",1-G200,""))</x:f>
      </x:c>
      <x:c r="M200" s="198" t="str">
        <x:f>IF(K200="Up",I200,IF(K200="Down",J200,""))</x:f>
      </x:c>
      <x:c r="N200" s="192"/>
      <x:c r="O200" s="198" t="n">
        <x:f>IF(N200="Taker",M200*'08_Bet_Calculator'!$B$18*(1-M200),0)</x:f>
        <x:v>0</x:v>
      </x:c>
      <x:c r="P200" s="192"/>
      <x:c r="Q200" s="198" t="str">
        <x:f>IF(M200="","",MIN(0.999,M200+O200+P200))</x:f>
      </x:c>
      <x:c r="R200" s="197" t="str">
        <x:f>IF(L200="","",L200-Q200)</x:f>
      </x:c>
      <x:c r="S200" s="197" t="str">
        <x:f>IF(L200="","",L200-'08_Bet_Calculator'!$B$24*H200-Q200-'08_Bet_Calculator'!$B$20)</x:f>
      </x:c>
      <x:c r="T200" s="197" t="n">
        <x:f>IF(OR(L200="",Q200&gt;=1),0,MAX(0,(MAX(0,L200-'08_Bet_Calculator'!$B$24*H200)-Q200)/(1-Q200)))</x:f>
        <x:v>0</x:v>
      </x:c>
      <x:c r="U200" s="197" t="n">
        <x:f>T200*'08_Bet_Calculator'!$B$21</x:f>
        <x:v>0</x:v>
      </x:c>
      <x:c r="V200" s="221"/>
      <x:c r="W200" s="200" t="n">
        <x:f>IF(OR(V200="",S200&lt;=0),0,MIN(V200*U200,V200*'08_Bet_Calculator'!$B$22,'08_Bet_Calculator'!$B$23))</x:f>
        <x:v>0</x:v>
      </x:c>
      <x:c r="X200" s="222" t="n">
        <x:f>IFERROR(W200/Q200,0)</x:f>
        <x:v>0</x:v>
      </x:c>
      <x:c r="Y200" s="189"/>
      <x:c r="Z200" s="196" t="str">
        <x:f>IF(OR(Y200="",K200=""),"",IF(Y200=K200,1,0))</x:f>
      </x:c>
      <x:c r="AA200" s="200" t="str">
        <x:f>IF(Z200="","",X200*(Z200-Q200))</x:f>
      </x:c>
      <x:c r="AB200" s="197" t="str">
        <x:f>IFERROR(AA200/W200,"")</x:f>
      </x:c>
      <x:c r="AC200" s="197" t="str">
        <x:f>IF(Z200="","",(L200-Z200)^2)</x:f>
      </x:c>
      <x:c r="AD200" s="198" t="str">
        <x:f>IF(Z200="","",-(Z200*LN(MAX(0.0001,L200))+(1-Z200)*LN(MAX(0.0001,1-L200))))</x:f>
      </x:c>
      <x:c r="AE200" s="189"/>
      <x:c r="AF200" s="200" t="n">
        <x:f>AF199+IF(AA200="",0,AA200)</x:f>
        <x:v>0</x:v>
      </x:c>
      <x:c r="AG200" s="200" t="n">
        <x:f>MAX(AG199,AF200)</x:f>
        <x:v>0</x:v>
      </x:c>
      <x:c r="AH200" s="200" t="n">
        <x:f>AF200-AG200</x:f>
        <x:v>0</x:v>
      </x:c>
    </x:row>
    <x:row r="201">
      <x:c r="A201" s="189"/>
      <x:c r="B201" s="189"/>
      <x:c r="C201" s="221"/>
      <x:c r="D201" s="189"/>
      <x:c r="E201" s="221"/>
      <x:c r="F201" s="218" t="str">
        <x:f>IFERROR(LN(E201/C201)*10000,"")</x:f>
      </x:c>
      <x:c r="G201" s="191"/>
      <x:c r="H201" s="191"/>
      <x:c r="I201" s="191"/>
      <x:c r="J201" s="191"/>
      <x:c r="K201" s="189"/>
      <x:c r="L201" s="197" t="str">
        <x:f>IF(K201="Up",G201,IF(K201="Down",1-G201,""))</x:f>
      </x:c>
      <x:c r="M201" s="198" t="str">
        <x:f>IF(K201="Up",I201,IF(K201="Down",J201,""))</x:f>
      </x:c>
      <x:c r="N201" s="192"/>
      <x:c r="O201" s="198" t="n">
        <x:f>IF(N201="Taker",M201*'08_Bet_Calculator'!$B$18*(1-M201),0)</x:f>
        <x:v>0</x:v>
      </x:c>
      <x:c r="P201" s="192"/>
      <x:c r="Q201" s="198" t="str">
        <x:f>IF(M201="","",MIN(0.999,M201+O201+P201))</x:f>
      </x:c>
      <x:c r="R201" s="197" t="str">
        <x:f>IF(L201="","",L201-Q201)</x:f>
      </x:c>
      <x:c r="S201" s="197" t="str">
        <x:f>IF(L201="","",L201-'08_Bet_Calculator'!$B$24*H201-Q201-'08_Bet_Calculator'!$B$20)</x:f>
      </x:c>
      <x:c r="T201" s="197" t="n">
        <x:f>IF(OR(L201="",Q201&gt;=1),0,MAX(0,(MAX(0,L201-'08_Bet_Calculator'!$B$24*H201)-Q201)/(1-Q201)))</x:f>
        <x:v>0</x:v>
      </x:c>
      <x:c r="U201" s="197" t="n">
        <x:f>T201*'08_Bet_Calculator'!$B$21</x:f>
        <x:v>0</x:v>
      </x:c>
      <x:c r="V201" s="221"/>
      <x:c r="W201" s="200" t="n">
        <x:f>IF(OR(V201="",S201&lt;=0),0,MIN(V201*U201,V201*'08_Bet_Calculator'!$B$22,'08_Bet_Calculator'!$B$23))</x:f>
        <x:v>0</x:v>
      </x:c>
      <x:c r="X201" s="222" t="n">
        <x:f>IFERROR(W201/Q201,0)</x:f>
        <x:v>0</x:v>
      </x:c>
      <x:c r="Y201" s="189"/>
      <x:c r="Z201" s="196" t="str">
        <x:f>IF(OR(Y201="",K201=""),"",IF(Y201=K201,1,0))</x:f>
      </x:c>
      <x:c r="AA201" s="200" t="str">
        <x:f>IF(Z201="","",X201*(Z201-Q201))</x:f>
      </x:c>
      <x:c r="AB201" s="197" t="str">
        <x:f>IFERROR(AA201/W201,"")</x:f>
      </x:c>
      <x:c r="AC201" s="197" t="str">
        <x:f>IF(Z201="","",(L201-Z201)^2)</x:f>
      </x:c>
      <x:c r="AD201" s="198" t="str">
        <x:f>IF(Z201="","",-(Z201*LN(MAX(0.0001,L201))+(1-Z201)*LN(MAX(0.0001,1-L201))))</x:f>
      </x:c>
      <x:c r="AE201" s="189"/>
      <x:c r="AF201" s="200" t="n">
        <x:f>AF200+IF(AA201="",0,AA201)</x:f>
        <x:v>0</x:v>
      </x:c>
      <x:c r="AG201" s="200" t="n">
        <x:f>MAX(AG200,AF201)</x:f>
        <x:v>0</x:v>
      </x:c>
      <x:c r="AH201" s="200" t="n">
        <x:f>AF201-AG201</x:f>
        <x:v>0</x:v>
      </x:c>
    </x:row>
    <x:row r="202">
      <x:c r="A202" s="189"/>
      <x:c r="B202" s="189"/>
      <x:c r="C202" s="221"/>
      <x:c r="D202" s="189"/>
      <x:c r="E202" s="221"/>
      <x:c r="F202" s="218" t="str">
        <x:f>IFERROR(LN(E202/C202)*10000,"")</x:f>
      </x:c>
      <x:c r="G202" s="191"/>
      <x:c r="H202" s="191"/>
      <x:c r="I202" s="191"/>
      <x:c r="J202" s="191"/>
      <x:c r="K202" s="189"/>
      <x:c r="L202" s="197" t="str">
        <x:f>IF(K202="Up",G202,IF(K202="Down",1-G202,""))</x:f>
      </x:c>
      <x:c r="M202" s="198" t="str">
        <x:f>IF(K202="Up",I202,IF(K202="Down",J202,""))</x:f>
      </x:c>
      <x:c r="N202" s="192"/>
      <x:c r="O202" s="198" t="n">
        <x:f>IF(N202="Taker",M202*'08_Bet_Calculator'!$B$18*(1-M202),0)</x:f>
        <x:v>0</x:v>
      </x:c>
      <x:c r="P202" s="192"/>
      <x:c r="Q202" s="198" t="str">
        <x:f>IF(M202="","",MIN(0.999,M202+O202+P202))</x:f>
      </x:c>
      <x:c r="R202" s="197" t="str">
        <x:f>IF(L202="","",L202-Q202)</x:f>
      </x:c>
      <x:c r="S202" s="197" t="str">
        <x:f>IF(L202="","",L202-'08_Bet_Calculator'!$B$24*H202-Q202-'08_Bet_Calculator'!$B$20)</x:f>
      </x:c>
      <x:c r="T202" s="197" t="n">
        <x:f>IF(OR(L202="",Q202&gt;=1),0,MAX(0,(MAX(0,L202-'08_Bet_Calculator'!$B$24*H202)-Q202)/(1-Q202)))</x:f>
        <x:v>0</x:v>
      </x:c>
      <x:c r="U202" s="197" t="n">
        <x:f>T202*'08_Bet_Calculator'!$B$21</x:f>
        <x:v>0</x:v>
      </x:c>
      <x:c r="V202" s="221"/>
      <x:c r="W202" s="200" t="n">
        <x:f>IF(OR(V202="",S202&lt;=0),0,MIN(V202*U202,V202*'08_Bet_Calculator'!$B$22,'08_Bet_Calculator'!$B$23))</x:f>
        <x:v>0</x:v>
      </x:c>
      <x:c r="X202" s="222" t="n">
        <x:f>IFERROR(W202/Q202,0)</x:f>
        <x:v>0</x:v>
      </x:c>
      <x:c r="Y202" s="189"/>
      <x:c r="Z202" s="196" t="str">
        <x:f>IF(OR(Y202="",K202=""),"",IF(Y202=K202,1,0))</x:f>
      </x:c>
      <x:c r="AA202" s="200" t="str">
        <x:f>IF(Z202="","",X202*(Z202-Q202))</x:f>
      </x:c>
      <x:c r="AB202" s="197" t="str">
        <x:f>IFERROR(AA202/W202,"")</x:f>
      </x:c>
      <x:c r="AC202" s="197" t="str">
        <x:f>IF(Z202="","",(L202-Z202)^2)</x:f>
      </x:c>
      <x:c r="AD202" s="198" t="str">
        <x:f>IF(Z202="","",-(Z202*LN(MAX(0.0001,L202))+(1-Z202)*LN(MAX(0.0001,1-L202))))</x:f>
      </x:c>
      <x:c r="AE202" s="189"/>
      <x:c r="AF202" s="200" t="n">
        <x:f>AF201+IF(AA202="",0,AA202)</x:f>
        <x:v>0</x:v>
      </x:c>
      <x:c r="AG202" s="200" t="n">
        <x:f>MAX(AG201,AF202)</x:f>
        <x:v>0</x:v>
      </x:c>
      <x:c r="AH202" s="200" t="n">
        <x:f>AF202-AG202</x:f>
        <x:v>0</x:v>
      </x:c>
    </x:row>
    <x:row r="203">
      <x:c r="A203" s="189"/>
      <x:c r="B203" s="189"/>
      <x:c r="C203" s="221"/>
      <x:c r="D203" s="189"/>
      <x:c r="E203" s="221"/>
      <x:c r="F203" s="218" t="str">
        <x:f>IFERROR(LN(E203/C203)*10000,"")</x:f>
      </x:c>
      <x:c r="G203" s="191"/>
      <x:c r="H203" s="191"/>
      <x:c r="I203" s="191"/>
      <x:c r="J203" s="191"/>
      <x:c r="K203" s="189"/>
      <x:c r="L203" s="197" t="str">
        <x:f>IF(K203="Up",G203,IF(K203="Down",1-G203,""))</x:f>
      </x:c>
      <x:c r="M203" s="198" t="str">
        <x:f>IF(K203="Up",I203,IF(K203="Down",J203,""))</x:f>
      </x:c>
      <x:c r="N203" s="192"/>
      <x:c r="O203" s="198" t="n">
        <x:f>IF(N203="Taker",M203*'08_Bet_Calculator'!$B$18*(1-M203),0)</x:f>
        <x:v>0</x:v>
      </x:c>
      <x:c r="P203" s="192"/>
      <x:c r="Q203" s="198" t="str">
        <x:f>IF(M203="","",MIN(0.999,M203+O203+P203))</x:f>
      </x:c>
      <x:c r="R203" s="197" t="str">
        <x:f>IF(L203="","",L203-Q203)</x:f>
      </x:c>
      <x:c r="S203" s="197" t="str">
        <x:f>IF(L203="","",L203-'08_Bet_Calculator'!$B$24*H203-Q203-'08_Bet_Calculator'!$B$20)</x:f>
      </x:c>
      <x:c r="T203" s="197" t="n">
        <x:f>IF(OR(L203="",Q203&gt;=1),0,MAX(0,(MAX(0,L203-'08_Bet_Calculator'!$B$24*H203)-Q203)/(1-Q203)))</x:f>
        <x:v>0</x:v>
      </x:c>
      <x:c r="U203" s="197" t="n">
        <x:f>T203*'08_Bet_Calculator'!$B$21</x:f>
        <x:v>0</x:v>
      </x:c>
      <x:c r="V203" s="221"/>
      <x:c r="W203" s="200" t="n">
        <x:f>IF(OR(V203="",S203&lt;=0),0,MIN(V203*U203,V203*'08_Bet_Calculator'!$B$22,'08_Bet_Calculator'!$B$23))</x:f>
        <x:v>0</x:v>
      </x:c>
      <x:c r="X203" s="222" t="n">
        <x:f>IFERROR(W203/Q203,0)</x:f>
        <x:v>0</x:v>
      </x:c>
      <x:c r="Y203" s="189"/>
      <x:c r="Z203" s="196" t="str">
        <x:f>IF(OR(Y203="",K203=""),"",IF(Y203=K203,1,0))</x:f>
      </x:c>
      <x:c r="AA203" s="200" t="str">
        <x:f>IF(Z203="","",X203*(Z203-Q203))</x:f>
      </x:c>
      <x:c r="AB203" s="197" t="str">
        <x:f>IFERROR(AA203/W203,"")</x:f>
      </x:c>
      <x:c r="AC203" s="197" t="str">
        <x:f>IF(Z203="","",(L203-Z203)^2)</x:f>
      </x:c>
      <x:c r="AD203" s="198" t="str">
        <x:f>IF(Z203="","",-(Z203*LN(MAX(0.0001,L203))+(1-Z203)*LN(MAX(0.0001,1-L203))))</x:f>
      </x:c>
      <x:c r="AE203" s="189"/>
      <x:c r="AF203" s="200" t="n">
        <x:f>AF202+IF(AA203="",0,AA203)</x:f>
        <x:v>0</x:v>
      </x:c>
      <x:c r="AG203" s="200" t="n">
        <x:f>MAX(AG202,AF203)</x:f>
        <x:v>0</x:v>
      </x:c>
      <x:c r="AH203" s="200" t="n">
        <x:f>AF203-AG203</x:f>
        <x:v>0</x:v>
      </x:c>
    </x:row>
    <x:row r="204">
      <x:c r="A204" s="189"/>
      <x:c r="B204" s="189"/>
      <x:c r="C204" s="221"/>
      <x:c r="D204" s="189"/>
      <x:c r="E204" s="221"/>
      <x:c r="F204" s="218" t="str">
        <x:f>IFERROR(LN(E204/C204)*10000,"")</x:f>
      </x:c>
      <x:c r="G204" s="191"/>
      <x:c r="H204" s="191"/>
      <x:c r="I204" s="191"/>
      <x:c r="J204" s="191"/>
      <x:c r="K204" s="189"/>
      <x:c r="L204" s="197" t="str">
        <x:f>IF(K204="Up",G204,IF(K204="Down",1-G204,""))</x:f>
      </x:c>
      <x:c r="M204" s="198" t="str">
        <x:f>IF(K204="Up",I204,IF(K204="Down",J204,""))</x:f>
      </x:c>
      <x:c r="N204" s="192"/>
      <x:c r="O204" s="198" t="n">
        <x:f>IF(N204="Taker",M204*'08_Bet_Calculator'!$B$18*(1-M204),0)</x:f>
        <x:v>0</x:v>
      </x:c>
      <x:c r="P204" s="192"/>
      <x:c r="Q204" s="198" t="str">
        <x:f>IF(M204="","",MIN(0.999,M204+O204+P204))</x:f>
      </x:c>
      <x:c r="R204" s="197" t="str">
        <x:f>IF(L204="","",L204-Q204)</x:f>
      </x:c>
      <x:c r="S204" s="197" t="str">
        <x:f>IF(L204="","",L204-'08_Bet_Calculator'!$B$24*H204-Q204-'08_Bet_Calculator'!$B$20)</x:f>
      </x:c>
      <x:c r="T204" s="197" t="n">
        <x:f>IF(OR(L204="",Q204&gt;=1),0,MAX(0,(MAX(0,L204-'08_Bet_Calculator'!$B$24*H204)-Q204)/(1-Q204)))</x:f>
        <x:v>0</x:v>
      </x:c>
      <x:c r="U204" s="197" t="n">
        <x:f>T204*'08_Bet_Calculator'!$B$21</x:f>
        <x:v>0</x:v>
      </x:c>
      <x:c r="V204" s="221"/>
      <x:c r="W204" s="200" t="n">
        <x:f>IF(OR(V204="",S204&lt;=0),0,MIN(V204*U204,V204*'08_Bet_Calculator'!$B$22,'08_Bet_Calculator'!$B$23))</x:f>
        <x:v>0</x:v>
      </x:c>
      <x:c r="X204" s="222" t="n">
        <x:f>IFERROR(W204/Q204,0)</x:f>
        <x:v>0</x:v>
      </x:c>
      <x:c r="Y204" s="189"/>
      <x:c r="Z204" s="196" t="str">
        <x:f>IF(OR(Y204="",K204=""),"",IF(Y204=K204,1,0))</x:f>
      </x:c>
      <x:c r="AA204" s="200" t="str">
        <x:f>IF(Z204="","",X204*(Z204-Q204))</x:f>
      </x:c>
      <x:c r="AB204" s="197" t="str">
        <x:f>IFERROR(AA204/W204,"")</x:f>
      </x:c>
      <x:c r="AC204" s="197" t="str">
        <x:f>IF(Z204="","",(L204-Z204)^2)</x:f>
      </x:c>
      <x:c r="AD204" s="198" t="str">
        <x:f>IF(Z204="","",-(Z204*LN(MAX(0.0001,L204))+(1-Z204)*LN(MAX(0.0001,1-L204))))</x:f>
      </x:c>
      <x:c r="AE204" s="189"/>
      <x:c r="AF204" s="200" t="n">
        <x:f>AF203+IF(AA204="",0,AA204)</x:f>
        <x:v>0</x:v>
      </x:c>
      <x:c r="AG204" s="200" t="n">
        <x:f>MAX(AG203,AF204)</x:f>
        <x:v>0</x:v>
      </x:c>
      <x:c r="AH204" s="200" t="n">
        <x:f>AF204-AG204</x:f>
        <x:v>0</x:v>
      </x:c>
    </x:row>
    <x:row r="205">
      <x:c r="A205" s="189"/>
      <x:c r="B205" s="189"/>
      <x:c r="C205" s="221"/>
      <x:c r="D205" s="189"/>
      <x:c r="E205" s="221"/>
      <x:c r="F205" s="218" t="str">
        <x:f>IFERROR(LN(E205/C205)*10000,"")</x:f>
      </x:c>
      <x:c r="G205" s="191"/>
      <x:c r="H205" s="191"/>
      <x:c r="I205" s="191"/>
      <x:c r="J205" s="191"/>
      <x:c r="K205" s="189"/>
      <x:c r="L205" s="197" t="str">
        <x:f>IF(K205="Up",G205,IF(K205="Down",1-G205,""))</x:f>
      </x:c>
      <x:c r="M205" s="198" t="str">
        <x:f>IF(K205="Up",I205,IF(K205="Down",J205,""))</x:f>
      </x:c>
      <x:c r="N205" s="192"/>
      <x:c r="O205" s="198" t="n">
        <x:f>IF(N205="Taker",M205*'08_Bet_Calculator'!$B$18*(1-M205),0)</x:f>
        <x:v>0</x:v>
      </x:c>
      <x:c r="P205" s="192"/>
      <x:c r="Q205" s="198" t="str">
        <x:f>IF(M205="","",MIN(0.999,M205+O205+P205))</x:f>
      </x:c>
      <x:c r="R205" s="197" t="str">
        <x:f>IF(L205="","",L205-Q205)</x:f>
      </x:c>
      <x:c r="S205" s="197" t="str">
        <x:f>IF(L205="","",L205-'08_Bet_Calculator'!$B$24*H205-Q205-'08_Bet_Calculator'!$B$20)</x:f>
      </x:c>
      <x:c r="T205" s="197" t="n">
        <x:f>IF(OR(L205="",Q205&gt;=1),0,MAX(0,(MAX(0,L205-'08_Bet_Calculator'!$B$24*H205)-Q205)/(1-Q205)))</x:f>
        <x:v>0</x:v>
      </x:c>
      <x:c r="U205" s="197" t="n">
        <x:f>T205*'08_Bet_Calculator'!$B$21</x:f>
        <x:v>0</x:v>
      </x:c>
      <x:c r="V205" s="221"/>
      <x:c r="W205" s="200" t="n">
        <x:f>IF(OR(V205="",S205&lt;=0),0,MIN(V205*U205,V205*'08_Bet_Calculator'!$B$22,'08_Bet_Calculator'!$B$23))</x:f>
        <x:v>0</x:v>
      </x:c>
      <x:c r="X205" s="222" t="n">
        <x:f>IFERROR(W205/Q205,0)</x:f>
        <x:v>0</x:v>
      </x:c>
      <x:c r="Y205" s="189"/>
      <x:c r="Z205" s="196" t="str">
        <x:f>IF(OR(Y205="",K205=""),"",IF(Y205=K205,1,0))</x:f>
      </x:c>
      <x:c r="AA205" s="200" t="str">
        <x:f>IF(Z205="","",X205*(Z205-Q205))</x:f>
      </x:c>
      <x:c r="AB205" s="197" t="str">
        <x:f>IFERROR(AA205/W205,"")</x:f>
      </x:c>
      <x:c r="AC205" s="197" t="str">
        <x:f>IF(Z205="","",(L205-Z205)^2)</x:f>
      </x:c>
      <x:c r="AD205" s="198" t="str">
        <x:f>IF(Z205="","",-(Z205*LN(MAX(0.0001,L205))+(1-Z205)*LN(MAX(0.0001,1-L205))))</x:f>
      </x:c>
      <x:c r="AE205" s="189"/>
      <x:c r="AF205" s="200" t="n">
        <x:f>AF204+IF(AA205="",0,AA205)</x:f>
        <x:v>0</x:v>
      </x:c>
      <x:c r="AG205" s="200" t="n">
        <x:f>MAX(AG204,AF205)</x:f>
        <x:v>0</x:v>
      </x:c>
      <x:c r="AH205" s="200" t="n">
        <x:f>AF205-AG205</x:f>
        <x:v>0</x:v>
      </x:c>
    </x:row>
  </x:sheetData>
  <x:mergeCells>
    <x:mergeCell ref="A1:AH2"/>
  </x:mergeCells>
  <x:conditionalFormatting sqref="S6:S205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3">
    <x:dataValidation type="list" sqref="K6:K205">
      <x:formula1>"Up,Down"</x:formula1>
    </x:dataValidation>
    <x:dataValidation type="list" sqref="N6:N205">
      <x:formula1>"Maker,Taker"</x:formula1>
    </x:dataValidation>
    <x:dataValidation type="list" sqref="Y6:Y205">
      <x:formula1>"Up,Down"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febda8b88f4a6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90" hidden="0" customWidth="1"/>
    <x:col min="4" max="4" width="55" hidden="0" customWidth="1"/>
  </x:cols>
  <x:sheetData>
    <x:row r="1">
      <x:c r="A1" s="143" t="str">
        <x:v>Polymarket BTC 5m — Sources / Data Endpoints</x:v>
      </x:c>
      <x:c r="B1" s="143"/>
      <x:c r="C1" s="143"/>
      <x:c r="D1" s="143"/>
    </x:row>
    <x:row r="2">
      <x:c r="A2" s="143"/>
      <x:c r="B2" s="143"/>
      <x:c r="C2" s="143"/>
      <x:c r="D2" s="143"/>
    </x:row>
    <x:row r="4">
      <x:c r="A4" s="156" t="str">
        <x:v>Topic</x:v>
      </x:c>
      <x:c r="B4" s="156" t="str">
        <x:v>Source</x:v>
      </x:c>
      <x:c r="C4" s="156" t="str">
        <x:v>Plain-text URL</x:v>
      </x:c>
      <x:c r="D4" s="156" t="str">
        <x:v>Use in Model</x:v>
      </x:c>
    </x:row>
    <x:row r="5">
      <x:c r="A5" s="110" t="str">
        <x:v>5-Min BTC markets</x:v>
      </x:c>
      <x:c r="B5" s="110" t="str">
        <x:v>Polymarket 5-Min Crypto</x:v>
      </x:c>
      <x:c r="C5" s="110" t="str">
        <x:v>https://polymarket.com/crypto/5M</x:v>
      </x:c>
      <x:c r="D5" s="110" t="str">
        <x:v>Live event discovery / rules / price-to-beat context</x:v>
      </x:c>
    </x:row>
    <x:row r="6">
      <x:c r="A6" s="110" t="str">
        <x:v>5-Min BTC event example</x:v>
      </x:c>
      <x:c r="B6" s="110" t="str">
        <x:v>Polymarket event page</x:v>
      </x:c>
      <x:c r="C6" s="110" t="str">
        <x:v>https://polymarket.com/event/btc-updown-5m-1786181700</x:v>
      </x:c>
      <x:c r="D6" s="110" t="str">
        <x:v>Shows Up if end &gt;= start and Chainlink BTC/USD resolution source</x:v>
      </x:c>
    </x:row>
    <x:row r="7">
      <x:c r="A7" s="110" t="str">
        <x:v>Prices / orderbook</x:v>
      </x:c>
      <x:c r="B7" s="110" t="str">
        <x:v>Polymarket Docs</x:v>
      </x:c>
      <x:c r="C7" s="110" t="str">
        <x:v>https://docs.polymarket.com/concepts/prices-orderbook</x:v>
      </x:c>
      <x:c r="D7" s="110" t="str">
        <x:v>Price as probability; midpoint vs actual bid/ask; spread mechanics</x:v>
      </x:c>
    </x:row>
    <x:row r="8">
      <x:c r="A8" s="110" t="str">
        <x:v>Fee formula</x:v>
      </x:c>
      <x:c r="B8" s="110" t="str">
        <x:v>Polymarket Docs</x:v>
      </x:c>
      <x:c r="C8" s="110" t="str">
        <x:v>https://docs.polymarket.com/trading/fees</x:v>
      </x:c>
      <x:c r="D8" s="110" t="str">
        <x:v>fee = C × feeRate × p × (1-p); crypto feeRate 0.07; makers 0 fee</x:v>
      </x:c>
    </x:row>
    <x:row r="9">
      <x:c r="A9" s="110" t="str">
        <x:v>Order lifecycle</x:v>
      </x:c>
      <x:c r="B9" s="110" t="str">
        <x:v>Polymarket Docs</x:v>
      </x:c>
      <x:c r="C9" s="110" t="str">
        <x:v>https://docs.polymarket.com/concepts/order-lifecycle</x:v>
      </x:c>
      <x:c r="D9" s="110" t="str">
        <x:v>Limit orders, GTC/GTD/FOK/FAK, post-only maker behavior</x:v>
      </x:c>
    </x:row>
    <x:row r="10">
      <x:c r="A10" s="110" t="str">
        <x:v>Market data overview</x:v>
      </x:c>
      <x:c r="B10" s="110" t="str">
        <x:v>Polymarket Docs</x:v>
      </x:c>
      <x:c r="C10" s="110" t="str">
        <x:v>https://docs.polymarket.com/market-data/overview</x:v>
      </x:c>
      <x:c r="D10" s="110" t="str">
        <x:v>Public REST endpoints; price/orderbook/trades/positions</x:v>
      </x:c>
    </x:row>
    <x:row r="11">
      <x:c r="A11" s="110" t="str">
        <x:v>Real-time crypto prices</x:v>
      </x:c>
      <x:c r="B11" s="110" t="str">
        <x:v>Polymarket RTDS Docs</x:v>
      </x:c>
      <x:c r="C11" s="110" t="str">
        <x:v>https://docs.polymarket.com/market-data/websocket/rtds</x:v>
      </x:c>
      <x:c r="D11" s="110" t="str">
        <x:v>Real-time Binance and Chainlink crypto feeds</x:v>
      </x:c>
    </x:row>
    <x:row r="12">
      <x:c r="A12" s="110" t="str">
        <x:v>CLOB orderbook</x:v>
      </x:c>
      <x:c r="B12" s="110" t="str">
        <x:v>Polymarket Docs</x:v>
      </x:c>
      <x:c r="C12" s="110" t="str">
        <x:v>https://docs.polymarket.com/trading/orderbook</x:v>
      </x:c>
      <x:c r="D12" s="110" t="str">
        <x:v>Best bid/ask, min size, streaming market channel</x:v>
      </x:c>
    </x:row>
    <x:row r="13">
      <x:c r="A13" s="110" t="str">
        <x:v>Price history</x:v>
      </x:c>
      <x:c r="B13" s="110" t="str">
        <x:v>Polymarket Docs</x:v>
      </x:c>
      <x:c r="C13" s="110" t="str">
        <x:v>https://docs.polymarket.com/api-reference/markets/get-prices-history</x:v>
      </x:c>
      <x:c r="D13" s="110" t="str">
        <x:v>Historical probability data for backtests</x:v>
      </x:c>
    </x:row>
    <x:row r="14">
      <x:c r="A14" s="110" t="str">
        <x:v>Last trade prices</x:v>
      </x:c>
      <x:c r="B14" s="110" t="str">
        <x:v>Polymarket Docs</x:v>
      </x:c>
      <x:c r="C14" s="110" t="str">
        <x:v>https://docs.polymarket.com/api-reference/market-data/get-last-trade-prices-query-parameters</x:v>
      </x:c>
      <x:c r="D14" s="110" t="str">
        <x:v>Latest executed trade data</x:v>
      </x:c>
    </x:row>
    <x:row r="15">
      <x:c r="A15" s="110" t="str">
        <x:v>Market channel</x:v>
      </x:c>
      <x:c r="B15" s="110" t="str">
        <x:v>Polymarket Docs</x:v>
      </x:c>
      <x:c r="C15" s="110" t="str">
        <x:v>https://docs.polymarket.com/market-data/websocket/market-channel</x:v>
      </x:c>
      <x:c r="D15" s="110" t="str">
        <x:v>Real-time book changes, trades, price updates</x:v>
      </x:c>
    </x:row>
    <x:row r="16">
      <x:c r="A16" s="110" t="str">
        <x:v>Resolution</x:v>
      </x:c>
      <x:c r="B16" s="110" t="str">
        <x:v>Polymarket Docs</x:v>
      </x:c>
      <x:c r="C16" s="110" t="str">
        <x:v>https://docs.polymarket.com/concepts/resolution</x:v>
      </x:c>
      <x:c r="D16" s="110" t="str">
        <x:v>Winning tokens redeem for $1; market-specific rules govern outcome</x:v>
      </x:c>
    </x:row>
    <x:row r="17">
      <x:c r="A17" s="110" t="str">
        <x:v>5-Min market launch / fee note</x:v>
      </x:c>
      <x:c r="B17" s="110" t="str">
        <x:v>Polymarket Changelog</x:v>
      </x:c>
      <x:c r="C17" s="110" t="str">
        <x:v>https://docs.polymarket.com/changelog</x:v>
      </x:c>
      <x:c r="D17" s="110" t="str">
        <x:v>5-minute crypto markets launched Feb. 12, 2026 with taker fees/maker rebates</x:v>
      </x:c>
    </x:row>
    <x:row r="20">
      <x:c r="A20" s="280" t="str">
        <x:v>v3 — Prediction Market Game Theory &amp; 2026 Polymarket Research</x:v>
      </x:c>
      <x:c r="B20" s="280"/>
      <x:c r="C20" s="280"/>
      <x:c r="D20" s="280"/>
    </x:row>
    <x:row r="21">
      <x:c r="A21" s="273" t="str">
        <x:v>Topic</x:v>
      </x:c>
      <x:c r="B21" s="273" t="str">
        <x:v>Source</x:v>
      </x:c>
      <x:c r="C21" s="273" t="str">
        <x:v>Plain-text URL</x:v>
      </x:c>
      <x:c r="D21" s="273" t="str">
        <x:v>Use in Model</x:v>
      </x:c>
    </x:row>
    <x:row r="22">
      <x:c r="A22" s="110" t="str">
        <x:v>Strategic aggregation</x:v>
      </x:c>
      <x:c r="B22" s="110" t="str">
        <x:v>Ostrovsky — Information Aggregation in Dynamic Markets with Strategic Traders</x:v>
      </x:c>
      <x:c r="C22" s="110" t="str">
        <x:v>https://web.stanford.edu/~ost/papers/aggregation.pdf</x:v>
      </x:c>
      <x:c r="D22" s="110" t="str">
        <x:v>Dynamic market-prior weight / strategic information aggregation</x:v>
      </x:c>
    </x:row>
    <x:row r="23">
      <x:c r="A23" s="110" t="str">
        <x:v>Bluffing / reticence</x:v>
      </x:c>
      <x:c r="B23" s="110" t="str">
        <x:v>Chen et al. — Gaming Prediction Markets</x:v>
      </x:c>
      <x:c r="C23" s="110" t="str">
        <x:v>https://lance.fortnow.com/papers/files/bluffing.pdf</x:v>
      </x:c>
      <x:c r="D23" s="110" t="str">
        <x:v>Opponent sequencing; partial revelation</x:v>
      </x:c>
    </x:row>
    <x:row r="24">
      <x:c r="A24" s="110" t="str">
        <x:v>Outcome manipulation</x:v>
      </x:c>
      <x:c r="B24" s="110" t="str">
        <x:v>Chakraborty &amp; Das — Trading on a Rigged Game</x:v>
      </x:c>
      <x:c r="C24" s="110" t="str">
        <x:v>https://www.ijcai.org/Proceedings/16/Papers/030.pdf</x:v>
      </x:c>
      <x:c r="D24" s="110" t="str">
        <x:v>Endogenous outcome / settlement risk</x:v>
      </x:c>
    </x:row>
    <x:row r="25">
      <x:c r="A25" s="110" t="str">
        <x:v>Manipulation experiment</x:v>
      </x:c>
      <x:c r="B25" s="110" t="str">
        <x:v>Hanson, Oprea &amp; Porter</x:v>
      </x:c>
      <x:c r="C25" s="110" t="str">
        <x:v>https://hanson.gmu.edu/biastest.pdf</x:v>
      </x:c>
      <x:c r="D25" s="110" t="str">
        <x:v>Counter-trading and manipulation persistence intuition</x:v>
      </x:c>
    </x:row>
    <x:row r="26">
      <x:c r="A26" s="110" t="str">
        <x:v>Manipulability field experiment</x:v>
      </x:c>
      <x:c r="B26" s="110" t="str">
        <x:v>Rasooly &amp; Rozzi 2025</x:v>
      </x:c>
      <x:c r="C26" s="110" t="str">
        <x:v>https://arxiv.org/abs/2503.03312</x:v>
      </x:c>
      <x:c r="D26" s="110" t="str">
        <x:v>Liquidity/external-source resilience</x:v>
      </x:c>
    </x:row>
    <x:row r="27">
      <x:c r="A27" s="110" t="str">
        <x:v>Whale/herding</x:v>
      </x:c>
      <x:c r="B27" s="110" t="str">
        <x:v>Smart et al. 2026</x:v>
      </x:c>
      <x:c r="C27" s="110" t="str">
        <x:v>https://arxiv.org/abs/2601.20452</x:v>
      </x:c>
      <x:c r="D27" s="110" t="str">
        <x:v>Whale impact + herding risk</x:v>
      </x:c>
    </x:row>
    <x:row r="28">
      <x:c r="A28" s="110" t="str">
        <x:v>Polymarket CLOB anatomy</x:v>
      </x:c>
      <x:c r="B28" s="110" t="str">
        <x:v>Dubach 2026</x:v>
      </x:c>
      <x:c r="C28" s="110" t="str">
        <x:v>https://arxiv.org/abs/2604.24366</x:v>
      </x:c>
      <x:c r="D28" s="110" t="str">
        <x:v>Depth decay; authoritative trade direction</x:v>
      </x:c>
    </x:row>
    <x:row r="29">
      <x:c r="A29" s="110" t="str">
        <x:v>Polymarket ground-truth database</x:v>
      </x:c>
      <x:c r="B29" s="110" t="str">
        <x:v>Qin &amp; Yang 2026</x:v>
      </x:c>
      <x:c r="C29" s="110" t="str">
        <x:v>https://arxiv.org/abs/2606.04217</x:v>
      </x:c>
      <x:c r="D29" s="110" t="str">
        <x:v>Aggressor side / VPIN / OFI quality</x:v>
      </x:c>
    </x:row>
    <x:row r="30">
      <x:c r="A30" s="110" t="str">
        <x:v>BTC 5m settlement manipulation</x:v>
      </x:c>
      <x:c r="B30" s="110" t="str">
        <x:v>Dai, Jia &amp; Yu 2026</x:v>
      </x:c>
      <x:c r="C30" s="110" t="str">
        <x:v>https://arxiv.org/abs/2606.31675</x:v>
      </x:c>
      <x:c r="D30" s="110" t="str">
        <x:v>Defensive final-seconds risk gate</x:v>
      </x:c>
    </x:row>
    <x:row r="31">
      <x:c r="A31" s="110" t="str">
        <x:v>Forecast-to-trade benchmark</x:v>
      </x:c>
      <x:c r="B31" s="110" t="str">
        <x:v>PolyBench 2026</x:v>
      </x:c>
      <x:c r="C31" s="110" t="str">
        <x:v>https://arxiv.org/abs/2604.14199</x:v>
      </x:c>
      <x:c r="D31" s="110" t="str">
        <x:v>Confidence vs realistic execution return</x:v>
      </x:c>
    </x:row>
    <x:row r="32">
      <x:c r="A32" s="110" t="str">
        <x:v>Belief-to-trade layer</x:v>
      </x:c>
      <x:c r="B32" s="110" t="str">
        <x:v>Wang et al. 2026</x:v>
      </x:c>
      <x:c r="C32" s="110" t="str">
        <x:v>https://arxiv.org/abs/2607.03015</x:v>
      </x:c>
      <x:c r="D32" s="110" t="str">
        <x:v>Fractional Kelly + deterministic risk layer</x:v>
      </x:c>
    </x:row>
    <x:row r="33">
      <x:c r="A33" s="110" t="str">
        <x:v>PM-Binance synchronized data</x:v>
      </x:c>
      <x:c r="B33" s="110" t="str">
        <x:v>OpenMarket 2026</x:v>
      </x:c>
      <x:c r="C33" s="110" t="str">
        <x:v>https://arxiv.org/abs/2607.26245</x:v>
      </x:c>
      <x:c r="D33" s="110" t="str">
        <x:v>Lead-lag OOS null benchmark / synchronization</x:v>
      </x:c>
    </x:row>
    <x:row r="34">
      <x:c r="A34" s="110" t="str">
        <x:v>Non-retail fill-side</x:v>
      </x:c>
      <x:c r="B34" s="110" t="str">
        <x:v>Nechepurenko 2026</x:v>
      </x:c>
      <x:c r="C34" s="110" t="str">
        <x:v>https://arxiv.org/abs/2605.11640</x:v>
      </x:c>
      <x:c r="D34" s="110" t="str">
        <x:v>Whale tiers; address-level quote attribution limits</x:v>
      </x:c>
    </x:row>
  </x:sheetData>
  <x:mergeCells>
    <x:mergeCell ref="A1:D2"/>
    <x:mergeCell ref="A20:D20"/>
  </x:mergeCells>
  <x:pageMargins left="0.7" right="0.7" top="0.75" bottom="0.75" header="0.3" footer="0.3"/>
  <x:tableParts count="1">
    <x:tablePart xmlns:r="http://schemas.openxmlformats.org/officeDocument/2006/relationships" r:id="Rce981596bdeb423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50" hidden="0" customWidth="1"/>
    <x:col min="4" max="4" width="40" hidden="0" customWidth="1"/>
    <x:col min="5" max="5" width="29" hidden="0" customWidth="1"/>
    <x:col min="6" max="6" width="28" hidden="0" customWidth="1"/>
    <x:col min="7" max="7" width="45" hidden="0" customWidth="1"/>
    <x:col min="8" max="8" width="58" hidden="0" customWidth="1"/>
    <x:col min="9" max="9" width="25" hidden="0" customWidth="1"/>
    <x:col min="10" max="10" width="55" hidden="0" customWidth="1"/>
    <x:col min="11" max="11" width="50" hidden="0" customWidth="1"/>
    <x:col min="12" max="12" width="78" hidden="0" customWidth="1"/>
  </x:cols>
  <x:sheetData>
    <x:row r="1">
      <x:c r="A1" s="265" t="str">
        <x:v>Prediction Market Game Theory — 经典理论 + Polymarket 2025–2026 前沿文献</x:v>
      </x:c>
      <x:c r="B1" s="265"/>
      <x:c r="C1" s="265"/>
      <x:c r="D1" s="265"/>
      <x:c r="E1" s="265"/>
      <x:c r="F1" s="265"/>
      <x:c r="G1" s="265"/>
      <x:c r="H1" s="265"/>
      <x:c r="I1" s="265"/>
      <x:c r="J1" s="265"/>
      <x:c r="K1" s="265"/>
      <x:c r="L1" s="265"/>
    </x:row>
    <x:row r="2">
      <x:c r="A2" s="265"/>
      <x:c r="B2" s="265"/>
      <x:c r="C2" s="265"/>
      <x:c r="D2" s="265"/>
      <x:c r="E2" s="265"/>
      <x:c r="F2" s="265"/>
      <x:c r="G2" s="265"/>
      <x:c r="H2" s="265"/>
      <x:c r="I2" s="265"/>
      <x:c r="J2" s="265"/>
      <x:c r="K2" s="265"/>
      <x:c r="L2" s="265"/>
    </x:row>
    <x:row r="3">
      <x:c r="A3" s="268" t="str">
        <x:v>定位：补齐普通金融微观结构之外的 prediction-market 专属理论，包括信息聚合、strategic reticence/bluffing、market scoring rules、操纵/反操纵、outcome manipulation、whale/herding、Polymarket CLOB 微观结构与 belief-to-trade/risk layer。</x:v>
      </x:c>
      <x:c r="B3" s="268"/>
      <x:c r="C3" s="268"/>
      <x:c r="D3" s="268"/>
      <x:c r="E3" s="268"/>
      <x:c r="F3" s="268"/>
      <x:c r="G3" s="268"/>
      <x:c r="H3" s="268"/>
      <x:c r="I3" s="268"/>
      <x:c r="J3" s="268"/>
      <x:c r="K3" s="268"/>
      <x:c r="L3" s="268"/>
    </x:row>
    <x:row r="5">
      <x:c r="A5" s="273" t="str">
        <x:v>Year</x:v>
      </x:c>
      <x:c r="B5" s="273" t="str">
        <x:v>Tier</x:v>
      </x:c>
      <x:c r="C5" s="273" t="str">
        <x:v>Paper</x:v>
      </x:c>
      <x:c r="D5" s="273" t="str">
        <x:v>Authors</x:v>
      </x:c>
      <x:c r="E5" s="273" t="str">
        <x:v>Venue / Status</x:v>
      </x:c>
      <x:c r="F5" s="273" t="str">
        <x:v>Family</x:v>
      </x:c>
      <x:c r="G5" s="273" t="str">
        <x:v>Game-Theory Mechanism</x:v>
      </x:c>
      <x:c r="H5" s="273" t="str">
        <x:v>Key Finding</x:v>
      </x:c>
      <x:c r="I5" s="273" t="str">
        <x:v>BTC 5m Relevance</x:v>
      </x:c>
      <x:c r="J5" s="273" t="str">
        <x:v>Actionable Use</x:v>
      </x:c>
      <x:c r="K5" s="273" t="str">
        <x:v>Caveat / Transferability</x:v>
      </x:c>
      <x:c r="L5" s="273" t="str">
        <x:v>Source URL</x:v>
      </x:c>
    </x:row>
    <x:row r="6">
      <x:c r="A6" s="110" t="n">
        <x:v>2003</x:v>
      </x:c>
      <x:c r="B6" s="110" t="str">
        <x:v>Canonical</x:v>
      </x:c>
      <x:c r="C6" s="110" t="str">
        <x:v>Combinatorial Information Market Design</x:v>
      </x:c>
      <x:c r="D6" s="110" t="str">
        <x:v>Robin Hanson</x:v>
      </x:c>
      <x:c r="E6" s="110" t="str">
        <x:v>Information Systems Frontiers</x:v>
      </x:c>
      <x:c r="F6" s="110" t="str">
        <x:v>Market design / scoring rule</x:v>
      </x:c>
      <x:c r="G6" s="110" t="str">
        <x:v>Market scoring rules / bounded-loss AMM / information aggregation</x:v>
      </x:c>
      <x:c r="H6" s="110" t="str">
        <x:v>Introduces market scoring rule design and logarithmic variants for aggregating probabilistic information.</x:v>
      </x:c>
      <x:c r="I6" s="110" t="str">
        <x:v>Indirect but foundational</x:v>
      </x:c>
      <x:c r="J6" s="110" t="str">
        <x:v>Understand price-as-belief aggregation; benchmark CLOB against alternative mechanisms</x:v>
      </x:c>
      <x:c r="K6" s="110" t="str">
        <x:v>Polymarket is CLOB, not LMSR; use as theory of belief revelation, not execution model</x:v>
      </x:c>
      <x:c r="L6" s="110" t="str">
        <x:v>https://hanson.gmu.edu/mktscore.pdf</x:v>
      </x:c>
    </x:row>
    <x:row r="7">
      <x:c r="A7" s="110" t="n">
        <x:v>2006</x:v>
      </x:c>
      <x:c r="B7" s="110" t="str">
        <x:v>Canonical</x:v>
      </x:c>
      <x:c r="C7" s="110" t="str">
        <x:v>Information Aggregation and Manipulation in an Experimental Market</x:v>
      </x:c>
      <x:c r="D7" s="110" t="str">
        <x:v>Robin Hanson; Ryan Oprea; David Porter</x:v>
      </x:c>
      <x:c r="E7" s="110" t="str">
        <x:v>Journal of Economic Behavior &amp; Organization</x:v>
      </x:c>
      <x:c r="F7" s="110" t="str">
        <x:v>Manipulation / counter-trading</x:v>
      </x:c>
      <x:c r="G7" s="110" t="str">
        <x:v>Manipulator vs informed counter-traders</x:v>
      </x:c>
      <x:c r="H7" s="110" t="str">
        <x:v>Experimental evidence that attempts to distort prices can induce profitable counter-trading and need not permanently destroy information aggregation.</x:v>
      </x:c>
      <x:c r="I7" s="110" t="str">
        <x:v>High</x:v>
      </x:c>
      <x:c r="J7" s="110" t="str">
        <x:v>Whale shock should be classified by persistence, counterflow and underlying confirmation rather than automatically followed</x:v>
      </x:c>
      <x:c r="K7" s="110" t="str">
        <x:v>Lab/futures setting differs from 5m crypto CLOB</x:v>
      </x:c>
      <x:c r="L7" s="110" t="str">
        <x:v>https://hanson.gmu.edu/biastest.pdf</x:v>
      </x:c>
    </x:row>
    <x:row r="8">
      <x:c r="A8" s="110" t="n">
        <x:v>2007</x:v>
      </x:c>
      <x:c r="B8" s="110" t="str">
        <x:v>Canonical</x:v>
      </x:c>
      <x:c r="C8" s="110" t="str">
        <x:v>Logarithmic Market Scoring Rules for Modular Combinatorial Information Aggregation</x:v>
      </x:c>
      <x:c r="D8" s="110" t="str">
        <x:v>Robin Hanson</x:v>
      </x:c>
      <x:c r="E8" s="110" t="str">
        <x:v>Journal of Prediction Markets</x:v>
      </x:c>
      <x:c r="F8" s="110" t="str">
        <x:v>Market design / LMSR</x:v>
      </x:c>
      <x:c r="G8" s="110" t="str">
        <x:v>Proper scoring rule / truthful myopic revelation</x:v>
      </x:c>
      <x:c r="H8" s="110" t="str">
        <x:v>Formalizes LMSR-style probability pricing with bounded market-maker loss.</x:v>
      </x:c>
      <x:c r="I8" s="110" t="str">
        <x:v>Indirect</x:v>
      </x:c>
      <x:c r="J8" s="110" t="str">
        <x:v>Useful benchmark for probability aggregation and market-maker response</x:v>
      </x:c>
      <x:c r="K8" s="110" t="str">
        <x:v>Not Polymarket's mechanism</x:v>
      </x:c>
      <x:c r="L8" s="110" t="str">
        <x:v>https://hanson.gmu.edu/mktscore.pdf</x:v>
      </x:c>
    </x:row>
    <x:row r="9">
      <x:c r="A9" s="110" t="n">
        <x:v>2007</x:v>
      </x:c>
      <x:c r="B9" s="110" t="str">
        <x:v>Canonical</x:v>
      </x:c>
      <x:c r="C9" s="110" t="str">
        <x:v>Bluffing and Strategic Reticence in Prediction Markets</x:v>
      </x:c>
      <x:c r="D9" s="110" t="str">
        <x:v>Yiling Chen; Daniel M. Reeves; David M. Pennock; Robin D. Hanson; Lance Fortnow; Rica Gonen</x:v>
      </x:c>
      <x:c r="E9" s="110" t="str">
        <x:v>WINE 2007</x:v>
      </x:c>
      <x:c r="F9" s="110" t="str">
        <x:v>Strategic information revelation</x:v>
      </x:c>
      <x:c r="G9" s="110" t="str">
        <x:v>Dynamic game / bluffing / reticence</x:v>
      </x:c>
      <x:c r="H9" s="110" t="str">
        <x:v>Informed traders can benefit from partially withholding information or bluffing when they anticipate future informed traders.</x:v>
      </x:c>
      <x:c r="I9" s="110" t="str">
        <x:v>Very High</x:v>
      </x:c>
      <x:c r="J9" s="110" t="str">
        <x:v>Do not infer true belief mechanically from one trade; measure strategic under-revelation and delayed conviction</x:v>
      </x:c>
      <x:c r="K9" s="110" t="str">
        <x:v>Original models focus on automated market makers, but strategic-revelation insight transfers</x:v>
      </x:c>
      <x:c r="L9" s="110" t="str">
        <x:v>https://yiling.seas.harvard.edu/files/2025/01/bluffing-long-appendix.pdf</x:v>
      </x:c>
    </x:row>
    <x:row r="10">
      <x:c r="A10" s="110" t="n">
        <x:v>2008</x:v>
      </x:c>
      <x:c r="B10" s="110" t="str">
        <x:v>Canonical</x:v>
      </x:c>
      <x:c r="C10" s="110" t="str">
        <x:v>Non-myopic Strategies in Prediction Markets</x:v>
      </x:c>
      <x:c r="D10" s="110" t="str">
        <x:v>Stanko Dimitrov; Rahul Sami</x:v>
      </x:c>
      <x:c r="E10" s="110" t="str">
        <x:v>Prediction Markets 2007/working paper lineage</x:v>
      </x:c>
      <x:c r="F10" s="110" t="str">
        <x:v>Strategic information revelation</x:v>
      </x:c>
      <x:c r="G10" s="110" t="str">
        <x:v>Non-myopic dynamic strategy</x:v>
      </x:c>
      <x:c r="H10" s="110" t="str">
        <x:v>Myopic truth-telling can fail when traders internalize future trading opportunities and price impact.</x:v>
      </x:c>
      <x:c r="I10" s="110" t="str">
        <x:v>High</x:v>
      </x:c>
      <x:c r="J10" s="110" t="str">
        <x:v>Build opponent model around future-option value of waiting / shading orders</x:v>
      </x:c>
      <x:c r="K10" s="110" t="str">
        <x:v>Mechanism assumptions vary from CLOB</x:v>
      </x:c>
      <x:c r="L10" s="110" t="str">
        <x:v>https://www.betforgood.com/events/pm2007/papers/manip.pdf</x:v>
      </x:c>
    </x:row>
    <x:row r="11">
      <x:c r="A11" s="110" t="n">
        <x:v>2009</x:v>
      </x:c>
      <x:c r="B11" s="110" t="str">
        <x:v>Canonical</x:v>
      </x:c>
      <x:c r="C11" s="110" t="str">
        <x:v>A Manipulator Can Aid Prediction Market Accuracy</x:v>
      </x:c>
      <x:c r="D11" s="110" t="str">
        <x:v>Robin Hanson; Ryan Oprea</x:v>
      </x:c>
      <x:c r="E11" s="110" t="str">
        <x:v>Economica</x:v>
      </x:c>
      <x:c r="F11" s="110" t="str">
        <x:v>Manipulation / information aggregation</x:v>
      </x:c>
      <x:c r="G11" s="110" t="str">
        <x:v>Manipulator vs rational counter-traders</x:v>
      </x:c>
      <x:c r="H11" s="110" t="str">
        <x:v>A manipulator may create profit opportunities for informed traders, potentially improving accuracy under some conditions.</x:v>
      </x:c>
      <x:c r="I11" s="110" t="str">
        <x:v>High</x:v>
      </x:c>
      <x:c r="J11" s="110" t="str">
        <x:v>Whale-induced dislocations may be fade opportunities when underlying does not confirm</x:v>
      </x:c>
      <x:c r="K11" s="110" t="str">
        <x:v>Does not imply all manipulation is harmless; 2025–26 evidence shows persistence can occur</x:v>
      </x:c>
      <x:c r="L11" s="110" t="str">
        <x:v>https://hanson.gmu.edu/biastest.pdf</x:v>
      </x:c>
    </x:row>
    <x:row r="12">
      <x:c r="A12" s="110" t="n">
        <x:v>2010</x:v>
      </x:c>
      <x:c r="B12" s="110" t="str">
        <x:v>Canonical</x:v>
      </x:c>
      <x:c r="C12" s="110" t="str">
        <x:v>Gaming Prediction Markets: Equilibrium Strategies with a Market Maker</x:v>
      </x:c>
      <x:c r="D12" s="110" t="str">
        <x:v>Yiling Chen; Stanko Dimitrov; Rahul Sami; Daniel M. Reeves; David M. Pennock; Robin D. Hanson; Lance Fortnow; Rica Gonen</x:v>
      </x:c>
      <x:c r="E12" s="110" t="str">
        <x:v>Algorithmica</x:v>
      </x:c>
      <x:c r="F12" s="110" t="str">
        <x:v>Strategic betting</x:v>
      </x:c>
      <x:c r="G12" s="110" t="str">
        <x:v>Equilibrium strategies / bluffing / non-myopic informed traders</x:v>
      </x:c>
      <x:c r="H12" s="110" t="str">
        <x:v>Characterizes when truthful betting emerges and when strategic traders shade or delay information revelation.</x:v>
      </x:c>
      <x:c r="I12" s="110" t="str">
        <x:v>Very High</x:v>
      </x:c>
      <x:c r="J12" s="110" t="str">
        <x:v>High-conviction flow should be inferred from sequences, not single orders; inactivity may itself be strategic</x:v>
      </x:c>
      <x:c r="K12" s="110" t="str">
        <x:v>Automated market-maker setting; adapt logic to CLOB</x:v>
      </x:c>
      <x:c r="L12" s="110" t="str">
        <x:v>https://lance.fortnow.com/papers/files/bluffing.pdf</x:v>
      </x:c>
    </x:row>
    <x:row r="13">
      <x:c r="A13" s="110" t="n">
        <x:v>2010</x:v>
      </x:c>
      <x:c r="B13" s="110" t="str">
        <x:v>Canonical</x:v>
      </x:c>
      <x:c r="C13" s="110" t="str">
        <x:v>A New Understanding of Prediction Markets Via No-Regret Learning</x:v>
      </x:c>
      <x:c r="D13" s="110" t="str">
        <x:v>Yiling Chen; Jennifer Wortman Vaughan</x:v>
      </x:c>
      <x:c r="E13" s="110" t="str">
        <x:v>ACM EC / arXiv</x:v>
      </x:c>
      <x:c r="F13" s="110" t="str">
        <x:v>Learning in markets</x:v>
      </x:c>
      <x:c r="G13" s="110" t="str">
        <x:v>No-regret learning / FTRL equivalence</x:v>
      </x:c>
      <x:c r="H13" s="110" t="str">
        <x:v>Connects cost-function prediction markets and market scoring rules to no-regret learning algorithms.</x:v>
      </x:c>
      <x:c r="I13" s="110" t="str">
        <x:v>Medium</x:v>
      </x:c>
      <x:c r="J13" s="110" t="str">
        <x:v>Useful conceptual basis for adaptive crowd/opponent learning and regime drift</x:v>
      </x:c>
      <x:c r="K13" s="110" t="str">
        <x:v>Less direct for CLOB execution</x:v>
      </x:c>
      <x:c r="L13" s="110" t="str">
        <x:v>https://arxiv.org/abs/1003.0034</x:v>
      </x:c>
    </x:row>
    <x:row r="14">
      <x:c r="A14" s="110" t="n">
        <x:v>2011</x:v>
      </x:c>
      <x:c r="B14" s="110" t="str">
        <x:v>Important</x:v>
      </x:c>
      <x:c r="C14" s="110" t="str">
        <x:v>Machine Learning Markets</x:v>
      </x:c>
      <x:c r="D14" s="110" t="str">
        <x:v>Amos Storkey</x:v>
      </x:c>
      <x:c r="E14" s="110" t="str">
        <x:v>AISTATS / PMLR</x:v>
      </x:c>
      <x:c r="F14" s="110" t="str">
        <x:v>Agent markets / ML</x:v>
      </x:c>
      <x:c r="G14" s="110" t="str">
        <x:v>Market of heterogeneous probabilistic agents</x:v>
      </x:c>
      <x:c r="H14" s="110" t="str">
        <x:v>Shows market dynamics can implement probabilistic inference with machine-learning agents trading outcome securities.</x:v>
      </x:c>
      <x:c r="I14" s="110" t="str">
        <x:v>Medium</x:v>
      </x:c>
      <x:c r="J14" s="110" t="str">
        <x:v>Supports multi-model / agent ensemble interpretation of odds formation</x:v>
      </x:c>
      <x:c r="K14" s="110" t="str">
        <x:v>Not Polymarket-specific</x:v>
      </x:c>
      <x:c r="L14" s="110" t="str">
        <x:v>https://proceedings.mlr.press/v15/storkey11a/storkey11a.pdf</x:v>
      </x:c>
    </x:row>
    <x:row r="15">
      <x:c r="A15" s="110" t="n">
        <x:v>2012</x:v>
      </x:c>
      <x:c r="B15" s="110" t="str">
        <x:v>Canonical</x:v>
      </x:c>
      <x:c r="C15" s="110" t="str">
        <x:v>Information Aggregation in Dynamic Markets With Strategic Traders</x:v>
      </x:c>
      <x:c r="D15" s="110" t="str">
        <x:v>Michael Ostrovsky</x:v>
      </x:c>
      <x:c r="E15" s="110" t="str">
        <x:v>Econometrica</x:v>
      </x:c>
      <x:c r="F15" s="110" t="str">
        <x:v>Information aggregation</x:v>
      </x:c>
      <x:c r="G15" s="110" t="str">
        <x:v>Finite strategic traders / dynamic equilibrium</x:v>
      </x:c>
      <x:c r="H15" s="110" t="str">
        <x:v>For separable securities, prices converge near the end toward expectations conditional on pooled information, despite strategic trading.</x:v>
      </x:c>
      <x:c r="I15" s="110" t="str">
        <x:v>Very High</x:v>
      </x:c>
      <x:c r="J15" s="110" t="str">
        <x:v>Near settlement, price can become more informative—but only if security/info structure supports aggregation; use time-dependent weight on market prior</x:v>
      </x:c>
      <x:c r="K15" s="110" t="str">
        <x:v>Theory assumes idealized strategic market; microstructure/frictions matter</x:v>
      </x:c>
      <x:c r="L15" s="110" t="str">
        <x:v>https://web.stanford.edu/~ost/papers/aggregation.pdf</x:v>
      </x:c>
    </x:row>
    <x:row r="16">
      <x:c r="A16" s="110" t="n">
        <x:v>2012</x:v>
      </x:c>
      <x:c r="B16" s="110" t="str">
        <x:v>Important</x:v>
      </x:c>
      <x:c r="C16" s="110" t="str">
        <x:v>A Bayesian Market Maker</x:v>
      </x:c>
      <x:c r="D16" s="110" t="str">
        <x:v>Aseem Brahma; Mithun Chakraborty; Sanmay Das; Allen Lavoie; Malik Magdon-Ismail</x:v>
      </x:c>
      <x:c r="E16" s="110" t="str">
        <x:v>ACM EC</x:v>
      </x:c>
      <x:c r="F16" s="110" t="str">
        <x:v>Bayesian market making</x:v>
      </x:c>
      <x:c r="G16" s="110" t="str">
        <x:v>Market maker learns informational content of trades</x:v>
      </x:c>
      <x:c r="H16" s="110" t="str">
        <x:v>Binary-market Bayesian maker explicitly updates beliefs based on trades rather than treating order flow as exogenous.</x:v>
      </x:c>
      <x:c r="I16" s="110" t="str">
        <x:v>High</x:v>
      </x:c>
      <x:c r="J16" s="110" t="str">
        <x:v>Maps naturally to P(informed | PM flow) and market-vs-model belief updating</x:v>
      </x:c>
      <x:c r="K16" s="110" t="str">
        <x:v>Different market-maker mechanism</x:v>
      </x:c>
      <x:c r="L16" s="110" t="str">
        <x:v>https://people.cs.vt.edu/~sanmay/papers/bmm-ec.pdf</x:v>
      </x:c>
    </x:row>
    <x:row r="17">
      <x:c r="A17" s="110" t="n">
        <x:v>2012</x:v>
      </x:c>
      <x:c r="B17" s="110" t="str">
        <x:v>Important</x:v>
      </x:c>
      <x:c r="C17" s="110" t="str">
        <x:v>Aggregation and Manipulation in Prediction Markets: Effects of Trading Mechanism and Information Distribution</x:v>
      </x:c>
      <x:c r="D17" s="110" t="str">
        <x:v>Lian Jian; Rahul Sami</x:v>
      </x:c>
      <x:c r="E17" s="110" t="str">
        <x:v>Management Science</x:v>
      </x:c>
      <x:c r="F17" s="110" t="str">
        <x:v>Manipulation / market mechanism</x:v>
      </x:c>
      <x:c r="G17" s="110" t="str">
        <x:v>Manipulation robustness depends on mechanism and information distribution</x:v>
      </x:c>
      <x:c r="H17" s="110" t="str">
        <x:v>Shows aggregation/manipulation outcomes depend materially on how information is distributed and the trading mechanism.</x:v>
      </x:c>
      <x:c r="I17" s="110" t="str">
        <x:v>High</x:v>
      </x:c>
      <x:c r="J17" s="110" t="str">
        <x:v>Use liquidity, trader count/heterogeneity and independent information sources in manipulation-risk score</x:v>
      </x:c>
      <x:c r="K17" s="110" t="str">
        <x:v>Not BTC-specific</x:v>
      </x:c>
      <x:c r="L17" s="110" t="str">
        <x:v>https://pubsonline.informs.org/doi/10.1287/mnsc.1110.1405</x:v>
      </x:c>
    </x:row>
    <x:row r="18">
      <x:c r="A18" s="110" t="n">
        <x:v>2013</x:v>
      </x:c>
      <x:c r="B18" s="110" t="str">
        <x:v>Important</x:v>
      </x:c>
      <x:c r="C18" s="110" t="str">
        <x:v>Affecting Policy by Manipulating Prediction Markets: Experimental Evidence</x:v>
      </x:c>
      <x:c r="D18" s="110" t="str">
        <x:v>Cary Deck; Shengle Lin; David Porter</x:v>
      </x:c>
      <x:c r="E18" s="110" t="str">
        <x:v>Journal of Economic Behavior &amp; Organization</x:v>
      </x:c>
      <x:c r="F18" s="110" t="str">
        <x:v>Manipulation / reflexivity</x:v>
      </x:c>
      <x:c r="G18" s="110" t="str">
        <x:v>Prediction-market position can alter incentives/actions</x:v>
      </x:c>
      <x:c r="H18" s="110" t="str">
        <x:v>Studies environments where market trades can affect decisions or outcomes, creating reflexive incentives.</x:v>
      </x:c>
      <x:c r="I18" s="110" t="str">
        <x:v>High</x:v>
      </x:c>
      <x:c r="J18" s="110" t="str">
        <x:v>Conceptual precursor to settlement/outcome manipulation; separate 'price manipulation' from 'outcome manipulation'</x:v>
      </x:c>
      <x:c r="K18" s="110" t="str">
        <x:v>Different institutional setting</x:v>
      </x:c>
      <x:c r="L18" s="110" t="str">
        <x:v>https://www.chapman.edu/esi/wp/porter_affectingpolicymanipulatingpredictionmarkets.pdf</x:v>
      </x:c>
    </x:row>
    <x:row r="19">
      <x:c r="A19" s="110" t="n">
        <x:v>2015</x:v>
      </x:c>
      <x:c r="B19" s="110" t="str">
        <x:v>Important</x:v>
      </x:c>
      <x:c r="C19" s="110" t="str">
        <x:v>Market Scoring Rules Act As Opinion Pools For Risk-Averse Agents</x:v>
      </x:c>
      <x:c r="D19" s="110" t="str">
        <x:v>Mithun Chakraborty; Sanmay Das</x:v>
      </x:c>
      <x:c r="E19" s="110" t="str">
        <x:v>NeurIPS</x:v>
      </x:c>
      <x:c r="F19" s="110" t="str">
        <x:v>Risk aversion / aggregation</x:v>
      </x:c>
      <x:c r="G19" s="110" t="str">
        <x:v>Risk preferences affect aggregation weights</x:v>
      </x:c>
      <x:c r="H19" s="110" t="str">
        <x:v>Shows scoring-rule prices aggregate beliefs according to risk attitudes and constraints, not simple equal-weight truth.</x:v>
      </x:c>
      <x:c r="I19" s="110" t="str">
        <x:v>Medium-High</x:v>
      </x:c>
      <x:c r="J19" s="110" t="str">
        <x:v>Market odds should not be treated as unweighted crowd probability; bankroll/risk capacity affects marginal price</x:v>
      </x:c>
      <x:c r="K19" s="110" t="str">
        <x:v>MSR mechanism rather than CLOB</x:v>
      </x:c>
      <x:c r="L19" s="110" t="str">
        <x:v>https://papers.nips.cc/paper_files/paper/2015/file/2bd7f907b7f5b6bbd91822c0c7b835f6-Paper.pdf</x:v>
      </x:c>
    </x:row>
    <x:row r="20">
      <x:c r="A20" s="110" t="n">
        <x:v>2016</x:v>
      </x:c>
      <x:c r="B20" s="110" t="str">
        <x:v>Canonical</x:v>
      </x:c>
      <x:c r="C20" s="110" t="str">
        <x:v>Trading on a Rigged Game: Outcome Manipulation in Prediction Markets</x:v>
      </x:c>
      <x:c r="D20" s="110" t="str">
        <x:v>Mithun Chakraborty; Sanmay Das</x:v>
      </x:c>
      <x:c r="E20" s="110" t="str">
        <x:v>IJCAI 2016</x:v>
      </x:c>
      <x:c r="F20" s="110" t="str">
        <x:v>Outcome manipulation</x:v>
      </x:c>
      <x:c r="G20" s="110" t="str">
        <x:v>Two-stage game: trade first, then action affects outcome</x:v>
      </x:c>
      <x:c r="H20" s="110" t="str">
        <x:v>Prediction-market positions can alter incentives to influence the event itself; equilibrium can become uninformative/collusive.</x:v>
      </x:c>
      <x:c r="I20" s="110" t="str">
        <x:v>Very High</x:v>
      </x:c>
      <x:c r="J20" s="110" t="str">
        <x:v>Direct conceptual precursor to BTC settlement manipulation: PM position and underlying/outcome market are endogenous</x:v>
      </x:c>
      <x:c r="K20" s="110" t="str">
        <x:v>Generic outcome-action model, not specifically financial settlement</x:v>
      </x:c>
      <x:c r="L20" s="110" t="str">
        <x:v>https://www.ijcai.org/Proceedings/16/Papers/030.pdf</x:v>
      </x:c>
    </x:row>
    <x:row r="21">
      <x:c r="A21" s="110" t="n">
        <x:v>2025</x:v>
      </x:c>
      <x:c r="B21" s="110" t="str">
        <x:v>Important</x:v>
      </x:c>
      <x:c r="C21" s="110" t="str">
        <x:v>How manipulable are prediction markets?</x:v>
      </x:c>
      <x:c r="D21" s="110" t="str">
        <x:v>Itzhak Rasooly; Roberto Rozzi</x:v>
      </x:c>
      <x:c r="E21" s="110" t="str">
        <x:v>arXiv / field experiment</x:v>
      </x:c>
      <x:c r="F21" s="110" t="str">
        <x:v>Manipulation persistence</x:v>
      </x:c>
      <x:c r="G21" s="110" t="str">
        <x:v>Random price shocks + behavioral reversion</x:v>
      </x:c>
      <x:c r="H21" s="110" t="str">
        <x:v>Across 817 markets, manipulative shocks can persist, though more traders/volume/external probability sources increase resistance.</x:v>
      </x:c>
      <x:c r="I21" s="110" t="str">
        <x:v>High</x:v>
      </x:c>
      <x:c r="J21" s="110" t="str">
        <x:v>Use crowd size/liquidity/external BTC price as manipulation-resilience features; do not assume instant reversion</x:v>
      </x:c>
      <x:c r="K21" s="110" t="str">
        <x:v>Manifold setting; horizon much longer than 5m</x:v>
      </x:c>
      <x:c r="L21" s="110" t="str">
        <x:v>https://arxiv.org/abs/2503.03312</x:v>
      </x:c>
    </x:row>
    <x:row r="22">
      <x:c r="A22" s="110" t="n">
        <x:v>2026</x:v>
      </x:c>
      <x:c r="B22" s="110" t="str">
        <x:v>Frontier</x:v>
      </x:c>
      <x:c r="C22" s="110" t="str">
        <x:v>Manipulation in Prediction Markets: An Agent-based Modeling Experiment</x:v>
      </x:c>
      <x:c r="D22" s="110" t="str">
        <x:v>Bridget Smart; Ebba Mark; Anne Bastian; Josefina Waugh</x:v>
      </x:c>
      <x:c r="E22" s="110" t="str">
        <x:v>arXiv</x:v>
      </x:c>
      <x:c r="F22" s="110" t="str">
        <x:v>Whale / herding</x:v>
      </x:c>
      <x:c r="G22" s="110" t="str">
        <x:v>High-budget biased whale vs heterogeneous/herding crowd</x:v>
      </x:c>
      <x:c r="H22" s="110" t="str">
        <x:v>Whale distortion grows with capital share and persists longer when followers herd and learn slowly.</x:v>
      </x:c>
      <x:c r="I22" s="110" t="str">
        <x:v>Very High</x:v>
      </x:c>
      <x:c r="J22" s="110" t="str">
        <x:v>Create Whale Impact × Herding × Learning-Speed risk score; distinguish informational whale from capital-driven distortion</x:v>
      </x:c>
      <x:c r="K22" s="110" t="str">
        <x:v>Agent-based simulation rather than Polymarket transaction study</x:v>
      </x:c>
      <x:c r="L22" s="110" t="str">
        <x:v>https://arxiv.org/abs/2601.20452</x:v>
      </x:c>
    </x:row>
    <x:row r="23">
      <x:c r="A23" s="110" t="n">
        <x:v>2026</x:v>
      </x:c>
      <x:c r="B23" s="110" t="str">
        <x:v>Frontier</x:v>
      </x:c>
      <x:c r="C23" s="110" t="str">
        <x:v>PolyBench: Benchmarking LLM Forecasting and Trading Capabilities on Live Prediction Market Data</x:v>
      </x:c>
      <x:c r="D23" s="110" t="str">
        <x:v>Pu Cheng; Juncheng Liu; Yunshen Long</x:v>
      </x:c>
      <x:c r="E23" s="110" t="str">
        <x:v>arXiv</x:v>
      </x:c>
      <x:c r="F23" s="110" t="str">
        <x:v>Forecast-to-trade / execution</x:v>
      </x:c>
      <x:c r="G23" s="110" t="str">
        <x:v>Forecast confidence vs realistic CLOB return</x:v>
      </x:c>
      <x:c r="H23" s="110" t="str">
        <x:v>Most tested models lose money under realistic order-book execution despite high stated confidence.</x:v>
      </x:c>
      <x:c r="I23" s="110" t="str">
        <x:v>Very High</x:v>
      </x:c>
      <x:c r="J23" s="110" t="str">
        <x:v>Supports separating forecasting, entry price, execution, sizing and risk; confidence alone cannot define conviction</x:v>
      </x:c>
      <x:c r="K23" s="110" t="str">
        <x:v>Broad Polymarket markets, not BTC-only</x:v>
      </x:c>
      <x:c r="L23" s="110" t="str">
        <x:v>https://arxiv.org/abs/2604.14199</x:v>
      </x:c>
    </x:row>
    <x:row r="24">
      <x:c r="A24" s="110" t="n">
        <x:v>2026</x:v>
      </x:c>
      <x:c r="B24" s="110" t="str">
        <x:v>Frontier</x:v>
      </x:c>
      <x:c r="C24" s="110" t="str">
        <x:v>The Anatomy of a Decentralized Prediction Market: Microstructure Evidence from the Polymarket Order Book</x:v>
      </x:c>
      <x:c r="D24" s="110" t="str">
        <x:v>Philipp D. Dubach</x:v>
      </x:c>
      <x:c r="E24" s="110" t="str">
        <x:v>arXiv</x:v>
      </x:c>
      <x:c r="F24" s="110" t="str">
        <x:v>Polymarket microstructure</x:v>
      </x:c>
      <x:c r="G24" s="110" t="str">
        <x:v>CLOB microstructure / authoritative aggressor direction</x:v>
      </x:c>
      <x:c r="H24" s="110" t="str">
        <x:v>30bn order-book events; depth decays near resolution; public-feed trade-direction inference is only ~59% accurate and can flip Kyle lambda signs.</x:v>
      </x:c>
      <x:c r="I24" s="110" t="str">
        <x:v>Very High</x:v>
      </x:c>
      <x:c r="J24" s="110" t="str">
        <x:v>Use on-chain OrderFilled aggressor direction for OFI/VPIN/Kyle; haircut quote depth near resolution</x:v>
      </x:c>
      <x:c r="K24" s="110" t="str">
        <x:v>Cross-market sample; not specific to BTC 5m but directly venue-specific</x:v>
      </x:c>
      <x:c r="L24" s="110" t="str">
        <x:v>https://arxiv.org/abs/2604.24366</x:v>
      </x:c>
    </x:row>
    <x:row r="25">
      <x:c r="A25" s="110" t="n">
        <x:v>2026</x:v>
      </x:c>
      <x:c r="B25" s="110" t="str">
        <x:v>Frontier</x:v>
      </x:c>
      <x:c r="C25" s="110" t="str">
        <x:v>Arbitrage Analysis in Polymarket NBA Markets</x:v>
      </x:c>
      <x:c r="D25" s="110" t="str">
        <x:v>Guang Cheng; Jiaxin Yang; Haoxuan Zou</x:v>
      </x:c>
      <x:c r="E25" s="110" t="str">
        <x:v>arXiv</x:v>
      </x:c>
      <x:c r="F25" s="110" t="str">
        <x:v>CLOB arbitrage / liquidity</x:v>
      </x:c>
      <x:c r="G25" s="110" t="str">
        <x:v>Executable arbitrage constrained by duration and depth</x:v>
      </x:c>
      <x:c r="H25" s="110" t="str">
        <x:v>Finds rare/short-lived executable inefficiencies and strong capacity constraints from shallow books.</x:v>
      </x:c>
      <x:c r="I25" s="110" t="str">
        <x:v>Medium-High</x:v>
      </x:c>
      <x:c r="J25" s="110" t="str">
        <x:v>Reinforces depth/VWAP/capacity gating: theoretical edge is not deployable edge</x:v>
      </x:c>
      <x:c r="K25" s="110" t="str">
        <x:v>Sports markets; use microstructure lesson only</x:v>
      </x:c>
      <x:c r="L25" s="110" t="str">
        <x:v>https://arxiv.org/abs/2605.00864</x:v>
      </x:c>
    </x:row>
    <x:row r="26">
      <x:c r="A26" s="110" t="n">
        <x:v>2026</x:v>
      </x:c>
      <x:c r="B26" s="110" t="str">
        <x:v>Frontier</x:v>
      </x:c>
      <x:c r="C26" s="110" t="str">
        <x:v>Fill-Side Non-Retail Trading on Polymarket</x:v>
      </x:c>
      <x:c r="D26" s="110" t="str">
        <x:v>Maksym Nechepurenko</x:v>
      </x:c>
      <x:c r="E26" s="110" t="str">
        <x:v>arXiv</x:v>
      </x:c>
      <x:c r="F26" s="110" t="str">
        <x:v>Whales / non-retail / data limits</x:v>
      </x:c>
      <x:c r="G26" s="110" t="str">
        <x:v>Address-level fill behavior under off-chain quote attribution limits</x:v>
      </x:c>
      <x:c r="H26" s="110" t="str">
        <x:v>Whale/HFT/power-trader tiers hold a large share of notional, but address-level quote-lifecycle/spoof claims cannot be identified from on-chain fills alone.</x:v>
      </x:c>
      <x:c r="I26" s="110" t="str">
        <x:v>High</x:v>
      </x:c>
      <x:c r="J26" s="110" t="str">
        <x:v>Whale tracking should be fill-side; do not pretend wallet-level cancellations/spoofing are observable without off-chain attribution</x:v>
      </x:c>
      <x:c r="K26" s="110" t="str">
        <x:v>Short empirical window; working paper</x:v>
      </x:c>
      <x:c r="L26" s="110" t="str">
        <x:v>https://arxiv.org/abs/2605.11640</x:v>
      </x:c>
    </x:row>
    <x:row r="27">
      <x:c r="A27" s="110" t="n">
        <x:v>2026</x:v>
      </x:c>
      <x:c r="B27" s="110" t="str">
        <x:v>Frontier</x:v>
      </x:c>
      <x:c r="C27" s="110" t="str">
        <x:v>Polymarket-v1 Database</x:v>
      </x:c>
      <x:c r="D27" s="110" t="str">
        <x:v>Boka Qin; Rui Yang</x:v>
      </x:c>
      <x:c r="E27" s="110" t="str">
        <x:v>arXiv</x:v>
      </x:c>
      <x:c r="F27" s="110" t="str">
        <x:v>Ground-truth transaction data</x:v>
      </x:c>
      <x:c r="G27" s="110" t="str">
        <x:v>1.20bn trades / ground-truth aggressor direction</x:v>
      </x:c>
      <x:c r="H27" s="110" t="str">
        <x:v>Classical tick-rule/bulk-volume trade classification is near random in aggregate and biases VPIN/OFI; ground-truth direction matters for forecasting inference.</x:v>
      </x:c>
      <x:c r="I27" s="110" t="str">
        <x:v>Very High</x:v>
      </x:c>
      <x:c r="J27" s="110" t="str">
        <x:v>Use true aggressor side whenever possible; downgrade conviction when only heuristic trade direction is available</x:v>
      </x:c>
      <x:c r="K27" s="110" t="str">
        <x:v>Dataset covers first-generation CTF Exchange and broad markets</x:v>
      </x:c>
      <x:c r="L27" s="110" t="str">
        <x:v>https://arxiv.org/abs/2606.04217</x:v>
      </x:c>
    </x:row>
    <x:row r="28">
      <x:c r="A28" s="110" t="n">
        <x:v>2026</x:v>
      </x:c>
      <x:c r="B28" s="110" t="str">
        <x:v>Core BTC5m</x:v>
      </x:c>
      <x:c r="C28" s="110" t="str">
        <x:v>Settlement Manipulation in Prediction Markets</x:v>
      </x:c>
      <x:c r="D28" s="110" t="str">
        <x:v>David Dai; Ruizhe Jia; Shihao Yu</x:v>
      </x:c>
      <x:c r="E28" s="110" t="str">
        <x:v>arXiv</x:v>
      </x:c>
      <x:c r="F28" s="110" t="str">
        <x:v>Settlement manipulation / endogenous underlying</x:v>
      </x:c>
      <x:c r="G28" s="110" t="str">
        <x:v>Prediction-market position creates incentive to trade underlying near settlement</x:v>
      </x:c>
      <x:c r="H28" s="110" t="str">
        <x:v>After Polymarket 5m BTC launch, settlement-time spot order flow spikes and reverses after settlement; effects largely absent in 15m contracts.</x:v>
      </x:c>
      <x:c r="I28" s="110" t="str">
        <x:v>Critical / P0</x:v>
      </x:c>
      <x:c r="J28" s="110" t="str">
        <x:v>Add final-seconds settlement-manipulation risk gate; reduce/skip bets when outcome is close and underlying flow becomes anomalous</x:v>
      </x:c>
      <x:c r="K28" s="110" t="str">
        <x:v>Working paper; use defensively, not as instruction to influence settlement</x:v>
      </x:c>
      <x:c r="L28" s="110" t="str">
        <x:v>https://arxiv.org/abs/2606.31675</x:v>
      </x:c>
    </x:row>
    <x:row r="29">
      <x:c r="A29" s="110" t="n">
        <x:v>2026</x:v>
      </x:c>
      <x:c r="B29" s="110" t="str">
        <x:v>Frontier</x:v>
      </x:c>
      <x:c r="C29" s="110" t="str">
        <x:v>Beyond Forecasting: The Belief-to-Trade Layer in Prediction-Market Agents</x:v>
      </x:c>
      <x:c r="D29" s="110" t="str">
        <x:v>Yishu Wang; Yuxuan Wang; Jiaqi Deng; Hanyang Tang</x:v>
      </x:c>
      <x:c r="E29" s="110" t="str">
        <x:v>arXiv</x:v>
      </x:c>
      <x:c r="F29" s="110" t="str">
        <x:v>Trading layer / risk / Kelly</x:v>
      </x:c>
      <x:c r="G29" s="110" t="str">
        <x:v>Separate forecasting from selection, sizing, execution and deterministic risk controls</x:v>
      </x:c>
      <x:c r="H29" s="110" t="str">
        <x:v>Shows trading layer can dominate realized outcome; proposes fractional Kelly and hard deterministic exposure controls outside the forecaster.</x:v>
      </x:c>
      <x:c r="I29" s="110" t="str">
        <x:v>Very High</x:v>
      </x:c>
      <x:c r="J29" s="110" t="str">
        <x:v>Directly supports this workbook's architecture: q → selection → sizing → execution → hard caps</x:v>
      </x:c>
      <x:c r="K29" s="110" t="str">
        <x:v>Agent study, not BTC 5m specifically</x:v>
      </x:c>
      <x:c r="L29" s="110" t="str">
        <x:v>https://arxiv.org/abs/2607.03015</x:v>
      </x:c>
    </x:row>
    <x:row r="30">
      <x:c r="A30" s="110" t="n">
        <x:v>2026</x:v>
      </x:c>
      <x:c r="B30" s="110" t="str">
        <x:v>Frontier</x:v>
      </x:c>
      <x:c r="C30" s="110" t="str">
        <x:v>OpenMarket: A Synchronized Polymarket-Binance Dataset for High-Frequency Prediction-Market Research</x:v>
      </x:c>
      <x:c r="D30" s="110" t="str">
        <x:v>Gregory Young</x:v>
      </x:c>
      <x:c r="E30" s="110" t="str">
        <x:v>arXiv</x:v>
      </x:c>
      <x:c r="F30" s="110" t="str">
        <x:v>Cross-venue lead-lag / null result</x:v>
      </x:c>
      <x:c r="G30" s="110" t="str">
        <x:v>Millisecond Polymarket–Binance corpus + OOS test</x:v>
      </x:c>
      <x:c r="H30" s="110" t="str">
        <x:v>BTC 15m multivariate microstructure model does not beat Polymarket's own order-book prior OOS after costs; Polymarket quotes respond to large Binance moves after hundreds of ms on collector clock.</x:v>
      </x:c>
      <x:c r="I30" s="110" t="str">
        <x:v>Very High</x:v>
      </x:c>
      <x:c r="J30" s="110" t="str">
        <x:v>Treat cross-venue signals as incremental features requiring strict OOS/cost tests; market prior may already absorb them</x:v>
      </x:c>
      <x:c r="K30" s="110" t="str">
        <x:v>15m, not 5m; clock offset uncertainty and public research archive</x:v>
      </x:c>
      <x:c r="L30" s="110" t="str">
        <x:v>https://arxiv.org/abs/2607.26245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02b13109213f415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45" hidden="0" customWidth="1"/>
    <x:col min="5" max="5" width="34" hidden="0" customWidth="1"/>
    <x:col min="6" max="6" width="28" hidden="0" customWidth="1"/>
  </x:cols>
  <x:sheetData>
    <x:row r="1">
      <x:c r="A1" s="265" t="str">
        <x:v>BTC 5m Settlement-Manipulation Risk Monitor — 防御性风控</x:v>
      </x:c>
      <x:c r="B1" s="265"/>
      <x:c r="C1" s="265"/>
      <x:c r="D1" s="265"/>
      <x:c r="E1" s="265"/>
      <x:c r="F1" s="265"/>
      <x:c r="G1" s="265"/>
      <x:c r="H1" s="265"/>
    </x:row>
    <x:row r="2">
      <x:c r="A2" s="265"/>
      <x:c r="B2" s="265"/>
      <x:c r="C2" s="265"/>
      <x:c r="D2" s="265"/>
      <x:c r="E2" s="265"/>
      <x:c r="F2" s="265"/>
      <x:c r="G2" s="265"/>
      <x:c r="H2" s="265"/>
    </x:row>
    <x:row r="3">
      <x:c r="A3" s="276" t="str">
        <x:v>用途仅为识别/规避结算附近的异常流量与 outcome-manipulation 风险：不计算“如何推动 BTC 价格”或影响结算所需资金。风险越高，策略应降低仓位或直接 SKIP。</x:v>
      </x:c>
      <x:c r="B3" s="276"/>
      <x:c r="C3" s="276"/>
      <x:c r="D3" s="276"/>
      <x:c r="E3" s="276"/>
      <x:c r="F3" s="276"/>
      <x:c r="G3" s="276"/>
      <x:c r="H3" s="276"/>
    </x:row>
    <x:row r="5">
      <x:c r="A5" s="280" t="str">
        <x:v>Inputs</x:v>
      </x:c>
      <x:c r="B5" s="280"/>
      <x:c r="C5" s="280"/>
      <x:c r="E5" s="280" t="str">
        <x:v>Risk Engine</x:v>
      </x:c>
      <x:c r="F5" s="280"/>
    </x:row>
    <x:row r="6">
      <x:c r="A6" s="284" t="str">
        <x:v>Remaining Seconds</x:v>
      </x:c>
      <x:c r="B6" s="288" t="n">
        <x:v>15</x:v>
      </x:c>
      <x:c r="C6" s="110" t="str">
        <x:v>Live event clock</x:v>
      </x:c>
      <x:c r="E6" s="284" t="str">
        <x:v>Final-Seconds Score</x:v>
      </x:c>
      <x:c r="F6" s="196" t="n">
        <x:f>IF(B6&lt;=8,18,IF(B6&lt;=15,14,IF(B6&lt;=30,8,IF(B6&lt;=60,4,0))))</x:f>
        <x:v>14</x:v>
      </x:c>
    </x:row>
    <x:row r="7">
      <x:c r="A7" s="284" t="str">
        <x:v>|Price-State z|</x:v>
      </x:c>
      <x:c r="B7" s="288" t="n">
        <x:v>0.25</x:v>
      </x:c>
      <x:c r="C7" s="110" t="str">
        <x:v>Distance from Price to Beat / remaining expected sigma</x:v>
      </x:c>
      <x:c r="E7" s="284" t="str">
        <x:v>Close-to-Barrier Score</x:v>
      </x:c>
      <x:c r="F7" s="196" t="n">
        <x:f>MAX(0,18-MIN(18,B7*18))</x:f>
        <x:v>13.5</x:v>
      </x:c>
    </x:row>
    <x:row r="8">
      <x:c r="A8" s="284" t="str">
        <x:v>Binance Spot Volume Anomaly z</x:v>
      </x:c>
      <x:c r="B8" s="288" t="n">
        <x:v>2.4</x:v>
      </x:c>
      <x:c r="C8" s="110" t="str">
        <x:v>Standardized vs same intraday baseline</x:v>
      </x:c>
      <x:c r="E8" s="284" t="str">
        <x:v>Spot-Flow Anomaly Score</x:v>
      </x:c>
      <x:c r="F8" s="196" t="n">
        <x:f>MIN(20,MAX(0,(ABS(B8)-1)*7)+MAX(0,(ABS(B9)-1)*6))</x:f>
        <x:v>17</x:v>
      </x:c>
    </x:row>
    <x:row r="9">
      <x:c r="A9" s="284" t="str">
        <x:v>Binance Signed OFI Anomaly z</x:v>
      </x:c>
      <x:c r="B9" s="288" t="n">
        <x:v>2.2</x:v>
      </x:c>
      <x:c r="C9" s="110" t="str">
        <x:v>Absolute standardized aggressive flow</x:v>
      </x:c>
      <x:c r="E9" s="284" t="str">
        <x:v>PM-Flow Score</x:v>
      </x:c>
      <x:c r="F9" s="196" t="n">
        <x:f>MIN(10,MAX(0,(ABS(B10)-1)*6))</x:f>
        <x:v>4.800000000000001</x:v>
      </x:c>
    </x:row>
    <x:row r="10">
      <x:c r="A10" s="284" t="str">
        <x:v>Polymarket Directional Flow z</x:v>
      </x:c>
      <x:c r="B10" s="288" t="n">
        <x:v>1.8</x:v>
      </x:c>
      <x:c r="C10" s="110" t="str">
        <x:v>Same-direction aggressive PM flow anomaly</x:v>
      </x:c>
      <x:c r="E10" s="284" t="str">
        <x:v>Basis Score</x:v>
      </x:c>
      <x:c r="F10" s="196" t="n">
        <x:f>MIN(10,MAX(0,(ABS(B11)-1)*3.5))</x:f>
        <x:v>6.299999999999999</x:v>
      </x:c>
    </x:row>
    <x:row r="11">
      <x:c r="A11" s="284" t="str">
        <x:v>Chainlink-Binance Basis (bps)</x:v>
      </x:c>
      <x:c r="B11" s="288" t="n">
        <x:v>2.8</x:v>
      </x:c>
      <x:c r="C11" s="110" t="str">
        <x:v>Absolute basis near settlement</x:v>
      </x:c>
      <x:c r="E11" s="284" t="str">
        <x:v>Liquidity Fragility Score</x:v>
      </x:c>
      <x:c r="F11" s="196" t="n">
        <x:f>MIN(12,(B12+B13)*6)</x:f>
        <x:v>8.100000000000001</x:v>
      </x:c>
    </x:row>
    <x:row r="12">
      <x:c r="A12" s="284" t="str">
        <x:v>Underlying Liquidity Thinness</x:v>
      </x:c>
      <x:c r="B12" s="289" t="n">
        <x:v>0.7</x:v>
      </x:c>
      <x:c r="C12" s="110" t="str">
        <x:v>0-1; higher = thinner / more price-sensitive</x:v>
      </x:c>
      <x:c r="E12" s="284" t="str">
        <x:v>Low-Confirmation Score</x:v>
      </x:c>
      <x:c r="F12" s="196" t="n">
        <x:f>MAX(0,(1-B14)*8)</x:f>
        <x:v>5.6</x:v>
      </x:c>
    </x:row>
    <x:row r="13">
      <x:c r="A13" s="284" t="str">
        <x:v>PM Depth Decay / Fragility</x:v>
      </x:c>
      <x:c r="B13" s="289" t="n">
        <x:v>0.65</x:v>
      </x:c>
      <x:c r="C13" s="110" t="str">
        <x:v>0-1</x:v>
      </x:c>
      <x:c r="E13" s="284" t="str">
        <x:v>Measurement Penalty</x:v>
      </x:c>
      <x:c r="F13" s="196" t="n">
        <x:f>IF(B15&lt;0.8,8,0)</x:f>
        <x:v>0</x:v>
      </x:c>
    </x:row>
    <x:row r="14">
      <x:c r="A14" s="284" t="str">
        <x:v>Independent Venue Confirmation</x:v>
      </x:c>
      <x:c r="B14" s="289" t="n">
        <x:v>0.3</x:v>
      </x:c>
      <x:c r="C14" s="110" t="str">
        <x:v>0-1; higher means moves confirmed broadly, reducing manipulation concern</x:v>
      </x:c>
      <x:c r="E14" s="284" t="str">
        <x:v>Settlement Risk Score</x:v>
      </x:c>
      <x:c r="F14" s="211" t="n">
        <x:f>MIN(100,SUM(F6:F13))</x:f>
        <x:v>69.3</x:v>
      </x:c>
    </x:row>
    <x:row r="15">
      <x:c r="A15" s="284" t="str">
        <x:v>Trade-Direction Data Quality</x:v>
      </x:c>
      <x:c r="B15" s="289" t="n">
        <x:v>1</x:v>
      </x:c>
      <x:c r="C15" s="110" t="str">
        <x:v>1.0 = on-chain ground truth; ~0.6 = heuristic/feed direction</x:v>
      </x:c>
      <x:c r="E15" s="284" t="str">
        <x:v>Risk Tier</x:v>
      </x:c>
      <x:c r="F15" s="293" t="str">
        <x:f>IF(F14&gt;=70,"SEVERE",IF(F14&gt;=50,"HIGH",IF(F14&gt;=30,"ELEVATED","NORMAL")))</x:f>
        <x:v>HIGH</x:v>
      </x:c>
    </x:row>
    <x:row r="16">
      <x:c r="E16" s="284" t="str">
        <x:v>Sizing Haircut</x:v>
      </x:c>
      <x:c r="F16" s="294" t="n">
        <x:f>IF(F15="SEVERE",0,IF(F15="HIGH",0.25,IF(F15="ELEVATED",0.60,1)))</x:f>
        <x:v>0.25</x:v>
      </x:c>
    </x:row>
    <x:row r="17">
      <x:c r="E17" s="284" t="str">
        <x:v>Recommended Action</x:v>
      </x:c>
      <x:c r="F17" s="293" t="str">
        <x:f>IF(F15="SEVERE","SKIP",IF(F15="HIGH","REDUCE TO 25% OF NORMAL",IF(F15="ELEVATED","REDUCE / REQUIRE EXTRA EDGE","NORMAL RULES")))</x:f>
        <x:v>REDUCE TO 25% OF NORMAL</x:v>
      </x:c>
    </x:row>
    <x:row r="18">
      <x:c r="A18" s="280" t="str">
        <x:v>Detection Logic / Empirical Rationale</x:v>
      </x:c>
      <x:c r="B18" s="280"/>
      <x:c r="C18" s="280"/>
      <x:c r="D18" s="280"/>
      <x:c r="E18" s="280"/>
      <x:c r="F18" s="280"/>
      <x:c r="G18" s="280"/>
      <x:c r="H18" s="280"/>
    </x:row>
    <x:row r="19">
      <x:c r="A19" s="114" t="str">
        <x:v>Why final seconds?</x:v>
      </x:c>
      <x:c r="B19" s="110" t="str">
        <x:v>2026 BTC 5m research reports settlement-time spot-flow spikes and post-settlement reversals; risk is concentrated when contract outcome remains marginal.</x:v>
      </x:c>
    </x:row>
    <x:row r="20">
      <x:c r="A20" s="114" t="str">
        <x:v>Why close-to-barrier?</x:v>
      </x:c>
      <x:c r="B20" s="110" t="str">
        <x:v>If BTC is many remaining sigmas away from Price to Beat, small anomalous flow is less likely to flip the binary outcome.</x:v>
      </x:c>
    </x:row>
    <x:row r="21">
      <x:c r="A21" s="114" t="str">
        <x:v>Why confirmation?</x:v>
      </x:c>
      <x:c r="B21" s="110" t="str">
        <x:v>A broad move confirmed across independent venues is more consistent with information/fundamentals than a single-venue transient push.</x:v>
      </x:c>
    </x:row>
    <x:row r="22">
      <x:c r="A22" s="114" t="str">
        <x:v>Why data-quality penalty?</x:v>
      </x:c>
      <x:c r="B22" s="110" t="str">
        <x:v>Polymarket research shows heuristic trade-direction inference can be materially wrong; direction-dependent measures should prefer authoritative on-chain aggressor side.</x:v>
      </x:c>
    </x:row>
    <x:row r="23">
      <x:c r="A23" s="114" t="str">
        <x:v>Sizing response</x:v>
      </x:c>
      <x:c r="B23" s="110" t="str">
        <x:v>This module only reduces sizing. It never increases conviction merely because abnormal settlement flow appears.</x:v>
      </x:c>
    </x:row>
  </x:sheetData>
  <x:mergeCells>
    <x:mergeCell ref="A1:H2"/>
    <x:mergeCell ref="A3:H3"/>
    <x:mergeCell ref="A5:C5"/>
    <x:mergeCell ref="E5:F5"/>
    <x:mergeCell ref="A18:H18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48" hidden="0" customWidth="1"/>
    <x:col min="5" max="5" width="31" hidden="0" customWidth="1"/>
    <x:col min="6" max="6" width="40" hidden="0" customWidth="1"/>
  </x:cols>
  <x:sheetData>
    <x:row r="1">
      <x:c r="A1" s="265" t="str">
        <x:v>Whale / Herding Game — 信息型大户还是资本推动型噪声？</x:v>
      </x:c>
      <x:c r="B1" s="265"/>
      <x:c r="C1" s="265"/>
      <x:c r="D1" s="265"/>
      <x:c r="E1" s="265"/>
      <x:c r="F1" s="265"/>
      <x:c r="G1" s="265"/>
      <x:c r="H1" s="265"/>
    </x:row>
    <x:row r="2">
      <x:c r="A2" s="265"/>
      <x:c r="B2" s="265"/>
      <x:c r="C2" s="265"/>
      <x:c r="D2" s="265"/>
      <x:c r="E2" s="265"/>
      <x:c r="F2" s="265"/>
      <x:c r="G2" s="265"/>
      <x:c r="H2" s="265"/>
    </x:row>
    <x:row r="3">
      <x:c r="A3" s="268" t="str">
        <x:v>原则：不机械跟单。把大额成交拆成“价格冲击、底层 BTC 确认、持续性、独立账户跟随、回撤/反转、市场深度”六部分；只有 underlying-confirmed + persistent 的流量才提高信息权重。</x:v>
      </x:c>
      <x:c r="B3" s="268"/>
      <x:c r="C3" s="268"/>
      <x:c r="D3" s="268"/>
      <x:c r="E3" s="268"/>
      <x:c r="F3" s="268"/>
      <x:c r="G3" s="268"/>
      <x:c r="H3" s="268"/>
    </x:row>
    <x:row r="5">
      <x:c r="A5" s="280" t="str">
        <x:v>Inputs</x:v>
      </x:c>
      <x:c r="B5" s="280"/>
      <x:c r="C5" s="280"/>
      <x:c r="E5" s="280" t="str">
        <x:v>Classification</x:v>
      </x:c>
      <x:c r="F5" s="280"/>
    </x:row>
    <x:row r="6">
      <x:c r="A6" s="284" t="str">
        <x:v>Whale Trade Notional (USDC)</x:v>
      </x:c>
      <x:c r="B6" s="295" t="n">
        <x:v>25000</x:v>
      </x:c>
      <x:c r="C6" s="110" t="str">
        <x:v>Observed fill-side notional</x:v>
      </x:c>
      <x:c r="E6" s="284" t="str">
        <x:v>Impact / Depth</x:v>
      </x:c>
      <x:c r="F6" s="196" t="n">
        <x:f>MIN(3,IFERROR(B6/B7,0))</x:f>
        <x:v>0.625</x:v>
      </x:c>
    </x:row>
    <x:row r="7">
      <x:c r="A7" s="284" t="str">
        <x:v>Executable Depth Near Trade (USDC)</x:v>
      </x:c>
      <x:c r="B7" s="295" t="n">
        <x:v>40000</x:v>
      </x:c>
      <x:c r="C7" s="110" t="str">
        <x:v>Depth available around pre-trade price</x:v>
      </x:c>
      <x:c r="E7" s="284" t="str">
        <x:v>Persistence Score</x:v>
      </x:c>
      <x:c r="F7" s="197" t="n">
        <x:f>B9</x:f>
        <x:v>0.7</x:v>
      </x:c>
    </x:row>
    <x:row r="8">
      <x:c r="A8" s="284" t="str">
        <x:v>Immediate PM Price Move (pts)</x:v>
      </x:c>
      <x:c r="B8" s="289" t="n">
        <x:v>0.035</x:v>
      </x:c>
      <x:c r="C8" s="110" t="str">
        <x:v>Probability-point move caused/associated with trade</x:v>
      </x:c>
      <x:c r="E8" s="284" t="str">
        <x:v>Underlying Confirmation</x:v>
      </x:c>
      <x:c r="F8" s="197" t="n">
        <x:f>AVERAGE(B10:B11)</x:f>
        <x:v>0.275</x:v>
      </x:c>
    </x:row>
    <x:row r="9">
      <x:c r="A9" s="284" t="str">
        <x:v>10s PM Price Retention</x:v>
      </x:c>
      <x:c r="B9" s="289" t="n">
        <x:v>0.7</x:v>
      </x:c>
      <x:c r="C9" s="110" t="str">
        <x:v>0-1; 1 = move persists</x:v>
      </x:c>
      <x:c r="E9" s="284" t="str">
        <x:v>Independent-Follow Score</x:v>
      </x:c>
      <x:c r="F9" s="197" t="n">
        <x:f>B12</x:f>
        <x:v>0.6</x:v>
      </x:c>
    </x:row>
    <x:row r="10">
      <x:c r="A10" s="284" t="str">
        <x:v>Binance / Chainlink Confirmation</x:v>
      </x:c>
      <x:c r="B10" s="289" t="n">
        <x:v>0.25</x:v>
      </x:c>
      <x:c r="C10" s="110" t="str">
        <x:v>0-1 directional confirmation</x:v>
      </x:c>
      <x:c r="E10" s="284" t="str">
        <x:v>Herding Risk</x:v>
      </x:c>
      <x:c r="F10" s="197" t="n">
        <x:f>B13</x:f>
        <x:v>0.75</x:v>
      </x:c>
    </x:row>
    <x:row r="11">
      <x:c r="A11" s="284" t="str">
        <x:v>Cross-Venue BTC Confirmation</x:v>
      </x:c>
      <x:c r="B11" s="289" t="n">
        <x:v>0.3</x:v>
      </x:c>
      <x:c r="C11" s="110" t="str">
        <x:v>0-1 independent spot/perp confirmation</x:v>
      </x:c>
      <x:c r="E11" s="284" t="str">
        <x:v>Countertrade Signal</x:v>
      </x:c>
      <x:c r="F11" s="196" t="n">
        <x:f>B14</x:f>
        <x:v>0.2</x:v>
      </x:c>
    </x:row>
    <x:row r="12">
      <x:c r="A12" s="284" t="str">
        <x:v>Independent Wallet Follow-through</x:v>
      </x:c>
      <x:c r="B12" s="289" t="n">
        <x:v>0.6</x:v>
      </x:c>
      <x:c r="C12" s="110" t="str">
        <x:v>0-1; avoid counting same wallet repeatedly</x:v>
      </x:c>
      <x:c r="E12" s="284" t="str">
        <x:v>Informative-Whale Score</x:v>
      </x:c>
      <x:c r="F12" s="211" t="n">
        <x:f>MIN(100,30*F8+20*F7+20*F9+15*B15+15*MIN(1,F6))</x:f>
        <x:v>51.875</x:v>
      </x:c>
    </x:row>
    <x:row r="13">
      <x:c r="A13" s="284" t="str">
        <x:v>Herding Intensity</x:v>
      </x:c>
      <x:c r="B13" s="289" t="n">
        <x:v>0.75</x:v>
      </x:c>
      <x:c r="C13" s="110" t="str">
        <x:v>0-1; followers chase PM move</x:v>
      </x:c>
      <x:c r="E13" s="284" t="str">
        <x:v>Distortion / Herding Risk</x:v>
      </x:c>
      <x:c r="F13" s="211" t="n">
        <x:f>MIN(100,35*F10+25*(1-F8)+20*(1-F7)+10*(1-F9)+10*MIN(1,F6))</x:f>
        <x:v>60.625</x:v>
      </x:c>
    </x:row>
    <x:row r="14">
      <x:c r="A14" s="284" t="str">
        <x:v>Counter-trading Strength</x:v>
      </x:c>
      <x:c r="B14" s="289" t="n">
        <x:v>0.2</x:v>
      </x:c>
      <x:c r="C14" s="110" t="str">
        <x:v>0-1 informed opposition / fade</x:v>
      </x:c>
      <x:c r="E14" s="284" t="str">
        <x:v>Classification</x:v>
      </x:c>
      <x:c r="F14" s="293" t="str">
        <x:f>IF(AND(F12&gt;=65,F13&lt;45),"LIKELY INFORMATIVE",IF(AND(F13&gt;=60,F8&lt;0.4),"DISTORTION / HERDING RISK",IF(AND(F12&gt;=50,F13&gt;=50),"MIXED / CONFLICTED","LOW SIGNAL")))</x:f>
        <x:v>DISTORTION / HERDING RISK</x:v>
      </x:c>
    </x:row>
    <x:row r="15">
      <x:c r="A15" s="284" t="str">
        <x:v>Historical Trader Skill (if robust)</x:v>
      </x:c>
      <x:c r="B15" s="289" t="n">
        <x:v>0.55</x:v>
      </x:c>
      <x:c r="C15" s="110" t="str">
        <x:v>0-1; use only with adequate sample / no survivorship bias</x:v>
      </x:c>
      <x:c r="E15" s="284" t="str">
        <x:v>Conviction Adjustment</x:v>
      </x:c>
      <x:c r="F15" s="298" t="n">
        <x:f>IF(F14="LIKELY INFORMATIVE",0.05,IF(F14="DISTORTION / HERDING RISK",-0.10,IF(F14="MIXED / CONFLICTED",-0.03,0)))</x:f>
        <x:v>-0.1</x:v>
      </x:c>
    </x:row>
    <x:row r="16">
      <x:c r="E16" s="284" t="str">
        <x:v>Recommended Response</x:v>
      </x:c>
      <x:c r="F16" s="293" t="str">
        <x:f>IF(F14="LIKELY INFORMATIVE","USE AS SMALL INDEPENDENT CONFIRMATION ONLY",IF(F14="DISTORTION / HERDING RISK","DO NOT CHASE; REQUIRE UNDERLYING CONFIRMATION / CONSIDER FADE TEST",IF(F14="MIXED / CONFLICTED","DOWNWEIGHT PM FLOW","IGNORE AS CONVICTION SIGNAL")))</x:f>
        <x:v>DO NOT CHASE; REQUIRE UNDERLYING CONFIRMATION / CONSIDER FADE TEST</x:v>
      </x:c>
    </x:row>
    <x:row r="18">
      <x:c r="A18" s="280" t="str">
        <x:v>Important Data Constraint</x:v>
      </x:c>
      <x:c r="B18" s="280"/>
      <x:c r="C18" s="280"/>
      <x:c r="D18" s="280"/>
      <x:c r="E18" s="280"/>
      <x:c r="F18" s="280"/>
      <x:c r="G18" s="280"/>
      <x:c r="H18" s="280"/>
    </x:row>
    <x:row r="19">
      <x:c r="A19" s="301" t="str">
        <x:v>Polymarket 的 off-chain CLOB 使 wallet-level OrderPlaced / OrderCancelled 生命周期无法仅靠链上 fill archive 还原。因此：钱包级“spoofing/cancel behavior”不要硬推断；whale 模型优先用 authoritative fill-side notional、成交方向、价格冲击与跨市场确认。</x:v>
      </x:c>
      <x:c r="B19" s="301"/>
      <x:c r="C19" s="301"/>
      <x:c r="D19" s="301"/>
      <x:c r="E19" s="301"/>
      <x:c r="F19" s="301"/>
      <x:c r="G19" s="301"/>
      <x:c r="H19" s="301"/>
    </x:row>
    <x:row r="20">
      <x:c r="A20" s="301"/>
      <x:c r="B20" s="301"/>
      <x:c r="C20" s="301"/>
      <x:c r="D20" s="301"/>
      <x:c r="E20" s="301"/>
      <x:c r="F20" s="301"/>
      <x:c r="G20" s="301"/>
      <x:c r="H20" s="301"/>
    </x:row>
    <x:row r="21">
      <x:c r="A21" s="301"/>
      <x:c r="B21" s="301"/>
      <x:c r="C21" s="301"/>
      <x:c r="D21" s="301"/>
      <x:c r="E21" s="301"/>
      <x:c r="F21" s="301"/>
      <x:c r="G21" s="301"/>
      <x:c r="H21" s="301"/>
    </x:row>
  </x:sheetData>
  <x:mergeCells>
    <x:mergeCell ref="A1:H2"/>
    <x:mergeCell ref="A3:H3"/>
    <x:mergeCell ref="A5:C5"/>
    <x:mergeCell ref="E5:F5"/>
    <x:mergeCell ref="A18:H18"/>
    <x:mergeCell ref="A19:H2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55" hidden="0" customWidth="1"/>
    <x:col min="6" max="6" width="55" hidden="0" customWidth="1"/>
    <x:col min="7" max="7" width="20" hidden="0" customWidth="1"/>
    <x:col min="8" max="8" width="18" hidden="0" customWidth="1"/>
  </x:cols>
  <x:sheetData>
    <x:row r="1">
      <x:c r="A1" s="265" t="str">
        <x:v>Literature Coverage Audit — v3</x:v>
      </x:c>
      <x:c r="B1" s="265"/>
      <x:c r="C1" s="265"/>
      <x:c r="D1" s="265"/>
      <x:c r="E1" s="265"/>
      <x:c r="F1" s="265"/>
      <x:c r="G1" s="265"/>
      <x:c r="H1" s="265"/>
    </x:row>
    <x:row r="2">
      <x:c r="A2" s="265"/>
      <x:c r="B2" s="265"/>
      <x:c r="C2" s="265"/>
      <x:c r="D2" s="265"/>
      <x:c r="E2" s="265"/>
      <x:c r="F2" s="265"/>
      <x:c r="G2" s="265"/>
      <x:c r="H2" s="265"/>
    </x:row>
    <x:row r="4">
      <x:c r="A4" s="273" t="str">
        <x:v>Domain</x:v>
      </x:c>
      <x:c r="B4" s="273" t="str">
        <x:v>Classic Coverage</x:v>
      </x:c>
      <x:c r="C4" s="273" t="str">
        <x:v>2025–26 Coverage</x:v>
      </x:c>
      <x:c r="D4" s="273" t="str">
        <x:v>BTC 5m Directness</x:v>
      </x:c>
      <x:c r="E4" s="273" t="str">
        <x:v>Core Papers Included</x:v>
      </x:c>
      <x:c r="F4" s="273" t="str">
        <x:v>Remaining Gaps</x:v>
      </x:c>
      <x:c r="G4" s="273" t="str">
        <x:v>Workbook Location</x:v>
      </x:c>
      <x:c r="H4" s="273" t="str">
        <x:v>Status</x:v>
      </x:c>
    </x:row>
    <x:row r="5">
      <x:c r="A5" s="110" t="str">
        <x:v>General market microstructure game theory</x:v>
      </x:c>
      <x:c r="B5" s="110" t="str">
        <x:v>High</x:v>
      </x:c>
      <x:c r="C5" s="110" t="str">
        <x:v>High</x:v>
      </x:c>
      <x:c r="D5" s="110" t="str">
        <x:v>High</x:v>
      </x:c>
      <x:c r="E5" s="110" t="str">
        <x:v>Kyle; Glosten-Milgrom; Parlour; Rosu; predatory/impact games</x:v>
      </x:c>
      <x:c r="F5" s="110" t="str">
        <x:v>Latest niche working papers will continue to appear</x:v>
      </x:c>
      <x:c r="G5" s="110" t="str">
        <x:v>01/03</x:v>
      </x:c>
      <x:c r="H5" s="110" t="str">
        <x:v>CORE COVERED</x:v>
      </x:c>
    </x:row>
    <x:row r="6">
      <x:c r="A6" s="110" t="str">
        <x:v>Prediction-market market design / scoring rules</x:v>
      </x:c>
      <x:c r="B6" s="110" t="str">
        <x:v>High</x:v>
      </x:c>
      <x:c r="C6" s="110" t="str">
        <x:v>Medium</x:v>
      </x:c>
      <x:c r="D6" s="110" t="str">
        <x:v>Indirect</x:v>
      </x:c>
      <x:c r="E6" s="110" t="str">
        <x:v>Hanson; Bayesian market maker; no-regret learning</x:v>
      </x:c>
      <x:c r="F6" s="110" t="str">
        <x:v>Mechanism-design literature beyond relevance to CLOB</x:v>
      </x:c>
      <x:c r="G6" s="110" t="str">
        <x:v>14</x:v>
      </x:c>
      <x:c r="H6" s="110" t="str">
        <x:v>CORE COVERED</x:v>
      </x:c>
    </x:row>
    <x:row r="7">
      <x:c r="A7" s="110" t="str">
        <x:v>Strategic information revelation / bluffing</x:v>
      </x:c>
      <x:c r="B7" s="110" t="str">
        <x:v>High</x:v>
      </x:c>
      <x:c r="C7" s="110" t="str">
        <x:v>Medium</x:v>
      </x:c>
      <x:c r="D7" s="110" t="str">
        <x:v>High</x:v>
      </x:c>
      <x:c r="E7" s="110" t="str">
        <x:v>Chen et al.; Dimitrov/Sami; Ostrovsky</x:v>
      </x:c>
      <x:c r="F7" s="110" t="str">
        <x:v>More empirical wallet-level identification work</x:v>
      </x:c>
      <x:c r="G7" s="110" t="str">
        <x:v>14 / 07</x:v>
      </x:c>
      <x:c r="H7" s="110" t="str">
        <x:v>CORE COVERED</x:v>
      </x:c>
    </x:row>
    <x:row r="8">
      <x:c r="A8" s="110" t="str">
        <x:v>Prediction-market manipulation / counter-manipulation</x:v>
      </x:c>
      <x:c r="B8" s="110" t="str">
        <x:v>High</x:v>
      </x:c>
      <x:c r="C8" s="110" t="str">
        <x:v>High</x:v>
      </x:c>
      <x:c r="D8" s="110" t="str">
        <x:v>High</x:v>
      </x:c>
      <x:c r="E8" s="110" t="str">
        <x:v>Hanson-Oprea-Porter; Rasooly-Rozzi; whale ABM</x:v>
      </x:c>
      <x:c r="F8" s="110" t="str">
        <x:v>More Polymarket causal field evidence as it appears</x:v>
      </x:c>
      <x:c r="G8" s="110" t="str">
        <x:v>14 / 16</x:v>
      </x:c>
      <x:c r="H8" s="110" t="str">
        <x:v>CORE COVERED</x:v>
      </x:c>
    </x:row>
    <x:row r="9">
      <x:c r="A9" s="110" t="str">
        <x:v>Outcome / settlement manipulation</x:v>
      </x:c>
      <x:c r="B9" s="110" t="str">
        <x:v>High theory</x:v>
      </x:c>
      <x:c r="C9" s="110" t="str">
        <x:v>Frontier direct evidence</x:v>
      </x:c>
      <x:c r="D9" s="110" t="str">
        <x:v>CRITICAL</x:v>
      </x:c>
      <x:c r="E9" s="110" t="str">
        <x:v>Chakraborty-Das; Settlement Manipulation in Prediction Markets</x:v>
      </x:c>
      <x:c r="F9" s="110" t="str">
        <x:v>Replication / subsequent venue studies</x:v>
      </x:c>
      <x:c r="G9" s="110" t="str">
        <x:v>14 / 15</x:v>
      </x:c>
      <x:c r="H9" s="110" t="str">
        <x:v>P0 COVERED</x:v>
      </x:c>
    </x:row>
    <x:row r="10">
      <x:c r="A10" s="110" t="str">
        <x:v>Polymarket CLOB microstructure</x:v>
      </x:c>
      <x:c r="B10" s="110" t="str">
        <x:v>Medium historic</x:v>
      </x:c>
      <x:c r="C10" s="110" t="str">
        <x:v>Very High 2026</x:v>
      </x:c>
      <x:c r="D10" s="110" t="str">
        <x:v>CRITICAL</x:v>
      </x:c>
      <x:c r="E10" s="110" t="str">
        <x:v>Anatomy; Polymarket-v1; Fill-Side</x:v>
      </x:c>
      <x:c r="F10" s="110" t="str">
        <x:v>Public quote lifecycle remains structurally limited at wallet level</x:v>
      </x:c>
      <x:c r="G10" s="110" t="str">
        <x:v>14 / 13</x:v>
      </x:c>
      <x:c r="H10" s="110" t="str">
        <x:v>P0 COVERED</x:v>
      </x:c>
    </x:row>
    <x:row r="11">
      <x:c r="A11" s="110" t="str">
        <x:v>Forecast-to-trade / sizing / risk layer</x:v>
      </x:c>
      <x:c r="B11" s="110" t="str">
        <x:v>Medium</x:v>
      </x:c>
      <x:c r="C11" s="110" t="str">
        <x:v>High 2026</x:v>
      </x:c>
      <x:c r="D11" s="110" t="str">
        <x:v>CRITICAL</x:v>
      </x:c>
      <x:c r="E11" s="110" t="str">
        <x:v>PolyBench; Belief-to-Trade</x:v>
      </x:c>
      <x:c r="F11" s="110" t="str">
        <x:v>Need BTC-5m-specific live execution calibration</x:v>
      </x:c>
      <x:c r="G11" s="110" t="str">
        <x:v>08–12 / 14</x:v>
      </x:c>
      <x:c r="H11" s="110" t="str">
        <x:v>P0 COVERED</x:v>
      </x:c>
    </x:row>
    <x:row r="12">
      <x:c r="A12" s="110" t="str">
        <x:v>Cross-venue BTC / Polymarket lead-lag</x:v>
      </x:c>
      <x:c r="B12" s="110" t="str">
        <x:v>High general</x:v>
      </x:c>
      <x:c r="C12" s="110" t="str">
        <x:v>High 2026</x:v>
      </x:c>
      <x:c r="D12" s="110" t="str">
        <x:v>Very High</x:v>
      </x:c>
      <x:c r="E12" s="110" t="str">
        <x:v>OpenMarket + general latency/arb literature</x:v>
      </x:c>
      <x:c r="F12" s="110" t="str">
        <x:v>5m-specific synchronized open dataset remains limited</x:v>
      </x:c>
      <x:c r="G12" s="110" t="str">
        <x:v>07 / 11 / 14</x:v>
      </x:c>
      <x:c r="H12" s="110" t="str">
        <x:v>P1 COVERED</x:v>
      </x:c>
    </x:row>
    <x:row r="13">
      <x:c r="A13" s="110" t="str">
        <x:v>Whale / herding / crowd reflexivity</x:v>
      </x:c>
      <x:c r="B13" s="110" t="str">
        <x:v>Medium</x:v>
      </x:c>
      <x:c r="C13" s="110" t="str">
        <x:v>High 2026</x:v>
      </x:c>
      <x:c r="D13" s="110" t="str">
        <x:v>High</x:v>
      </x:c>
      <x:c r="E13" s="110" t="str">
        <x:v>Whale ABM; manipulation field experiment; fill-side tiers</x:v>
      </x:c>
      <x:c r="F13" s="110" t="str">
        <x:v>Wallet identity and quote-intent inference remains noisy</x:v>
      </x:c>
      <x:c r="G13" s="110" t="str">
        <x:v>16 / 14</x:v>
      </x:c>
      <x:c r="H13" s="110" t="str">
        <x:v>P1 COVERED</x:v>
      </x:c>
    </x:row>
    <x:row r="14">
      <x:c r="A14" s="110" t="str">
        <x:v>LLM / multi-agent prediction-market agents</x:v>
      </x:c>
      <x:c r="B14" s="110" t="str">
        <x:v>Low historic</x:v>
      </x:c>
      <x:c r="C14" s="110" t="str">
        <x:v>Rapidly emerging</x:v>
      </x:c>
      <x:c r="D14" s="110" t="str">
        <x:v>Medium</x:v>
      </x:c>
      <x:c r="E14" s="110" t="str">
        <x:v>PolyBench; Belief-to-Trade</x:v>
      </x:c>
      <x:c r="F14" s="110" t="str">
        <x:v>Fast-moving; new benchmarks likely every few months</x:v>
      </x:c>
      <x:c r="G14" s="110" t="str">
        <x:v>14</x:v>
      </x:c>
      <x:c r="H14" s="110" t="str">
        <x:v>WATCHLIST</x:v>
      </x:c>
    </x:row>
  </x:sheetData>
  <x:mergeCells>
    <x:mergeCell ref="A1:H2"/>
  </x:mergeCells>
  <x:conditionalFormatting sqref="H5:H14">
    <x:cfRule type="expression" dxfId="4" priority="1">
      <x:formula>LEFT(H5,2)="P0"</x:formula>
    </x:cfRule>
    <x:cfRule type="expression" dxfId="5" priority="2">
      <x:formula>H5="CORE COVERED"</x:formula>
    </x:cfRule>
  </x:conditionalFormatting>
  <x:pageMargins left="0.7" right="0.7" top="0.75" bottom="0.75" header="0.3" footer="0.3"/>
</x:worksheet>
</file>